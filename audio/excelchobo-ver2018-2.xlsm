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 yWindow="30" windowWidth="23250" windowHeight="6570" tabRatio="912"/>
  </bookViews>
  <sheets>
    <sheet name="表紙" sheetId="61" r:id="rId1"/>
    <sheet name="設定メニュー" sheetId="1" r:id="rId2"/>
    <sheet name="仕訳帳" sheetId="2" r:id="rId3"/>
    <sheet name="月間総括集計表" sheetId="40" r:id="rId4"/>
    <sheet name="合計残高試算表" sheetId="41" r:id="rId5"/>
    <sheet name="精算表" sheetId="46" r:id="rId6"/>
    <sheet name="前期繰越" sheetId="76" r:id="rId7"/>
    <sheet name="次期繰越" sheetId="77" r:id="rId8"/>
    <sheet name="減価償却資産台帳" sheetId="71" r:id="rId9"/>
    <sheet name="減価償却資産台帳 記入例" sheetId="72" r:id="rId10"/>
    <sheet name="減価償却率表" sheetId="73" r:id="rId11"/>
    <sheet name="青色申告決算書1" sheetId="54" r:id="rId12"/>
    <sheet name="青色申告決算書2" sheetId="53" r:id="rId13"/>
    <sheet name="青色申告決算書3" sheetId="55" r:id="rId14"/>
    <sheet name="青色申告決算書4" sheetId="56" r:id="rId15"/>
    <sheet name="収支内訳書1" sheetId="57" r:id="rId16"/>
    <sheet name="収支内訳書2" sheetId="58" r:id="rId17"/>
    <sheet name="現金出納帳" sheetId="59" r:id="rId18"/>
    <sheet name="普通預金出納帳" sheetId="29" r:id="rId19"/>
    <sheet name="現金" sheetId="7" r:id="rId20"/>
    <sheet name="普通預金" sheetId="10" r:id="rId21"/>
    <sheet name="売掛金" sheetId="13" r:id="rId22"/>
    <sheet name="前払費用" sheetId="16" r:id="rId23"/>
    <sheet name="長期前払費用" sheetId="42" r:id="rId24"/>
    <sheet name="工具器具備品" sheetId="45" r:id="rId25"/>
    <sheet name="事業主貸" sheetId="11" r:id="rId26"/>
    <sheet name="事業主借" sheetId="12" r:id="rId27"/>
    <sheet name="未払金" sheetId="15" r:id="rId28"/>
    <sheet name="売上高" sheetId="14" r:id="rId29"/>
    <sheet name="雑収入" sheetId="44" r:id="rId30"/>
    <sheet name="旅費交通費" sheetId="22" r:id="rId31"/>
    <sheet name="通信費" sheetId="17" r:id="rId32"/>
    <sheet name="接待交際費" sheetId="24" r:id="rId33"/>
    <sheet name="消耗品費" sheetId="20" r:id="rId34"/>
    <sheet name="外注工賃" sheetId="50" r:id="rId35"/>
    <sheet name="支払手数料" sheetId="18" r:id="rId36"/>
    <sheet name="新聞図書費" sheetId="19" r:id="rId37"/>
    <sheet name="事務用品費" sheetId="21" r:id="rId38"/>
    <sheet name="研修費" sheetId="23" r:id="rId39"/>
    <sheet name="雑費" sheetId="43" r:id="rId40"/>
    <sheet name="租税公課" sheetId="25" r:id="rId41"/>
    <sheet name="予備.1" sheetId="66" r:id="rId42"/>
    <sheet name="予備.2" sheetId="67" r:id="rId43"/>
    <sheet name="予備.3" sheetId="69" r:id="rId44"/>
    <sheet name="減価償却費" sheetId="70" r:id="rId45"/>
    <sheet name="元入金" sheetId="78" r:id="rId46"/>
    <sheet name="Googleアドセンス" sheetId="30" r:id="rId47"/>
    <sheet name="Amazonアソシエイト" sheetId="32" r:id="rId48"/>
    <sheet name="A8.net" sheetId="33" r:id="rId49"/>
    <sheet name="アクセストレード" sheetId="34" r:id="rId50"/>
    <sheet name="もしも" sheetId="35" r:id="rId51"/>
    <sheet name="楽天" sheetId="36" r:id="rId52"/>
    <sheet name="バリューコマース" sheetId="37" r:id="rId53"/>
    <sheet name="Moba8.net" sheetId="38" r:id="rId54"/>
    <sheet name="nend" sheetId="39" r:id="rId55"/>
    <sheet name="売上先予備1" sheetId="68" r:id="rId56"/>
  </sheets>
  <externalReferences>
    <externalReference r:id="rId57"/>
  </externalReferences>
  <definedNames>
    <definedName name="_xlnm._FilterDatabase" localSheetId="21" hidden="1">売掛金!$A$5:$I$5</definedName>
    <definedName name="Amazonギフト券受取">設定メニュー!$J$9</definedName>
    <definedName name="_xlnm.Print_Area" localSheetId="3">月間総括集計表!$A$1:$O$31</definedName>
    <definedName name="_xlnm.Print_Area" localSheetId="8">減価償却資産台帳!$A$1:$Y$16</definedName>
    <definedName name="_xlnm.Print_Area" localSheetId="4">合計残高試算表!$A$1:$G$45</definedName>
    <definedName name="_xlnm.Print_Area" localSheetId="2">仕訳帳!$A$1:$J$508</definedName>
    <definedName name="_xlnm.Print_Area" localSheetId="5">精算表!$A$1:$I$34</definedName>
    <definedName name="_xlnm.Print_Area" localSheetId="21">売掛金!$A$1:$I$307</definedName>
    <definedName name="_xlnm.Print_Titles" localSheetId="48">A8.net!$1:$3</definedName>
    <definedName name="_xlnm.Print_Titles" localSheetId="47">Amazonアソシエイト!$1:$3</definedName>
    <definedName name="_xlnm.Print_Titles" localSheetId="46">Googleアドセンス!$1:$3</definedName>
    <definedName name="_xlnm.Print_Titles" localSheetId="53">Moba8.net!$1:$3</definedName>
    <definedName name="_xlnm.Print_Titles" localSheetId="54">nend!$1:$3</definedName>
    <definedName name="_xlnm.Print_Titles" localSheetId="49">アクセストレード!$1:$3</definedName>
    <definedName name="_xlnm.Print_Titles" localSheetId="52">バリューコマース!$1:$3</definedName>
    <definedName name="_xlnm.Print_Titles" localSheetId="50">もしも!$1:$3</definedName>
    <definedName name="_xlnm.Print_Titles" localSheetId="34">外注工賃!$1:$3</definedName>
    <definedName name="_xlnm.Print_Titles" localSheetId="51">楽天!$1:$3</definedName>
    <definedName name="_xlnm.Print_Titles" localSheetId="38">研修費!$1:$3</definedName>
    <definedName name="_xlnm.Print_Titles" localSheetId="44">減価償却費!$1:$3</definedName>
    <definedName name="_xlnm.Print_Titles" localSheetId="19">現金!$1:$3</definedName>
    <definedName name="_xlnm.Print_Titles" localSheetId="17">現金出納帳!$1:$3</definedName>
    <definedName name="_xlnm.Print_Titles" localSheetId="24">工具器具備品!$1:$3</definedName>
    <definedName name="_xlnm.Print_Titles" localSheetId="29">雑収入!$1:$3</definedName>
    <definedName name="_xlnm.Print_Titles" localSheetId="39">雑費!$1:$3</definedName>
    <definedName name="_xlnm.Print_Titles" localSheetId="2">仕訳帳!$1:$3</definedName>
    <definedName name="_xlnm.Print_Titles" localSheetId="35">支払手数料!$1:$3</definedName>
    <definedName name="_xlnm.Print_Titles" localSheetId="26">事業主借!$1:$3</definedName>
    <definedName name="_xlnm.Print_Titles" localSheetId="25">事業主貸!$1:$3</definedName>
    <definedName name="_xlnm.Print_Titles" localSheetId="37">事務用品費!$1:$3</definedName>
    <definedName name="_xlnm.Print_Titles" localSheetId="33">消耗品費!$1:$3</definedName>
    <definedName name="_xlnm.Print_Titles" localSheetId="36">新聞図書費!$1:$3</definedName>
    <definedName name="_xlnm.Print_Titles" localSheetId="32">接待交際費!$1:$3</definedName>
    <definedName name="_xlnm.Print_Titles" localSheetId="1">設定メニュー!$1:$3</definedName>
    <definedName name="_xlnm.Print_Titles" localSheetId="22">前払費用!$1:$3</definedName>
    <definedName name="_xlnm.Print_Titles" localSheetId="40">租税公課!$1:$3</definedName>
    <definedName name="_xlnm.Print_Titles" localSheetId="23">長期前払費用!$1:$3</definedName>
    <definedName name="_xlnm.Print_Titles" localSheetId="31">通信費!$1:$3</definedName>
    <definedName name="_xlnm.Print_Titles" localSheetId="21">売掛金!$1:$3</definedName>
    <definedName name="_xlnm.Print_Titles" localSheetId="28">売上高!$1:$3</definedName>
    <definedName name="_xlnm.Print_Titles" localSheetId="55">売上先予備1!$1:$3</definedName>
    <definedName name="_xlnm.Print_Titles" localSheetId="20">普通預金!$1:$3</definedName>
    <definedName name="_xlnm.Print_Titles" localSheetId="18">普通預金出納帳!$1:$3</definedName>
    <definedName name="_xlnm.Print_Titles" localSheetId="27">未払金!$1:$3</definedName>
    <definedName name="_xlnm.Print_Titles" localSheetId="41">予備.1!$1:$3</definedName>
    <definedName name="_xlnm.Print_Titles" localSheetId="42">予備.2!$1:$3</definedName>
    <definedName name="_xlnm.Print_Titles" localSheetId="43">予備.3!$1:$3</definedName>
    <definedName name="_xlnm.Print_Titles" localSheetId="30">旅費交通費!$1:$3</definedName>
    <definedName name="エックスサーバー_カード払い">設定メニュー!$J$16:$L$16</definedName>
    <definedName name="ドメイン更新費_カード払い">設定メニュー!$J$17:$K$17</definedName>
    <definedName name="ドメイン新規取得_カード払い">設定メニュー!$J$18:$K$18</definedName>
    <definedName name="楽天ポイント受取">設定メニュー!$J$10</definedName>
    <definedName name="仕訳摘要1列目" localSheetId="45">設定メニュー!$I$5:$I$30</definedName>
    <definedName name="仕訳摘要1列目">設定メニュー!$I$5:$I$30</definedName>
    <definedName name="振込">設定メニュー!$J$7:$O$7</definedName>
    <definedName name="振込手数料">設定メニュー!$J$8</definedName>
    <definedName name="成果確定">設定メニュー!$J$6:$S$6</definedName>
    <definedName name="成果確定3列目">設定メニュー!$J$33:$U$33</definedName>
  </definedNames>
  <calcPr calcId="145621"/>
</workbook>
</file>

<file path=xl/calcChain.xml><?xml version="1.0" encoding="utf-8"?>
<calcChain xmlns="http://schemas.openxmlformats.org/spreadsheetml/2006/main">
  <c r="I4" i="15" l="1"/>
  <c r="I4" i="12"/>
  <c r="I2" i="13" l="1"/>
  <c r="A1" i="76" l="1"/>
  <c r="A24" i="76"/>
  <c r="A23" i="76"/>
  <c r="A20" i="76"/>
  <c r="A19" i="76"/>
  <c r="A18" i="76"/>
  <c r="A17" i="76"/>
  <c r="A16" i="76"/>
  <c r="A15" i="76"/>
  <c r="A14" i="76"/>
  <c r="A13" i="76"/>
  <c r="A12" i="76"/>
  <c r="A11" i="76"/>
  <c r="A10" i="76"/>
  <c r="A9" i="76"/>
  <c r="A8" i="76"/>
  <c r="A7" i="76"/>
  <c r="A6" i="76"/>
  <c r="A5" i="76"/>
  <c r="A4" i="76"/>
  <c r="J211" i="2" l="1"/>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F42" i="41"/>
  <c r="G42" i="41"/>
  <c r="A4" i="42" l="1"/>
  <c r="I5" i="42"/>
  <c r="I6" i="42"/>
  <c r="I7" i="42"/>
  <c r="I8" i="42"/>
  <c r="I9" i="42"/>
  <c r="I10" i="42"/>
  <c r="I11" i="42"/>
  <c r="I12" i="42"/>
  <c r="I13" i="42"/>
  <c r="I14" i="42"/>
  <c r="I15" i="42"/>
  <c r="I16" i="42"/>
  <c r="I17" i="42"/>
  <c r="I18" i="42"/>
  <c r="I19" i="42"/>
  <c r="I20" i="42"/>
  <c r="I21" i="42"/>
  <c r="I22" i="42"/>
  <c r="I23" i="42"/>
  <c r="I24" i="42"/>
  <c r="I25" i="42"/>
  <c r="I26" i="42"/>
  <c r="I27" i="42"/>
  <c r="I28" i="42"/>
  <c r="I29" i="42"/>
  <c r="I30" i="42"/>
  <c r="I31" i="42"/>
  <c r="I32" i="42"/>
  <c r="I33" i="42"/>
  <c r="I34" i="42"/>
  <c r="I35" i="42"/>
  <c r="I36" i="42"/>
  <c r="I37" i="42"/>
  <c r="I38" i="42"/>
  <c r="I39" i="42"/>
  <c r="I40" i="42"/>
  <c r="I41" i="42"/>
  <c r="I42" i="42"/>
  <c r="I43" i="42"/>
  <c r="I44" i="42"/>
  <c r="I45" i="42"/>
  <c r="I46" i="42"/>
  <c r="I47" i="42"/>
  <c r="I48" i="42"/>
  <c r="I49" i="42"/>
  <c r="I50" i="42"/>
  <c r="I51" i="42"/>
  <c r="I52" i="42"/>
  <c r="I53" i="42"/>
  <c r="I54" i="42"/>
  <c r="I55" i="42"/>
  <c r="I56" i="42"/>
  <c r="I57" i="42"/>
  <c r="I58" i="42"/>
  <c r="I59" i="42"/>
  <c r="I60" i="42"/>
  <c r="I61" i="42"/>
  <c r="I62" i="42"/>
  <c r="I63" i="42"/>
  <c r="I64" i="42"/>
  <c r="I65" i="42"/>
  <c r="I66" i="42"/>
  <c r="I67" i="42"/>
  <c r="I68" i="42"/>
  <c r="I69" i="42"/>
  <c r="I70" i="42"/>
  <c r="I71" i="42"/>
  <c r="I72" i="42"/>
  <c r="I73" i="42"/>
  <c r="I74" i="42"/>
  <c r="I75" i="42"/>
  <c r="I76" i="42"/>
  <c r="I77" i="42"/>
  <c r="I78" i="42"/>
  <c r="I79" i="42"/>
  <c r="I80" i="42"/>
  <c r="I81" i="42"/>
  <c r="I82" i="42"/>
  <c r="I83" i="42"/>
  <c r="I84" i="42"/>
  <c r="I85" i="42"/>
  <c r="I86" i="42"/>
  <c r="I87" i="42"/>
  <c r="I88" i="42"/>
  <c r="I89" i="42"/>
  <c r="I90" i="42"/>
  <c r="I91" i="42"/>
  <c r="I92" i="42"/>
  <c r="I93" i="42"/>
  <c r="I94" i="42"/>
  <c r="I95" i="42"/>
  <c r="I96" i="42"/>
  <c r="I97" i="42"/>
  <c r="I98" i="42"/>
  <c r="A4" i="11"/>
  <c r="N21" i="58" l="1"/>
  <c r="B22" i="41" l="1"/>
  <c r="B43" i="41"/>
  <c r="C43" i="41"/>
  <c r="B20" i="41"/>
  <c r="B23" i="41"/>
  <c r="B21" i="41"/>
  <c r="G4" i="11" s="1"/>
  <c r="C5" i="41"/>
  <c r="C23" i="41"/>
  <c r="C22" i="41"/>
  <c r="C21" i="41"/>
  <c r="H4" i="11" s="1"/>
  <c r="C20" i="41"/>
  <c r="C19" i="41"/>
  <c r="H4" i="42" s="1"/>
  <c r="C18" i="41"/>
  <c r="C17" i="41"/>
  <c r="C16" i="41"/>
  <c r="C15" i="41"/>
  <c r="C14" i="41"/>
  <c r="C13" i="41"/>
  <c r="C12" i="41"/>
  <c r="C11" i="41"/>
  <c r="C10" i="41"/>
  <c r="C9" i="41"/>
  <c r="C8" i="41"/>
  <c r="C7" i="41"/>
  <c r="C6" i="41"/>
  <c r="B6" i="41"/>
  <c r="G4" i="10" s="1"/>
  <c r="B19" i="41"/>
  <c r="G4" i="42" s="1"/>
  <c r="B18" i="41"/>
  <c r="B17" i="41"/>
  <c r="B16" i="41"/>
  <c r="B15" i="41"/>
  <c r="B14" i="41"/>
  <c r="B13" i="41"/>
  <c r="B12" i="41"/>
  <c r="B11" i="41"/>
  <c r="B10" i="41"/>
  <c r="B9" i="41"/>
  <c r="B8" i="41"/>
  <c r="B7" i="41"/>
  <c r="B5" i="41"/>
  <c r="J223" i="2"/>
  <c r="J222" i="2"/>
  <c r="J221" i="2"/>
  <c r="J220" i="2"/>
  <c r="J219" i="2"/>
  <c r="J218" i="2"/>
  <c r="J217" i="2"/>
  <c r="J216" i="2"/>
  <c r="J215" i="2"/>
  <c r="J214" i="2"/>
  <c r="J213" i="2"/>
  <c r="J212" i="2"/>
  <c r="A40" i="41"/>
  <c r="A39" i="41"/>
  <c r="A38" i="41"/>
  <c r="A37" i="41"/>
  <c r="A36" i="41"/>
  <c r="A35" i="41"/>
  <c r="A34" i="41"/>
  <c r="A33" i="41"/>
  <c r="A32" i="41"/>
  <c r="A31" i="41"/>
  <c r="A30" i="41"/>
  <c r="A29" i="41"/>
  <c r="A28" i="41"/>
  <c r="A27" i="41"/>
  <c r="A26" i="41"/>
  <c r="A25" i="41"/>
  <c r="A24" i="41"/>
  <c r="A23" i="41"/>
  <c r="A22" i="41"/>
  <c r="A21" i="41"/>
  <c r="A20" i="41"/>
  <c r="A19" i="41"/>
  <c r="A18" i="41"/>
  <c r="A17" i="41"/>
  <c r="A16" i="41"/>
  <c r="A15" i="41"/>
  <c r="A14" i="41"/>
  <c r="A13" i="41"/>
  <c r="A12" i="41"/>
  <c r="A11" i="41"/>
  <c r="A10" i="41"/>
  <c r="A9" i="41"/>
  <c r="A8" i="41"/>
  <c r="A7" i="41"/>
  <c r="A6" i="41"/>
  <c r="A5" i="41"/>
  <c r="E21" i="56" s="1"/>
  <c r="G2" i="41"/>
  <c r="A1" i="41"/>
  <c r="I9" i="78"/>
  <c r="I8" i="78"/>
  <c r="I7" i="78"/>
  <c r="A4" i="78"/>
  <c r="A3" i="78"/>
  <c r="Q22" i="58"/>
  <c r="P22" i="58"/>
  <c r="O22" i="58"/>
  <c r="N22" i="58"/>
  <c r="M22" i="58"/>
  <c r="L22" i="58"/>
  <c r="K22" i="58"/>
  <c r="J22" i="58"/>
  <c r="I22" i="58"/>
  <c r="H22" i="58"/>
  <c r="G22" i="58"/>
  <c r="F22" i="58"/>
  <c r="E22" i="58"/>
  <c r="D22" i="58"/>
  <c r="C22" i="58"/>
  <c r="B22" i="58"/>
  <c r="A22" i="58"/>
  <c r="Q21" i="58"/>
  <c r="P21" i="58"/>
  <c r="O21" i="58"/>
  <c r="M21" i="58"/>
  <c r="L21" i="58"/>
  <c r="J21" i="58"/>
  <c r="I21" i="58"/>
  <c r="H21" i="58"/>
  <c r="G21" i="58"/>
  <c r="F21" i="58"/>
  <c r="E21" i="58"/>
  <c r="D21" i="58"/>
  <c r="C21" i="58"/>
  <c r="B21" i="58"/>
  <c r="A21" i="58"/>
  <c r="Q20" i="58"/>
  <c r="P20" i="58"/>
  <c r="O20" i="58"/>
  <c r="N20" i="58"/>
  <c r="M20" i="58"/>
  <c r="L20" i="58"/>
  <c r="K20" i="58"/>
  <c r="J20" i="58"/>
  <c r="I20" i="58"/>
  <c r="G20" i="58"/>
  <c r="F20" i="58"/>
  <c r="E20" i="58"/>
  <c r="D20" i="58"/>
  <c r="C20" i="58"/>
  <c r="B20" i="58"/>
  <c r="A20" i="58"/>
  <c r="Q19" i="58"/>
  <c r="P19" i="58"/>
  <c r="O19" i="58"/>
  <c r="N19" i="58"/>
  <c r="M19" i="58"/>
  <c r="L19" i="58"/>
  <c r="K19" i="58"/>
  <c r="K23" i="58" s="1"/>
  <c r="J19" i="58"/>
  <c r="I19" i="58"/>
  <c r="H19" i="58"/>
  <c r="G19" i="58"/>
  <c r="F19" i="58"/>
  <c r="E19" i="58"/>
  <c r="D19" i="58"/>
  <c r="C19" i="58"/>
  <c r="B19" i="58"/>
  <c r="A19" i="58"/>
  <c r="Q18" i="58"/>
  <c r="P18" i="58"/>
  <c r="O18" i="58"/>
  <c r="N18" i="58"/>
  <c r="M18" i="58"/>
  <c r="L18" i="58"/>
  <c r="K18" i="58"/>
  <c r="J18" i="58"/>
  <c r="I18" i="58"/>
  <c r="H18" i="58"/>
  <c r="G18" i="58"/>
  <c r="F18" i="58"/>
  <c r="E18" i="58"/>
  <c r="D18" i="58"/>
  <c r="C18" i="58"/>
  <c r="B18" i="58"/>
  <c r="A18" i="58"/>
  <c r="Q17" i="58"/>
  <c r="P17" i="58"/>
  <c r="O17" i="58"/>
  <c r="O23" i="58" s="1"/>
  <c r="N17" i="58"/>
  <c r="M17" i="58"/>
  <c r="M23" i="58" s="1"/>
  <c r="L17" i="58"/>
  <c r="K17" i="58"/>
  <c r="J17" i="58"/>
  <c r="I17" i="58"/>
  <c r="H17" i="58"/>
  <c r="G17" i="58"/>
  <c r="F17" i="58"/>
  <c r="E17" i="58"/>
  <c r="D17" i="58"/>
  <c r="C17" i="58"/>
  <c r="B17" i="58"/>
  <c r="A17" i="58"/>
  <c r="Q1" i="58"/>
  <c r="H20" i="58"/>
  <c r="K21" i="58"/>
  <c r="P23" i="58"/>
  <c r="H11" i="58"/>
  <c r="E22" i="57"/>
  <c r="E21" i="57"/>
  <c r="E19" i="57"/>
  <c r="E18" i="57"/>
  <c r="E17" i="57"/>
  <c r="J16" i="57"/>
  <c r="E16" i="57"/>
  <c r="E14" i="57"/>
  <c r="J11" i="57"/>
  <c r="J9" i="57"/>
  <c r="J8" i="57"/>
  <c r="J6" i="57"/>
  <c r="J2" i="57"/>
  <c r="E10" i="57"/>
  <c r="E12" i="57" s="1"/>
  <c r="C26" i="56"/>
  <c r="C25" i="56"/>
  <c r="F24" i="56"/>
  <c r="C24" i="56"/>
  <c r="F23" i="56"/>
  <c r="E23" i="56"/>
  <c r="C23" i="56"/>
  <c r="F22" i="56"/>
  <c r="F21" i="56"/>
  <c r="F20" i="56"/>
  <c r="C20" i="56"/>
  <c r="F19" i="56"/>
  <c r="F18" i="56"/>
  <c r="C18" i="56"/>
  <c r="F17" i="56"/>
  <c r="C17" i="56"/>
  <c r="F16" i="56"/>
  <c r="C16" i="56"/>
  <c r="F15" i="56"/>
  <c r="C15" i="56"/>
  <c r="F14" i="56"/>
  <c r="C14" i="56"/>
  <c r="F13" i="56"/>
  <c r="C13" i="56"/>
  <c r="F12" i="56"/>
  <c r="C12" i="56"/>
  <c r="F11" i="56"/>
  <c r="C11" i="56"/>
  <c r="F10" i="56"/>
  <c r="F9" i="56"/>
  <c r="C9" i="56"/>
  <c r="F7" i="56"/>
  <c r="C7" i="56"/>
  <c r="F6" i="56"/>
  <c r="C6" i="56"/>
  <c r="B6" i="56"/>
  <c r="F5" i="56"/>
  <c r="E4" i="56"/>
  <c r="B4" i="56"/>
  <c r="F2" i="56"/>
  <c r="Q1" i="55"/>
  <c r="A6" i="55"/>
  <c r="B6" i="55"/>
  <c r="C6" i="55"/>
  <c r="D6" i="55"/>
  <c r="E6" i="55"/>
  <c r="F6" i="55"/>
  <c r="G6" i="55"/>
  <c r="H6" i="55"/>
  <c r="I6" i="55"/>
  <c r="J6" i="55"/>
  <c r="K6" i="55"/>
  <c r="L6" i="55"/>
  <c r="M6" i="55"/>
  <c r="N6" i="55"/>
  <c r="O6" i="55"/>
  <c r="P6" i="55"/>
  <c r="Q6" i="55"/>
  <c r="A7" i="55"/>
  <c r="B7" i="55"/>
  <c r="C7" i="55"/>
  <c r="D7" i="55"/>
  <c r="E7" i="55"/>
  <c r="F7" i="55"/>
  <c r="G7" i="55"/>
  <c r="H7" i="55"/>
  <c r="I7" i="55"/>
  <c r="J7" i="55"/>
  <c r="K7" i="55"/>
  <c r="L7" i="55"/>
  <c r="M7" i="55"/>
  <c r="N7" i="55"/>
  <c r="O7" i="55"/>
  <c r="P7" i="55"/>
  <c r="P17" i="55" s="1"/>
  <c r="Q7" i="55"/>
  <c r="A8" i="55"/>
  <c r="B8" i="55"/>
  <c r="C8" i="55"/>
  <c r="D8" i="55"/>
  <c r="E8" i="55"/>
  <c r="F8" i="55"/>
  <c r="G8" i="55"/>
  <c r="H8" i="55"/>
  <c r="I8" i="55"/>
  <c r="J8" i="55"/>
  <c r="K8" i="55"/>
  <c r="K17" i="55" s="1"/>
  <c r="L8" i="55"/>
  <c r="L17" i="55" s="1"/>
  <c r="M8" i="55"/>
  <c r="M17" i="55" s="1"/>
  <c r="N8" i="55"/>
  <c r="O8" i="55"/>
  <c r="P8" i="55"/>
  <c r="Q8" i="55"/>
  <c r="A9" i="55"/>
  <c r="B9" i="55"/>
  <c r="C9" i="55"/>
  <c r="D9" i="55"/>
  <c r="E9" i="55"/>
  <c r="F9" i="55"/>
  <c r="G9" i="55"/>
  <c r="H9" i="55"/>
  <c r="I9" i="55"/>
  <c r="J9" i="55"/>
  <c r="K9" i="55"/>
  <c r="L9" i="55"/>
  <c r="M9" i="55"/>
  <c r="N9" i="55"/>
  <c r="O9" i="55"/>
  <c r="P9" i="55"/>
  <c r="Q9" i="55"/>
  <c r="A10" i="55"/>
  <c r="B10" i="55"/>
  <c r="C10" i="55"/>
  <c r="D10" i="55"/>
  <c r="E10" i="55"/>
  <c r="F10" i="55"/>
  <c r="G10" i="55"/>
  <c r="H10" i="55"/>
  <c r="I10" i="55"/>
  <c r="J10" i="55"/>
  <c r="K10" i="55"/>
  <c r="L10" i="55"/>
  <c r="M10" i="55"/>
  <c r="N10" i="55"/>
  <c r="O10" i="55"/>
  <c r="P10" i="55"/>
  <c r="Q10" i="55"/>
  <c r="A11" i="55"/>
  <c r="B11" i="55"/>
  <c r="C11" i="55"/>
  <c r="D11" i="55"/>
  <c r="E11" i="55"/>
  <c r="F11" i="55"/>
  <c r="G11" i="55"/>
  <c r="H11" i="55"/>
  <c r="I11" i="55"/>
  <c r="J11" i="55"/>
  <c r="K11" i="55"/>
  <c r="L11" i="55"/>
  <c r="M11" i="55"/>
  <c r="N11" i="55"/>
  <c r="O11" i="55"/>
  <c r="P11" i="55"/>
  <c r="Q11" i="55"/>
  <c r="A12" i="55"/>
  <c r="B12" i="55"/>
  <c r="C12" i="55"/>
  <c r="D12" i="55"/>
  <c r="E12" i="55"/>
  <c r="F12" i="55"/>
  <c r="G12" i="55"/>
  <c r="H12" i="55"/>
  <c r="I12" i="55"/>
  <c r="J12" i="55"/>
  <c r="K12" i="55"/>
  <c r="L12" i="55"/>
  <c r="M12" i="55"/>
  <c r="N12" i="55"/>
  <c r="O12" i="55"/>
  <c r="P12" i="55"/>
  <c r="Q12" i="55"/>
  <c r="A13" i="55"/>
  <c r="B13" i="55"/>
  <c r="C13" i="55"/>
  <c r="D13" i="55"/>
  <c r="E13" i="55"/>
  <c r="F13" i="55"/>
  <c r="G13" i="55"/>
  <c r="H13" i="55"/>
  <c r="I13" i="55"/>
  <c r="J13" i="55"/>
  <c r="K13" i="55"/>
  <c r="L13" i="55"/>
  <c r="M13" i="55"/>
  <c r="N13" i="55"/>
  <c r="O13" i="55"/>
  <c r="P13" i="55"/>
  <c r="Q13" i="55"/>
  <c r="A14" i="55"/>
  <c r="B14" i="55"/>
  <c r="C14" i="55"/>
  <c r="D14" i="55"/>
  <c r="E14" i="55"/>
  <c r="F14" i="55"/>
  <c r="G14" i="55"/>
  <c r="H14" i="55"/>
  <c r="I14" i="55"/>
  <c r="J14" i="55"/>
  <c r="K14" i="55"/>
  <c r="L14" i="55"/>
  <c r="M14" i="55"/>
  <c r="N14" i="55"/>
  <c r="O14" i="55"/>
  <c r="P14" i="55"/>
  <c r="Q14" i="55"/>
  <c r="A15" i="55"/>
  <c r="B15" i="55"/>
  <c r="C15" i="55"/>
  <c r="D15" i="55"/>
  <c r="E15" i="55"/>
  <c r="F15" i="55"/>
  <c r="G15" i="55"/>
  <c r="H15" i="55"/>
  <c r="I15" i="55"/>
  <c r="J15" i="55"/>
  <c r="K15" i="55"/>
  <c r="L15" i="55"/>
  <c r="M15" i="55"/>
  <c r="N15" i="55"/>
  <c r="O15" i="55"/>
  <c r="P15" i="55"/>
  <c r="Q15" i="55"/>
  <c r="A16" i="55"/>
  <c r="B16" i="55"/>
  <c r="C16" i="55"/>
  <c r="D16" i="55"/>
  <c r="E16" i="55"/>
  <c r="F16" i="55"/>
  <c r="G16" i="55"/>
  <c r="H16" i="55"/>
  <c r="I16" i="55"/>
  <c r="J16" i="55"/>
  <c r="K16" i="55"/>
  <c r="L16" i="55"/>
  <c r="M16" i="55"/>
  <c r="N16" i="55"/>
  <c r="O16" i="55"/>
  <c r="P16" i="55"/>
  <c r="Q16" i="55"/>
  <c r="O17" i="55"/>
  <c r="H1" i="53"/>
  <c r="H13" i="53"/>
  <c r="H9" i="53"/>
  <c r="D21" i="54"/>
  <c r="D20" i="54"/>
  <c r="D18" i="54"/>
  <c r="H16" i="54"/>
  <c r="D15" i="54"/>
  <c r="D14" i="54"/>
  <c r="H11" i="54"/>
  <c r="H10" i="54"/>
  <c r="H9" i="54"/>
  <c r="H7" i="54"/>
  <c r="H6" i="54"/>
  <c r="H5" i="54"/>
  <c r="M2" i="54"/>
  <c r="M12" i="54"/>
  <c r="D8" i="54"/>
  <c r="D10" i="54" s="1"/>
  <c r="M7" i="54"/>
  <c r="B4" i="77"/>
  <c r="C27" i="77"/>
  <c r="C26" i="77"/>
  <c r="C25" i="77"/>
  <c r="A24" i="77"/>
  <c r="A23" i="77"/>
  <c r="B22" i="77"/>
  <c r="B21" i="77"/>
  <c r="A20" i="77"/>
  <c r="A19" i="77"/>
  <c r="A18" i="77"/>
  <c r="A17" i="77"/>
  <c r="A16" i="77"/>
  <c r="A15" i="77"/>
  <c r="A14" i="77"/>
  <c r="A13" i="77"/>
  <c r="A12" i="77"/>
  <c r="A11" i="77"/>
  <c r="A10" i="77"/>
  <c r="A9" i="77"/>
  <c r="A8" i="77"/>
  <c r="A7" i="77"/>
  <c r="A6" i="77"/>
  <c r="A5" i="77"/>
  <c r="A4" i="77"/>
  <c r="C2" i="77"/>
  <c r="A1" i="77"/>
  <c r="C29" i="76"/>
  <c r="J4" i="2" s="1"/>
  <c r="B29" i="76"/>
  <c r="G4" i="2" s="1"/>
  <c r="C2" i="76"/>
  <c r="E41" i="41"/>
  <c r="D41" i="41"/>
  <c r="F41" i="41" l="1"/>
  <c r="G41" i="41"/>
  <c r="I4" i="11"/>
  <c r="I5" i="11" s="1"/>
  <c r="I6" i="11" s="1"/>
  <c r="I7" i="11" s="1"/>
  <c r="I8" i="11" s="1"/>
  <c r="I9" i="11" s="1"/>
  <c r="I10" i="11" s="1"/>
  <c r="I11" i="11" s="1"/>
  <c r="I12" i="11" s="1"/>
  <c r="I4" i="42"/>
  <c r="C45" i="41"/>
  <c r="B45" i="41"/>
  <c r="E18" i="56"/>
  <c r="B8" i="56"/>
  <c r="E25" i="56"/>
  <c r="B9" i="56"/>
  <c r="B21" i="56"/>
  <c r="B5" i="56"/>
  <c r="B13" i="56"/>
  <c r="B19" i="56"/>
  <c r="E6" i="56"/>
  <c r="B24" i="56"/>
  <c r="E15" i="56"/>
  <c r="E26" i="56"/>
  <c r="B7" i="56"/>
  <c r="E9" i="56"/>
  <c r="B20" i="56"/>
  <c r="E22" i="56"/>
  <c r="E24" i="56"/>
  <c r="B11" i="56"/>
  <c r="G4" i="78"/>
  <c r="G10" i="78" s="1"/>
  <c r="H4" i="78"/>
  <c r="H10" i="78" s="1"/>
  <c r="E11" i="56"/>
  <c r="E17" i="56"/>
  <c r="B12" i="56"/>
  <c r="B14" i="56"/>
  <c r="B16" i="56"/>
  <c r="B18" i="56"/>
  <c r="B17" i="56"/>
  <c r="B26" i="56"/>
  <c r="E19" i="56"/>
  <c r="E13" i="56"/>
  <c r="B22" i="56"/>
  <c r="E5" i="56"/>
  <c r="E7" i="56"/>
  <c r="B10" i="56"/>
  <c r="E20" i="56"/>
  <c r="B23" i="56"/>
  <c r="B25" i="56"/>
  <c r="E8" i="56"/>
  <c r="B15" i="56"/>
  <c r="E10" i="56"/>
  <c r="E12" i="56"/>
  <c r="E14" i="56"/>
  <c r="E16" i="56"/>
  <c r="E43" i="41"/>
  <c r="D43" i="41"/>
  <c r="F43" i="41" l="1"/>
  <c r="G43" i="41"/>
  <c r="C32" i="46" s="1"/>
  <c r="I32" i="46" s="1"/>
  <c r="I10" i="78"/>
  <c r="G11" i="78" s="1"/>
  <c r="G12" i="78" s="1"/>
  <c r="B28" i="56"/>
  <c r="I4" i="78"/>
  <c r="E28" i="56"/>
  <c r="F26" i="56" l="1"/>
  <c r="E7" i="77"/>
  <c r="H11" i="78"/>
  <c r="H12" i="78" s="1"/>
  <c r="I12" i="78" s="1"/>
  <c r="J10" i="1" l="1"/>
  <c r="J9" i="1"/>
  <c r="J8" i="1"/>
  <c r="D30" i="40" l="1"/>
  <c r="E30" i="40"/>
  <c r="F30" i="40"/>
  <c r="G30" i="40"/>
  <c r="H30" i="40"/>
  <c r="I30" i="40"/>
  <c r="J30" i="40"/>
  <c r="K30" i="40"/>
  <c r="L30" i="40"/>
  <c r="M30" i="40"/>
  <c r="N30" i="40"/>
  <c r="C30" i="40"/>
  <c r="C14" i="40"/>
  <c r="B5" i="53" s="1"/>
  <c r="O26" i="40"/>
  <c r="O27" i="40"/>
  <c r="O28" i="40"/>
  <c r="O29" i="40"/>
  <c r="H4" i="45" l="1"/>
  <c r="G4" i="45"/>
  <c r="A4" i="45"/>
  <c r="J224" i="2" l="1"/>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H98" i="30" l="1"/>
  <c r="H97" i="30"/>
  <c r="H96" i="30"/>
  <c r="H95" i="30"/>
  <c r="H94" i="30"/>
  <c r="H93" i="30"/>
  <c r="H92" i="30"/>
  <c r="H91" i="30"/>
  <c r="H90" i="30"/>
  <c r="H89" i="30"/>
  <c r="H88" i="30"/>
  <c r="H87" i="30"/>
  <c r="H86" i="30"/>
  <c r="H85" i="30"/>
  <c r="H84" i="30"/>
  <c r="H83" i="30"/>
  <c r="H82" i="30"/>
  <c r="H81" i="30"/>
  <c r="H80" i="30"/>
  <c r="H79" i="30"/>
  <c r="H78" i="30"/>
  <c r="H77" i="30"/>
  <c r="H76" i="30"/>
  <c r="H75" i="30"/>
  <c r="H74" i="30"/>
  <c r="H73" i="30"/>
  <c r="H72" i="30"/>
  <c r="H71" i="30"/>
  <c r="H70" i="30"/>
  <c r="H69" i="30"/>
  <c r="H68" i="30"/>
  <c r="H67" i="30"/>
  <c r="H66" i="30"/>
  <c r="H65" i="30"/>
  <c r="H64" i="30"/>
  <c r="H63" i="30"/>
  <c r="H62" i="30"/>
  <c r="H61" i="30"/>
  <c r="H60" i="30"/>
  <c r="H59" i="30"/>
  <c r="H58" i="30"/>
  <c r="H57" i="30"/>
  <c r="H56" i="30"/>
  <c r="H55" i="30"/>
  <c r="H54" i="30"/>
  <c r="H53" i="30"/>
  <c r="H52" i="30"/>
  <c r="H51" i="30"/>
  <c r="H50" i="30"/>
  <c r="H49" i="30"/>
  <c r="H48" i="30"/>
  <c r="H47" i="30"/>
  <c r="H46" i="30"/>
  <c r="H45" i="30"/>
  <c r="H44" i="30"/>
  <c r="H43" i="30"/>
  <c r="H42" i="30"/>
  <c r="H41" i="30"/>
  <c r="H40" i="30"/>
  <c r="H39" i="30"/>
  <c r="H38" i="30"/>
  <c r="H37" i="30"/>
  <c r="H36" i="30"/>
  <c r="H35" i="30"/>
  <c r="H34" i="30"/>
  <c r="H33" i="30"/>
  <c r="H32" i="30"/>
  <c r="H31" i="30"/>
  <c r="H30" i="30"/>
  <c r="H29" i="30"/>
  <c r="H28" i="30"/>
  <c r="H98" i="32"/>
  <c r="H97" i="32"/>
  <c r="H96" i="32"/>
  <c r="H95" i="32"/>
  <c r="H94" i="32"/>
  <c r="H93" i="32"/>
  <c r="H92" i="32"/>
  <c r="H91" i="32"/>
  <c r="H90" i="32"/>
  <c r="H89" i="32"/>
  <c r="H88" i="32"/>
  <c r="H87" i="32"/>
  <c r="H86" i="32"/>
  <c r="H85" i="32"/>
  <c r="H84" i="32"/>
  <c r="H83" i="32"/>
  <c r="H82" i="32"/>
  <c r="H81" i="32"/>
  <c r="H80" i="32"/>
  <c r="H79" i="32"/>
  <c r="H78" i="32"/>
  <c r="H77" i="32"/>
  <c r="H76" i="32"/>
  <c r="H75" i="32"/>
  <c r="H74" i="32"/>
  <c r="H73" i="32"/>
  <c r="H72" i="32"/>
  <c r="H71" i="32"/>
  <c r="H70" i="32"/>
  <c r="H69" i="32"/>
  <c r="H68" i="32"/>
  <c r="H67" i="32"/>
  <c r="H66" i="32"/>
  <c r="H65" i="32"/>
  <c r="H64" i="32"/>
  <c r="H63" i="32"/>
  <c r="H62" i="32"/>
  <c r="H61" i="32"/>
  <c r="H60" i="32"/>
  <c r="H59" i="32"/>
  <c r="H58" i="32"/>
  <c r="H57" i="32"/>
  <c r="H56" i="32"/>
  <c r="H55" i="32"/>
  <c r="H54" i="32"/>
  <c r="H53" i="32"/>
  <c r="H52" i="32"/>
  <c r="H51" i="32"/>
  <c r="H50" i="32"/>
  <c r="H49" i="32"/>
  <c r="H48" i="32"/>
  <c r="H47" i="32"/>
  <c r="H46" i="32"/>
  <c r="H45" i="32"/>
  <c r="H44" i="32"/>
  <c r="H43" i="32"/>
  <c r="H42" i="32"/>
  <c r="H41" i="32"/>
  <c r="H40" i="32"/>
  <c r="H39" i="32"/>
  <c r="H38" i="32"/>
  <c r="H37" i="32"/>
  <c r="H36" i="32"/>
  <c r="H35" i="32"/>
  <c r="H34" i="32"/>
  <c r="H33" i="32"/>
  <c r="H32" i="32"/>
  <c r="H31" i="32"/>
  <c r="H30" i="32"/>
  <c r="H29" i="32"/>
  <c r="H28" i="32"/>
  <c r="H98" i="33"/>
  <c r="H97" i="33"/>
  <c r="H96" i="33"/>
  <c r="H95" i="33"/>
  <c r="H94" i="33"/>
  <c r="H93" i="33"/>
  <c r="H92" i="33"/>
  <c r="H91" i="33"/>
  <c r="H90" i="33"/>
  <c r="H89" i="33"/>
  <c r="H88" i="33"/>
  <c r="H87" i="33"/>
  <c r="H86" i="33"/>
  <c r="H85" i="33"/>
  <c r="H84" i="33"/>
  <c r="H83" i="33"/>
  <c r="H82" i="33"/>
  <c r="H81" i="33"/>
  <c r="H80" i="33"/>
  <c r="H79" i="33"/>
  <c r="H78" i="33"/>
  <c r="H77" i="33"/>
  <c r="H76" i="33"/>
  <c r="H75" i="33"/>
  <c r="H74" i="33"/>
  <c r="H73" i="33"/>
  <c r="H72" i="33"/>
  <c r="H71" i="33"/>
  <c r="H70" i="33"/>
  <c r="H69" i="33"/>
  <c r="H68" i="33"/>
  <c r="H67" i="33"/>
  <c r="H66" i="33"/>
  <c r="H65" i="33"/>
  <c r="H64" i="33"/>
  <c r="H63" i="33"/>
  <c r="H62" i="33"/>
  <c r="H61" i="33"/>
  <c r="H60" i="33"/>
  <c r="H59" i="33"/>
  <c r="H58" i="33"/>
  <c r="H57" i="33"/>
  <c r="H56" i="33"/>
  <c r="H55" i="33"/>
  <c r="H54" i="33"/>
  <c r="H53" i="33"/>
  <c r="H52" i="33"/>
  <c r="H51" i="33"/>
  <c r="H50" i="33"/>
  <c r="H49" i="33"/>
  <c r="H48" i="33"/>
  <c r="H47" i="33"/>
  <c r="H46" i="33"/>
  <c r="H45" i="33"/>
  <c r="H44" i="33"/>
  <c r="H43" i="33"/>
  <c r="H42" i="33"/>
  <c r="H41" i="33"/>
  <c r="H40" i="33"/>
  <c r="H39" i="33"/>
  <c r="H38" i="33"/>
  <c r="H37" i="33"/>
  <c r="H36" i="33"/>
  <c r="H35" i="33"/>
  <c r="H34" i="33"/>
  <c r="H33" i="33"/>
  <c r="H32" i="33"/>
  <c r="H31" i="33"/>
  <c r="H30" i="33"/>
  <c r="H29" i="33"/>
  <c r="H28" i="33"/>
  <c r="H27" i="33"/>
  <c r="H26" i="33"/>
  <c r="H25" i="33"/>
  <c r="H24" i="33"/>
  <c r="H23" i="33"/>
  <c r="H98" i="34"/>
  <c r="H97" i="34"/>
  <c r="H96" i="34"/>
  <c r="H95" i="34"/>
  <c r="H94" i="34"/>
  <c r="H93" i="34"/>
  <c r="H92" i="34"/>
  <c r="H91" i="34"/>
  <c r="H90" i="34"/>
  <c r="H89" i="34"/>
  <c r="H88" i="34"/>
  <c r="H87" i="34"/>
  <c r="H86" i="34"/>
  <c r="H85" i="34"/>
  <c r="H84" i="34"/>
  <c r="H83" i="34"/>
  <c r="H82" i="34"/>
  <c r="H81" i="34"/>
  <c r="H80" i="34"/>
  <c r="H79" i="34"/>
  <c r="H78" i="34"/>
  <c r="H77" i="34"/>
  <c r="H76" i="34"/>
  <c r="H75" i="34"/>
  <c r="H74" i="34"/>
  <c r="H73" i="34"/>
  <c r="H72" i="34"/>
  <c r="H71" i="34"/>
  <c r="H70" i="34"/>
  <c r="H69" i="34"/>
  <c r="H68" i="34"/>
  <c r="H67" i="34"/>
  <c r="H66" i="34"/>
  <c r="H65" i="34"/>
  <c r="H64" i="34"/>
  <c r="H63" i="34"/>
  <c r="H62" i="34"/>
  <c r="H61" i="34"/>
  <c r="H60" i="34"/>
  <c r="H59" i="34"/>
  <c r="H58" i="34"/>
  <c r="H57" i="34"/>
  <c r="H56" i="34"/>
  <c r="H55" i="34"/>
  <c r="H54" i="34"/>
  <c r="H53" i="34"/>
  <c r="H52" i="34"/>
  <c r="H51" i="34"/>
  <c r="H50" i="34"/>
  <c r="H49" i="34"/>
  <c r="H48" i="34"/>
  <c r="H47" i="34"/>
  <c r="H46" i="34"/>
  <c r="H45" i="34"/>
  <c r="H44" i="34"/>
  <c r="H43" i="34"/>
  <c r="H42" i="34"/>
  <c r="H41" i="34"/>
  <c r="H40" i="34"/>
  <c r="H39" i="34"/>
  <c r="H38" i="34"/>
  <c r="H37" i="34"/>
  <c r="H36" i="34"/>
  <c r="H35" i="34"/>
  <c r="H34" i="34"/>
  <c r="H33" i="34"/>
  <c r="H32" i="34"/>
  <c r="H31" i="34"/>
  <c r="H30" i="34"/>
  <c r="H29" i="34"/>
  <c r="H28" i="34"/>
  <c r="H27" i="34"/>
  <c r="H26" i="34"/>
  <c r="H25" i="34"/>
  <c r="H24" i="34"/>
  <c r="H23" i="34"/>
  <c r="H22" i="34"/>
  <c r="H21" i="34"/>
  <c r="H20" i="34"/>
  <c r="H19" i="34"/>
  <c r="H18" i="34"/>
  <c r="H17" i="34"/>
  <c r="H16" i="34"/>
  <c r="H15" i="34"/>
  <c r="H14" i="34"/>
  <c r="H13" i="34"/>
  <c r="H98" i="35"/>
  <c r="H97" i="35"/>
  <c r="H96" i="35"/>
  <c r="H95" i="35"/>
  <c r="H94" i="35"/>
  <c r="H93" i="35"/>
  <c r="H92" i="35"/>
  <c r="H91" i="35"/>
  <c r="H90" i="35"/>
  <c r="H89" i="35"/>
  <c r="H88" i="35"/>
  <c r="H87" i="35"/>
  <c r="H86" i="35"/>
  <c r="H85" i="35"/>
  <c r="H84" i="35"/>
  <c r="H83" i="35"/>
  <c r="H82" i="35"/>
  <c r="H81" i="35"/>
  <c r="H80" i="35"/>
  <c r="H79" i="35"/>
  <c r="H78" i="35"/>
  <c r="H77" i="35"/>
  <c r="H76" i="35"/>
  <c r="H75" i="35"/>
  <c r="H74" i="35"/>
  <c r="H73" i="35"/>
  <c r="H72" i="35"/>
  <c r="H71" i="35"/>
  <c r="H70" i="35"/>
  <c r="H69" i="35"/>
  <c r="H68" i="35"/>
  <c r="H67" i="35"/>
  <c r="H66" i="35"/>
  <c r="H65" i="35"/>
  <c r="H64" i="35"/>
  <c r="H63" i="35"/>
  <c r="H62" i="35"/>
  <c r="H61" i="35"/>
  <c r="H60" i="35"/>
  <c r="H59" i="35"/>
  <c r="H58" i="35"/>
  <c r="H57" i="35"/>
  <c r="H56" i="35"/>
  <c r="H55" i="35"/>
  <c r="H54" i="35"/>
  <c r="H53" i="35"/>
  <c r="H52"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98" i="36"/>
  <c r="H97" i="36"/>
  <c r="H96" i="36"/>
  <c r="H95" i="36"/>
  <c r="H94" i="36"/>
  <c r="H93" i="36"/>
  <c r="H92" i="36"/>
  <c r="H91" i="36"/>
  <c r="H90" i="36"/>
  <c r="H89" i="36"/>
  <c r="H88" i="36"/>
  <c r="H87" i="36"/>
  <c r="H86" i="36"/>
  <c r="H85" i="36"/>
  <c r="H84" i="36"/>
  <c r="H83" i="36"/>
  <c r="H82" i="36"/>
  <c r="H81" i="36"/>
  <c r="H80" i="36"/>
  <c r="H79" i="36"/>
  <c r="H78" i="36"/>
  <c r="H77" i="36"/>
  <c r="H76" i="36"/>
  <c r="H75" i="36"/>
  <c r="H74" i="36"/>
  <c r="H73" i="36"/>
  <c r="H72" i="36"/>
  <c r="H71" i="36"/>
  <c r="H70" i="36"/>
  <c r="H69" i="36"/>
  <c r="H68" i="36"/>
  <c r="H67" i="36"/>
  <c r="H66" i="36"/>
  <c r="H65" i="36"/>
  <c r="H64" i="36"/>
  <c r="H63" i="36"/>
  <c r="H62" i="36"/>
  <c r="H61" i="36"/>
  <c r="H60" i="36"/>
  <c r="H59" i="36"/>
  <c r="H58" i="36"/>
  <c r="H57" i="36"/>
  <c r="H56" i="36"/>
  <c r="H55" i="36"/>
  <c r="H54" i="36"/>
  <c r="H53" i="36"/>
  <c r="H52" i="36"/>
  <c r="H51" i="36"/>
  <c r="H50" i="36"/>
  <c r="H49" i="36"/>
  <c r="H48" i="36"/>
  <c r="H47" i="36"/>
  <c r="H46" i="36"/>
  <c r="H45" i="36"/>
  <c r="H44" i="36"/>
  <c r="H43" i="36"/>
  <c r="H42" i="36"/>
  <c r="H41" i="36"/>
  <c r="H40" i="36"/>
  <c r="H39" i="36"/>
  <c r="H38" i="36"/>
  <c r="H37" i="36"/>
  <c r="H36" i="36"/>
  <c r="H35" i="36"/>
  <c r="H34" i="36"/>
  <c r="H33" i="36"/>
  <c r="H32" i="36"/>
  <c r="H31" i="36"/>
  <c r="H30" i="36"/>
  <c r="H29" i="36"/>
  <c r="H28" i="36"/>
  <c r="H27" i="36"/>
  <c r="H26" i="36"/>
  <c r="H25" i="36"/>
  <c r="H24" i="36"/>
  <c r="H23" i="36"/>
  <c r="H22" i="36"/>
  <c r="H21" i="36"/>
  <c r="H20" i="36"/>
  <c r="H19" i="36"/>
  <c r="H18" i="36"/>
  <c r="H17" i="36"/>
  <c r="H16" i="36"/>
  <c r="H15" i="36"/>
  <c r="H14" i="36"/>
  <c r="H13" i="36"/>
  <c r="H12" i="36"/>
  <c r="H11" i="36"/>
  <c r="H10" i="36"/>
  <c r="H9" i="36"/>
  <c r="H8" i="36"/>
  <c r="H7" i="36"/>
  <c r="H98" i="37"/>
  <c r="H97" i="37"/>
  <c r="H96" i="37"/>
  <c r="H95" i="37"/>
  <c r="H94" i="37"/>
  <c r="H93" i="37"/>
  <c r="H92" i="37"/>
  <c r="H91" i="37"/>
  <c r="H90" i="37"/>
  <c r="H89" i="37"/>
  <c r="H88" i="37"/>
  <c r="H87" i="37"/>
  <c r="H86" i="37"/>
  <c r="H85" i="37"/>
  <c r="H84" i="37"/>
  <c r="H83" i="37"/>
  <c r="H82" i="37"/>
  <c r="H81" i="37"/>
  <c r="H80" i="37"/>
  <c r="H79" i="37"/>
  <c r="H78" i="37"/>
  <c r="H77" i="37"/>
  <c r="H76" i="37"/>
  <c r="H75" i="37"/>
  <c r="H74"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H38" i="37"/>
  <c r="H37" i="37"/>
  <c r="H36" i="37"/>
  <c r="H35" i="37"/>
  <c r="H34" i="37"/>
  <c r="H33" i="37"/>
  <c r="H32" i="37"/>
  <c r="H31" i="37"/>
  <c r="H30" i="37"/>
  <c r="H29" i="37"/>
  <c r="H28" i="37"/>
  <c r="H27" i="37"/>
  <c r="H26" i="37"/>
  <c r="H25" i="37"/>
  <c r="H24" i="37"/>
  <c r="H23" i="37"/>
  <c r="H22" i="37"/>
  <c r="H21" i="37"/>
  <c r="H20" i="37"/>
  <c r="H19" i="37"/>
  <c r="H18" i="37"/>
  <c r="H17" i="37"/>
  <c r="H16" i="37"/>
  <c r="H15" i="37"/>
  <c r="H14" i="37"/>
  <c r="H13" i="37"/>
  <c r="H12" i="37"/>
  <c r="H11" i="37"/>
  <c r="H10" i="37"/>
  <c r="H9" i="37"/>
  <c r="H8" i="37"/>
  <c r="H98" i="38"/>
  <c r="H97" i="38"/>
  <c r="H96" i="38"/>
  <c r="H95" i="38"/>
  <c r="H94" i="38"/>
  <c r="H93" i="38"/>
  <c r="H92" i="38"/>
  <c r="H91" i="38"/>
  <c r="H90" i="38"/>
  <c r="H89" i="38"/>
  <c r="H88" i="38"/>
  <c r="H87" i="38"/>
  <c r="H86" i="38"/>
  <c r="H85" i="38"/>
  <c r="H84" i="38"/>
  <c r="H83" i="38"/>
  <c r="H82" i="38"/>
  <c r="H81" i="38"/>
  <c r="H80" i="38"/>
  <c r="H79" i="38"/>
  <c r="H78" i="38"/>
  <c r="H77" i="38"/>
  <c r="H76" i="38"/>
  <c r="H75" i="38"/>
  <c r="H74" i="38"/>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H38" i="38"/>
  <c r="H37" i="38"/>
  <c r="H36" i="38"/>
  <c r="H35" i="38"/>
  <c r="H34" i="38"/>
  <c r="H33" i="38"/>
  <c r="H32" i="38"/>
  <c r="H31" i="38"/>
  <c r="H30" i="38"/>
  <c r="H29" i="38"/>
  <c r="H28" i="38"/>
  <c r="H27" i="38"/>
  <c r="H26" i="38"/>
  <c r="H25" i="38"/>
  <c r="H24" i="38"/>
  <c r="H23" i="38"/>
  <c r="H22" i="38"/>
  <c r="H21" i="38"/>
  <c r="H20" i="38"/>
  <c r="H19" i="38"/>
  <c r="H18" i="38"/>
  <c r="H17" i="38"/>
  <c r="H16" i="38"/>
  <c r="H15" i="38"/>
  <c r="H14" i="38"/>
  <c r="H13" i="38"/>
  <c r="H12" i="38"/>
  <c r="H11" i="38"/>
  <c r="H10" i="38"/>
  <c r="H9" i="38"/>
  <c r="H8" i="38"/>
  <c r="H7" i="38"/>
  <c r="H6" i="38"/>
  <c r="H5" i="38"/>
  <c r="B100" i="39"/>
  <c r="H98" i="39"/>
  <c r="H97" i="39"/>
  <c r="H96" i="39"/>
  <c r="H95" i="39"/>
  <c r="H94" i="39"/>
  <c r="H93" i="39"/>
  <c r="H92" i="39"/>
  <c r="H91" i="39"/>
  <c r="H90" i="39"/>
  <c r="H89" i="39"/>
  <c r="H88" i="39"/>
  <c r="H87" i="39"/>
  <c r="H86" i="39"/>
  <c r="H85" i="39"/>
  <c r="H84" i="39"/>
  <c r="H83" i="39"/>
  <c r="H82" i="39"/>
  <c r="H81" i="39"/>
  <c r="H80" i="39"/>
  <c r="H79" i="39"/>
  <c r="H78" i="39"/>
  <c r="H77" i="39"/>
  <c r="H76" i="39"/>
  <c r="H75" i="39"/>
  <c r="H74" i="39"/>
  <c r="H73" i="39"/>
  <c r="H72" i="39"/>
  <c r="H71" i="39"/>
  <c r="H70" i="39"/>
  <c r="H69" i="39"/>
  <c r="H68" i="39"/>
  <c r="H67" i="39"/>
  <c r="H66" i="39"/>
  <c r="H65" i="39"/>
  <c r="H64" i="39"/>
  <c r="H63" i="39"/>
  <c r="H62" i="39"/>
  <c r="H61" i="39"/>
  <c r="H60" i="39"/>
  <c r="H59" i="39"/>
  <c r="H58" i="39"/>
  <c r="H57" i="39"/>
  <c r="H56" i="39"/>
  <c r="H55" i="39"/>
  <c r="H54" i="39"/>
  <c r="H53" i="39"/>
  <c r="H52" i="39"/>
  <c r="H51" i="39"/>
  <c r="H50" i="39"/>
  <c r="H49" i="39"/>
  <c r="H48" i="39"/>
  <c r="H47" i="39"/>
  <c r="H46" i="39"/>
  <c r="H45" i="39"/>
  <c r="H44" i="39"/>
  <c r="H43" i="39"/>
  <c r="H42" i="39"/>
  <c r="H41" i="39"/>
  <c r="H40" i="39"/>
  <c r="H39" i="39"/>
  <c r="H38" i="39"/>
  <c r="H37" i="39"/>
  <c r="H36" i="39"/>
  <c r="H35" i="39"/>
  <c r="H34" i="39"/>
  <c r="H33" i="39"/>
  <c r="H32" i="39"/>
  <c r="H31" i="39"/>
  <c r="H30" i="39"/>
  <c r="H29" i="39"/>
  <c r="H28" i="39"/>
  <c r="H27" i="39"/>
  <c r="H26" i="39"/>
  <c r="H25" i="39"/>
  <c r="H24" i="39"/>
  <c r="H23" i="39"/>
  <c r="H22" i="39"/>
  <c r="H21" i="39"/>
  <c r="H20" i="39"/>
  <c r="H19" i="39"/>
  <c r="H18" i="39"/>
  <c r="H17" i="39"/>
  <c r="H16" i="39"/>
  <c r="H15" i="39"/>
  <c r="H14" i="39"/>
  <c r="H13" i="39"/>
  <c r="H12" i="39"/>
  <c r="H11" i="39"/>
  <c r="H10" i="39"/>
  <c r="H9" i="39"/>
  <c r="H8" i="39"/>
  <c r="H7" i="39"/>
  <c r="H6" i="39"/>
  <c r="H5" i="39"/>
  <c r="B100" i="68"/>
  <c r="H6" i="68"/>
  <c r="H7" i="68"/>
  <c r="H8" i="68"/>
  <c r="H9" i="68"/>
  <c r="H10" i="68"/>
  <c r="H11" i="68"/>
  <c r="H12" i="68"/>
  <c r="H13" i="68"/>
  <c r="H14" i="68"/>
  <c r="H15" i="68"/>
  <c r="H16" i="68"/>
  <c r="H17" i="68"/>
  <c r="H18" i="68"/>
  <c r="H19" i="68"/>
  <c r="H20" i="68"/>
  <c r="H21" i="68"/>
  <c r="H22" i="68"/>
  <c r="H23" i="68"/>
  <c r="H24" i="68"/>
  <c r="H25" i="68"/>
  <c r="H26" i="68"/>
  <c r="H27" i="68"/>
  <c r="H28" i="68"/>
  <c r="H29" i="68"/>
  <c r="H30" i="68"/>
  <c r="H31" i="68"/>
  <c r="H32" i="68"/>
  <c r="H33" i="68"/>
  <c r="H34" i="68"/>
  <c r="H35" i="68"/>
  <c r="H36" i="68"/>
  <c r="H37" i="68"/>
  <c r="H38" i="68"/>
  <c r="H39" i="68"/>
  <c r="H40" i="68"/>
  <c r="H41" i="68"/>
  <c r="H42" i="68"/>
  <c r="H43" i="68"/>
  <c r="H44" i="68"/>
  <c r="H45" i="68"/>
  <c r="H46" i="68"/>
  <c r="H47" i="68"/>
  <c r="H48" i="68"/>
  <c r="H49" i="68"/>
  <c r="H50" i="68"/>
  <c r="H51" i="68"/>
  <c r="H52" i="68"/>
  <c r="H53" i="68"/>
  <c r="H54" i="68"/>
  <c r="H55" i="68"/>
  <c r="H56" i="68"/>
  <c r="H57" i="68"/>
  <c r="H58" i="68"/>
  <c r="H59" i="68"/>
  <c r="H60" i="68"/>
  <c r="H61" i="68"/>
  <c r="H62" i="68"/>
  <c r="H63" i="68"/>
  <c r="H64" i="68"/>
  <c r="H65" i="68"/>
  <c r="H66" i="68"/>
  <c r="H67" i="68"/>
  <c r="H68" i="68"/>
  <c r="H69" i="68"/>
  <c r="H70" i="68"/>
  <c r="H71" i="68"/>
  <c r="H72" i="68"/>
  <c r="H73" i="68"/>
  <c r="H74" i="68"/>
  <c r="H75" i="68"/>
  <c r="H76" i="68"/>
  <c r="H77" i="68"/>
  <c r="H78" i="68"/>
  <c r="H79" i="68"/>
  <c r="H80" i="68"/>
  <c r="H81" i="68"/>
  <c r="H82" i="68"/>
  <c r="H83" i="68"/>
  <c r="H84" i="68"/>
  <c r="H85" i="68"/>
  <c r="H86" i="68"/>
  <c r="H87" i="68"/>
  <c r="H88" i="68"/>
  <c r="H89" i="68"/>
  <c r="H90" i="68"/>
  <c r="H91" i="68"/>
  <c r="H92" i="68"/>
  <c r="H93" i="68"/>
  <c r="H94" i="68"/>
  <c r="H95" i="68"/>
  <c r="H96" i="68"/>
  <c r="H97" i="68"/>
  <c r="H98" i="68"/>
  <c r="H5" i="68"/>
  <c r="I61" i="14" l="1"/>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304" i="13"/>
  <c r="I102" i="13"/>
  <c r="I98" i="13"/>
  <c r="I99" i="13"/>
  <c r="I100" i="13"/>
  <c r="I101"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G508" i="2" l="1"/>
  <c r="B306" i="13" l="1"/>
  <c r="P7" i="1" l="1"/>
  <c r="O7" i="1"/>
  <c r="N7" i="1"/>
  <c r="I2" i="42" l="1"/>
  <c r="A3" i="42"/>
  <c r="H99" i="42"/>
  <c r="B100" i="42"/>
  <c r="E19" i="41"/>
  <c r="G99" i="42" l="1"/>
  <c r="D19" i="41"/>
  <c r="G19" i="41" l="1"/>
  <c r="F19" i="41"/>
  <c r="I99" i="42"/>
  <c r="H100" i="42" l="1"/>
  <c r="H101" i="42" s="1"/>
  <c r="G100" i="42"/>
  <c r="G101" i="42" s="1"/>
  <c r="F4" i="36"/>
  <c r="Y2" i="72"/>
  <c r="Y2" i="71"/>
  <c r="I2" i="46"/>
  <c r="G4" i="37"/>
  <c r="G4" i="36"/>
  <c r="G4" i="35"/>
  <c r="F4" i="35"/>
  <c r="G4" i="32"/>
  <c r="F4" i="32"/>
  <c r="F99" i="32" s="1"/>
  <c r="G4" i="30"/>
  <c r="F4" i="30"/>
  <c r="H4" i="15"/>
  <c r="H4" i="13"/>
  <c r="H305" i="13" s="1"/>
  <c r="G4" i="13"/>
  <c r="G305" i="13" s="1"/>
  <c r="H4" i="10"/>
  <c r="H4" i="7"/>
  <c r="G4" i="7"/>
  <c r="A1" i="46"/>
  <c r="A1" i="71"/>
  <c r="A1" i="72"/>
  <c r="T16" i="72"/>
  <c r="U15" i="72"/>
  <c r="W15" i="72" s="1"/>
  <c r="Q15" i="72"/>
  <c r="P15" i="72"/>
  <c r="O15" i="72"/>
  <c r="N15" i="72"/>
  <c r="M15" i="72"/>
  <c r="X15" i="72" s="1"/>
  <c r="I15" i="72"/>
  <c r="D15" i="72"/>
  <c r="Q14" i="72"/>
  <c r="P14" i="72"/>
  <c r="O14" i="72"/>
  <c r="N14" i="72"/>
  <c r="M14" i="72"/>
  <c r="S14" i="72" s="1"/>
  <c r="U14" i="72" s="1"/>
  <c r="I14" i="72"/>
  <c r="D14" i="72"/>
  <c r="Q13" i="72"/>
  <c r="P13" i="72"/>
  <c r="O13" i="72"/>
  <c r="N13" i="72"/>
  <c r="M13" i="72"/>
  <c r="S13" i="72" s="1"/>
  <c r="U13" i="72" s="1"/>
  <c r="I13" i="72"/>
  <c r="D13" i="72"/>
  <c r="Q12" i="72"/>
  <c r="P12" i="72"/>
  <c r="O12" i="72"/>
  <c r="N12" i="72"/>
  <c r="S12" i="72" s="1"/>
  <c r="U12" i="72" s="1"/>
  <c r="M12" i="72"/>
  <c r="I12" i="72"/>
  <c r="D12" i="72"/>
  <c r="Q11" i="72"/>
  <c r="P11" i="72"/>
  <c r="O11" i="72"/>
  <c r="N11" i="72"/>
  <c r="S11" i="72" s="1"/>
  <c r="U11" i="72" s="1"/>
  <c r="M11" i="72"/>
  <c r="I11" i="72"/>
  <c r="D11" i="72"/>
  <c r="S10" i="72"/>
  <c r="U10" i="72" s="1"/>
  <c r="W10" i="72" s="1"/>
  <c r="Q10" i="72"/>
  <c r="P10" i="72"/>
  <c r="O10" i="72"/>
  <c r="N10" i="72"/>
  <c r="M10" i="72"/>
  <c r="X10" i="72" s="1"/>
  <c r="I10" i="72"/>
  <c r="D10" i="72"/>
  <c r="P9" i="72"/>
  <c r="Q9" i="72" s="1"/>
  <c r="I9" i="72" s="1"/>
  <c r="O9" i="72"/>
  <c r="N9" i="72"/>
  <c r="M9" i="72"/>
  <c r="S9" i="72" s="1"/>
  <c r="U9" i="72" s="1"/>
  <c r="W9" i="72" s="1"/>
  <c r="D9" i="72"/>
  <c r="P8" i="72"/>
  <c r="Q8" i="72" s="1"/>
  <c r="O8" i="72"/>
  <c r="N8" i="72"/>
  <c r="D8" i="72"/>
  <c r="M8" i="72" s="1"/>
  <c r="P7" i="72"/>
  <c r="Q7" i="72" s="1"/>
  <c r="S7" i="72" s="1"/>
  <c r="U7" i="72" s="1"/>
  <c r="W7" i="72" s="1"/>
  <c r="O7" i="72"/>
  <c r="N7" i="72"/>
  <c r="M7" i="72"/>
  <c r="X7" i="72" s="1"/>
  <c r="D7" i="72"/>
  <c r="P6" i="72"/>
  <c r="Q6" i="72" s="1"/>
  <c r="O6" i="72"/>
  <c r="N6" i="72"/>
  <c r="M6" i="72"/>
  <c r="D6" i="72"/>
  <c r="P5" i="72"/>
  <c r="Q5" i="72" s="1"/>
  <c r="O5" i="72"/>
  <c r="N5" i="72"/>
  <c r="D5" i="72"/>
  <c r="M5" i="72" s="1"/>
  <c r="T16" i="71"/>
  <c r="S15" i="71"/>
  <c r="U15" i="71" s="1"/>
  <c r="W15" i="71" s="1"/>
  <c r="Q15" i="71"/>
  <c r="P15" i="71"/>
  <c r="O15" i="71"/>
  <c r="N15" i="71"/>
  <c r="M15" i="71"/>
  <c r="X15" i="71" s="1"/>
  <c r="I15" i="71"/>
  <c r="D15" i="71"/>
  <c r="Q14" i="71"/>
  <c r="P14" i="71"/>
  <c r="O14" i="71"/>
  <c r="N14" i="71"/>
  <c r="M14" i="71"/>
  <c r="S14" i="71" s="1"/>
  <c r="U14" i="71" s="1"/>
  <c r="W14" i="71" s="1"/>
  <c r="I14" i="71"/>
  <c r="D14" i="71"/>
  <c r="Q13" i="71"/>
  <c r="P13" i="71"/>
  <c r="O13" i="71"/>
  <c r="N13" i="71"/>
  <c r="M13" i="71"/>
  <c r="I13" i="71"/>
  <c r="D13" i="71"/>
  <c r="Q12" i="71"/>
  <c r="P12" i="71"/>
  <c r="O12" i="71"/>
  <c r="N12" i="71"/>
  <c r="S12" i="71" s="1"/>
  <c r="U12" i="71" s="1"/>
  <c r="W12" i="71" s="1"/>
  <c r="M12" i="71"/>
  <c r="I12" i="71"/>
  <c r="D12" i="71"/>
  <c r="Q11" i="71"/>
  <c r="P11" i="71"/>
  <c r="O11" i="71"/>
  <c r="N11" i="71"/>
  <c r="S11" i="71" s="1"/>
  <c r="U11" i="71" s="1"/>
  <c r="W11" i="71" s="1"/>
  <c r="M11" i="71"/>
  <c r="X11" i="71" s="1"/>
  <c r="I11" i="71"/>
  <c r="D11" i="71"/>
  <c r="S10" i="71"/>
  <c r="U10" i="71" s="1"/>
  <c r="W10" i="71" s="1"/>
  <c r="Q10" i="71"/>
  <c r="P10" i="71"/>
  <c r="O10" i="71"/>
  <c r="N10" i="71"/>
  <c r="M10" i="71"/>
  <c r="I10" i="71"/>
  <c r="D10" i="71"/>
  <c r="Q9" i="71"/>
  <c r="P9" i="71"/>
  <c r="O9" i="71"/>
  <c r="N9" i="71"/>
  <c r="M9" i="71"/>
  <c r="S9" i="71" s="1"/>
  <c r="U9" i="71" s="1"/>
  <c r="W9" i="71" s="1"/>
  <c r="I9" i="71"/>
  <c r="D9" i="71"/>
  <c r="S8" i="71"/>
  <c r="U8" i="71" s="1"/>
  <c r="W8" i="71" s="1"/>
  <c r="Q8" i="71"/>
  <c r="P8" i="71"/>
  <c r="O8" i="71"/>
  <c r="N8" i="71"/>
  <c r="M8" i="71"/>
  <c r="X8" i="71" s="1"/>
  <c r="I8" i="71"/>
  <c r="D8" i="71"/>
  <c r="S7" i="71"/>
  <c r="U7" i="71" s="1"/>
  <c r="W7" i="71" s="1"/>
  <c r="Q7" i="71"/>
  <c r="P7" i="71"/>
  <c r="O7" i="71"/>
  <c r="N7" i="71"/>
  <c r="M7" i="71"/>
  <c r="X7" i="71" s="1"/>
  <c r="I7" i="71"/>
  <c r="D7" i="71"/>
  <c r="Q6" i="71"/>
  <c r="P6" i="71"/>
  <c r="O6" i="71"/>
  <c r="N6" i="71"/>
  <c r="M6" i="71"/>
  <c r="S6" i="71" s="1"/>
  <c r="U6" i="71" s="1"/>
  <c r="W6" i="71" s="1"/>
  <c r="I6" i="71"/>
  <c r="D6" i="71"/>
  <c r="Q5" i="71"/>
  <c r="P5" i="71"/>
  <c r="O5" i="71"/>
  <c r="N5" i="71"/>
  <c r="M5" i="71"/>
  <c r="I5" i="71"/>
  <c r="D5" i="71"/>
  <c r="E7" i="41"/>
  <c r="D7" i="41"/>
  <c r="G7" i="41" l="1"/>
  <c r="F7" i="41"/>
  <c r="H4" i="32"/>
  <c r="H5" i="32" s="1"/>
  <c r="H6" i="32" s="1"/>
  <c r="H7" i="32" s="1"/>
  <c r="H8" i="32" s="1"/>
  <c r="H9" i="32" s="1"/>
  <c r="H10" i="32" s="1"/>
  <c r="H11" i="32" s="1"/>
  <c r="H12" i="32" s="1"/>
  <c r="H13" i="32" s="1"/>
  <c r="H14" i="32" s="1"/>
  <c r="H15" i="32" s="1"/>
  <c r="H16" i="32" s="1"/>
  <c r="H17" i="32" s="1"/>
  <c r="H18" i="32" s="1"/>
  <c r="H19" i="32" s="1"/>
  <c r="H20" i="32" s="1"/>
  <c r="H21" i="32" s="1"/>
  <c r="H22" i="32" s="1"/>
  <c r="H23" i="32" s="1"/>
  <c r="H24" i="32" s="1"/>
  <c r="H25" i="32" s="1"/>
  <c r="H26" i="32" s="1"/>
  <c r="H27" i="32" s="1"/>
  <c r="H4" i="35"/>
  <c r="H5" i="35" s="1"/>
  <c r="H6" i="35" s="1"/>
  <c r="H7" i="35" s="1"/>
  <c r="H8" i="35" s="1"/>
  <c r="H9" i="35" s="1"/>
  <c r="H10" i="35" s="1"/>
  <c r="H11" i="35" s="1"/>
  <c r="H12" i="35" s="1"/>
  <c r="H13" i="35" s="1"/>
  <c r="H14" i="35" s="1"/>
  <c r="H15" i="35" s="1"/>
  <c r="H16" i="35" s="1"/>
  <c r="H17" i="35" s="1"/>
  <c r="H18" i="35" s="1"/>
  <c r="H19" i="35" s="1"/>
  <c r="H20" i="35" s="1"/>
  <c r="H4" i="36"/>
  <c r="H5" i="36" s="1"/>
  <c r="H6" i="36" s="1"/>
  <c r="I305" i="13"/>
  <c r="G306" i="13" s="1"/>
  <c r="G307" i="13" s="1"/>
  <c r="I101" i="42"/>
  <c r="F4" i="68"/>
  <c r="G4" i="68"/>
  <c r="G99" i="68" s="1"/>
  <c r="G4" i="38"/>
  <c r="H4" i="16"/>
  <c r="F4" i="37"/>
  <c r="H4" i="37" s="1"/>
  <c r="H5" i="37" s="1"/>
  <c r="H6" i="37" s="1"/>
  <c r="H7" i="37" s="1"/>
  <c r="H4" i="12"/>
  <c r="G4" i="39"/>
  <c r="G99" i="39" s="1"/>
  <c r="G4" i="33"/>
  <c r="F4" i="39"/>
  <c r="G4" i="34"/>
  <c r="G4" i="15"/>
  <c r="F4" i="34"/>
  <c r="F4" i="38"/>
  <c r="G4" i="16"/>
  <c r="G4" i="12"/>
  <c r="F4" i="33"/>
  <c r="I6" i="72"/>
  <c r="S8" i="72"/>
  <c r="U8" i="72" s="1"/>
  <c r="W8" i="72" s="1"/>
  <c r="X8" i="72"/>
  <c r="I8" i="72"/>
  <c r="W14" i="72"/>
  <c r="X14" i="72"/>
  <c r="X12" i="72"/>
  <c r="W12" i="72"/>
  <c r="I5" i="72"/>
  <c r="S5" i="72"/>
  <c r="X12" i="71"/>
  <c r="X11" i="72"/>
  <c r="W11" i="72"/>
  <c r="X13" i="72"/>
  <c r="W13" i="72"/>
  <c r="X10" i="71"/>
  <c r="X6" i="71"/>
  <c r="X14" i="71"/>
  <c r="X9" i="71"/>
  <c r="X9" i="72"/>
  <c r="S5" i="71"/>
  <c r="S13" i="71"/>
  <c r="U13" i="71" s="1"/>
  <c r="W13" i="71" s="1"/>
  <c r="I7" i="72"/>
  <c r="S6" i="72"/>
  <c r="U6" i="72" s="1"/>
  <c r="W6" i="72" s="1"/>
  <c r="E17" i="41"/>
  <c r="E16" i="41"/>
  <c r="H4" i="33" l="1"/>
  <c r="H5" i="33" s="1"/>
  <c r="H6" i="33" s="1"/>
  <c r="H7" i="33" s="1"/>
  <c r="H8" i="33" s="1"/>
  <c r="H9" i="33" s="1"/>
  <c r="H10" i="33" s="1"/>
  <c r="H11" i="33" s="1"/>
  <c r="H12" i="33" s="1"/>
  <c r="H13" i="33" s="1"/>
  <c r="H14" i="33" s="1"/>
  <c r="H15" i="33" s="1"/>
  <c r="H16" i="33" s="1"/>
  <c r="H17" i="33" s="1"/>
  <c r="H18" i="33" s="1"/>
  <c r="H19" i="33" s="1"/>
  <c r="H20" i="33" s="1"/>
  <c r="H21" i="33" s="1"/>
  <c r="H22" i="33" s="1"/>
  <c r="H4" i="34"/>
  <c r="H5" i="34" s="1"/>
  <c r="H6" i="34" s="1"/>
  <c r="H7" i="34" s="1"/>
  <c r="H8" i="34" s="1"/>
  <c r="H9" i="34" s="1"/>
  <c r="H10" i="34" s="1"/>
  <c r="H11" i="34" s="1"/>
  <c r="H12" i="34" s="1"/>
  <c r="H4" i="39"/>
  <c r="F99" i="39"/>
  <c r="H4" i="38"/>
  <c r="F99" i="68"/>
  <c r="H4" i="68"/>
  <c r="H306" i="13"/>
  <c r="H307" i="13" s="1"/>
  <c r="I307" i="13" s="1"/>
  <c r="U5" i="71"/>
  <c r="S16" i="71"/>
  <c r="X13" i="71"/>
  <c r="X6" i="72"/>
  <c r="U5" i="72"/>
  <c r="S16" i="72"/>
  <c r="D17" i="41"/>
  <c r="D16" i="41"/>
  <c r="G17" i="41" l="1"/>
  <c r="F17" i="41"/>
  <c r="F16" i="41"/>
  <c r="G16" i="41"/>
  <c r="H99" i="68"/>
  <c r="F100" i="68" s="1"/>
  <c r="F101" i="68" s="1"/>
  <c r="H99" i="39"/>
  <c r="F100" i="39" s="1"/>
  <c r="F101" i="39" s="1"/>
  <c r="U16" i="72"/>
  <c r="W5" i="72"/>
  <c r="W16" i="72" s="1"/>
  <c r="X5" i="72"/>
  <c r="X16" i="72" s="1"/>
  <c r="U16" i="71"/>
  <c r="W5" i="71"/>
  <c r="W16" i="71" s="1"/>
  <c r="X5" i="71"/>
  <c r="X16" i="71" s="1"/>
  <c r="G100" i="39" l="1"/>
  <c r="G101" i="39" s="1"/>
  <c r="H101" i="39" s="1"/>
  <c r="G100" i="68"/>
  <c r="G101" i="68" s="1"/>
  <c r="H101" i="68" s="1"/>
  <c r="A25" i="46" l="1"/>
  <c r="A30" i="46"/>
  <c r="A29" i="46"/>
  <c r="A28" i="46"/>
  <c r="A27" i="46"/>
  <c r="A26" i="46"/>
  <c r="A24" i="46"/>
  <c r="A23" i="46"/>
  <c r="A22" i="46"/>
  <c r="A21" i="46"/>
  <c r="A20" i="46"/>
  <c r="A19" i="46"/>
  <c r="A18" i="46"/>
  <c r="A17" i="46"/>
  <c r="A16" i="46"/>
  <c r="A15" i="46"/>
  <c r="A14" i="46"/>
  <c r="A13" i="46"/>
  <c r="A12" i="46"/>
  <c r="A11" i="46"/>
  <c r="A10" i="46"/>
  <c r="A9" i="46"/>
  <c r="A8" i="46"/>
  <c r="A7" i="46"/>
  <c r="A6" i="46"/>
  <c r="A5" i="46"/>
  <c r="O2" i="40"/>
  <c r="A1" i="40"/>
  <c r="A4" i="68"/>
  <c r="A3" i="68"/>
  <c r="A4" i="39"/>
  <c r="A3" i="39"/>
  <c r="A4" i="38"/>
  <c r="A3" i="38"/>
  <c r="A4" i="37"/>
  <c r="A3" i="37"/>
  <c r="A4" i="36"/>
  <c r="A3" i="36"/>
  <c r="A4" i="35"/>
  <c r="A3" i="35"/>
  <c r="A4" i="34"/>
  <c r="A3" i="34"/>
  <c r="A4" i="33"/>
  <c r="A3" i="33"/>
  <c r="A4" i="32"/>
  <c r="A3" i="32"/>
  <c r="A4" i="30"/>
  <c r="A3" i="30"/>
  <c r="A3" i="70"/>
  <c r="A3" i="69"/>
  <c r="A3" i="67"/>
  <c r="A3" i="66"/>
  <c r="A3" i="25"/>
  <c r="A3" i="43"/>
  <c r="A3" i="23"/>
  <c r="A3" i="21"/>
  <c r="A3" i="19"/>
  <c r="A3" i="18"/>
  <c r="A3" i="50"/>
  <c r="A3" i="20"/>
  <c r="A3" i="24"/>
  <c r="A3" i="17"/>
  <c r="A3" i="44"/>
  <c r="A3" i="14"/>
  <c r="A4" i="15"/>
  <c r="A3" i="15"/>
  <c r="A4" i="12"/>
  <c r="A3" i="12"/>
  <c r="A3" i="11"/>
  <c r="A3" i="45"/>
  <c r="A4" i="16"/>
  <c r="A3" i="16"/>
  <c r="A4" i="13"/>
  <c r="A3" i="13"/>
  <c r="A4" i="10"/>
  <c r="A3" i="10"/>
  <c r="A3" i="7"/>
  <c r="A4" i="7"/>
  <c r="A4" i="29"/>
  <c r="A3" i="29"/>
  <c r="A3" i="59"/>
  <c r="A4" i="59"/>
  <c r="A3" i="2"/>
  <c r="N3" i="40"/>
  <c r="M3" i="40"/>
  <c r="L3" i="40"/>
  <c r="K3" i="40"/>
  <c r="J3" i="40"/>
  <c r="I3" i="40"/>
  <c r="H3" i="40"/>
  <c r="G3" i="40"/>
  <c r="F3" i="40"/>
  <c r="E3" i="40"/>
  <c r="D3" i="40"/>
  <c r="C3" i="40"/>
  <c r="M7" i="1"/>
  <c r="L7" i="1"/>
  <c r="K7" i="1"/>
  <c r="J7" i="1"/>
  <c r="S6" i="1"/>
  <c r="R6" i="1"/>
  <c r="Q6" i="1"/>
  <c r="P6" i="1"/>
  <c r="O6" i="1"/>
  <c r="N6" i="1"/>
  <c r="M6" i="1"/>
  <c r="L6" i="1"/>
  <c r="K6" i="1"/>
  <c r="J6" i="1"/>
  <c r="U5" i="1"/>
  <c r="U6" i="1"/>
  <c r="U7" i="1"/>
  <c r="U8" i="1"/>
  <c r="U9" i="1"/>
  <c r="U10" i="1"/>
  <c r="U11" i="1"/>
  <c r="U12" i="1"/>
  <c r="U13" i="1"/>
  <c r="U14" i="1"/>
  <c r="U15" i="1"/>
  <c r="U16" i="1"/>
  <c r="U17" i="1"/>
  <c r="U18" i="1"/>
  <c r="U19" i="1"/>
  <c r="U20" i="1"/>
  <c r="U21" i="1"/>
  <c r="U22" i="1"/>
  <c r="U23" i="1"/>
  <c r="U24" i="1"/>
  <c r="U25" i="1"/>
  <c r="U26" i="1"/>
  <c r="U27" i="1"/>
  <c r="U28" i="1"/>
  <c r="U29" i="1"/>
  <c r="U30" i="1"/>
  <c r="E34" i="46"/>
  <c r="D34" i="46"/>
  <c r="F206" i="2" l="1"/>
  <c r="E206" i="2" s="1"/>
  <c r="F198" i="2"/>
  <c r="E198" i="2" s="1"/>
  <c r="F190" i="2"/>
  <c r="E190" i="2" s="1"/>
  <c r="F182" i="2"/>
  <c r="E182" i="2" s="1"/>
  <c r="F174" i="2"/>
  <c r="E174" i="2" s="1"/>
  <c r="F166" i="2"/>
  <c r="E166" i="2" s="1"/>
  <c r="F158" i="2"/>
  <c r="E158" i="2" s="1"/>
  <c r="F150" i="2"/>
  <c r="E150" i="2" s="1"/>
  <c r="F142" i="2"/>
  <c r="E142" i="2" s="1"/>
  <c r="F134" i="2"/>
  <c r="E134" i="2" s="1"/>
  <c r="F126" i="2"/>
  <c r="E126" i="2" s="1"/>
  <c r="F118" i="2"/>
  <c r="E118" i="2" s="1"/>
  <c r="I112" i="2"/>
  <c r="H112" i="2" s="1"/>
  <c r="I110" i="2"/>
  <c r="H110" i="2" s="1"/>
  <c r="I108" i="2"/>
  <c r="H108" i="2" s="1"/>
  <c r="F103" i="2"/>
  <c r="E103" i="2" s="1"/>
  <c r="F99" i="2"/>
  <c r="E99" i="2" s="1"/>
  <c r="I95" i="2"/>
  <c r="H95" i="2" s="1"/>
  <c r="I93" i="2"/>
  <c r="H93" i="2" s="1"/>
  <c r="I91" i="2"/>
  <c r="H91" i="2" s="1"/>
  <c r="F86" i="2"/>
  <c r="E86" i="2" s="1"/>
  <c r="I80" i="2"/>
  <c r="H80" i="2" s="1"/>
  <c r="I78" i="2"/>
  <c r="H78" i="2" s="1"/>
  <c r="I76" i="2"/>
  <c r="H76" i="2" s="1"/>
  <c r="F71" i="2"/>
  <c r="E71" i="2" s="1"/>
  <c r="F67" i="2"/>
  <c r="E67" i="2" s="1"/>
  <c r="I63" i="2"/>
  <c r="H63" i="2" s="1"/>
  <c r="I61" i="2"/>
  <c r="H61" i="2" s="1"/>
  <c r="I59" i="2"/>
  <c r="H59" i="2" s="1"/>
  <c r="F54" i="2"/>
  <c r="E54" i="2" s="1"/>
  <c r="I48" i="2"/>
  <c r="H48" i="2" s="1"/>
  <c r="I46" i="2"/>
  <c r="H46" i="2" s="1"/>
  <c r="I44" i="2"/>
  <c r="H44" i="2" s="1"/>
  <c r="F39" i="2"/>
  <c r="E39" i="2" s="1"/>
  <c r="F35" i="2"/>
  <c r="E35" i="2" s="1"/>
  <c r="I31" i="2"/>
  <c r="H31" i="2" s="1"/>
  <c r="I29" i="2"/>
  <c r="H29" i="2" s="1"/>
  <c r="I27" i="2"/>
  <c r="H27" i="2" s="1"/>
  <c r="F22" i="2"/>
  <c r="E22" i="2" s="1"/>
  <c r="I16" i="2"/>
  <c r="H16" i="2" s="1"/>
  <c r="I14" i="2"/>
  <c r="H14" i="2" s="1"/>
  <c r="I12" i="2"/>
  <c r="H12" i="2" s="1"/>
  <c r="F7" i="2"/>
  <c r="E7" i="2" s="1"/>
  <c r="F48" i="2"/>
  <c r="E48" i="2" s="1"/>
  <c r="I211" i="2"/>
  <c r="H211" i="2" s="1"/>
  <c r="I209" i="2"/>
  <c r="H209" i="2" s="1"/>
  <c r="I203" i="2"/>
  <c r="H203" i="2" s="1"/>
  <c r="I201" i="2"/>
  <c r="H201" i="2" s="1"/>
  <c r="I195" i="2"/>
  <c r="H195" i="2" s="1"/>
  <c r="I193" i="2"/>
  <c r="H193" i="2" s="1"/>
  <c r="I187" i="2"/>
  <c r="H187" i="2" s="1"/>
  <c r="I185" i="2"/>
  <c r="H185" i="2" s="1"/>
  <c r="I179" i="2"/>
  <c r="H179" i="2" s="1"/>
  <c r="I177" i="2"/>
  <c r="H177" i="2" s="1"/>
  <c r="I171" i="2"/>
  <c r="H171" i="2" s="1"/>
  <c r="I169" i="2"/>
  <c r="H169" i="2" s="1"/>
  <c r="I163" i="2"/>
  <c r="H163" i="2" s="1"/>
  <c r="I161" i="2"/>
  <c r="H161" i="2" s="1"/>
  <c r="I155" i="2"/>
  <c r="H155" i="2" s="1"/>
  <c r="I153" i="2"/>
  <c r="H153" i="2" s="1"/>
  <c r="I147" i="2"/>
  <c r="H147" i="2" s="1"/>
  <c r="I145" i="2"/>
  <c r="H145" i="2" s="1"/>
  <c r="I139" i="2"/>
  <c r="H139" i="2" s="1"/>
  <c r="I137" i="2"/>
  <c r="H137" i="2" s="1"/>
  <c r="I131" i="2"/>
  <c r="H131" i="2" s="1"/>
  <c r="I129" i="2"/>
  <c r="H129" i="2" s="1"/>
  <c r="I123" i="2"/>
  <c r="H123" i="2" s="1"/>
  <c r="I121" i="2"/>
  <c r="H121" i="2" s="1"/>
  <c r="F114" i="2"/>
  <c r="E114" i="2" s="1"/>
  <c r="F112" i="2"/>
  <c r="E112" i="2" s="1"/>
  <c r="F108" i="2"/>
  <c r="E108" i="2" s="1"/>
  <c r="I106" i="2"/>
  <c r="H106" i="2" s="1"/>
  <c r="F97" i="2"/>
  <c r="E97" i="2" s="1"/>
  <c r="F93" i="2"/>
  <c r="E93" i="2" s="1"/>
  <c r="I89" i="2"/>
  <c r="H89" i="2" s="1"/>
  <c r="F82" i="2"/>
  <c r="E82" i="2" s="1"/>
  <c r="F80" i="2"/>
  <c r="E80" i="2" s="1"/>
  <c r="F76" i="2"/>
  <c r="E76" i="2" s="1"/>
  <c r="I74" i="2"/>
  <c r="H74" i="2" s="1"/>
  <c r="F65" i="2"/>
  <c r="E65" i="2" s="1"/>
  <c r="F61" i="2"/>
  <c r="E61" i="2" s="1"/>
  <c r="I57" i="2"/>
  <c r="H57" i="2" s="1"/>
  <c r="F50" i="2"/>
  <c r="E50" i="2" s="1"/>
  <c r="F211" i="2"/>
  <c r="E211" i="2" s="1"/>
  <c r="I207" i="2"/>
  <c r="H207" i="2" s="1"/>
  <c r="I205" i="2"/>
  <c r="H205" i="2" s="1"/>
  <c r="F203" i="2"/>
  <c r="E203" i="2" s="1"/>
  <c r="I199" i="2"/>
  <c r="H199" i="2" s="1"/>
  <c r="I197" i="2"/>
  <c r="H197" i="2" s="1"/>
  <c r="F195" i="2"/>
  <c r="E195" i="2" s="1"/>
  <c r="I191" i="2"/>
  <c r="H191" i="2" s="1"/>
  <c r="I189" i="2"/>
  <c r="H189" i="2" s="1"/>
  <c r="F187" i="2"/>
  <c r="E187" i="2" s="1"/>
  <c r="I183" i="2"/>
  <c r="H183" i="2" s="1"/>
  <c r="I181" i="2"/>
  <c r="H181" i="2" s="1"/>
  <c r="F179" i="2"/>
  <c r="E179" i="2" s="1"/>
  <c r="I175" i="2"/>
  <c r="H175" i="2" s="1"/>
  <c r="I173" i="2"/>
  <c r="H173" i="2" s="1"/>
  <c r="F171" i="2"/>
  <c r="E171" i="2" s="1"/>
  <c r="I167" i="2"/>
  <c r="H167" i="2" s="1"/>
  <c r="I165" i="2"/>
  <c r="H165" i="2" s="1"/>
  <c r="F163" i="2"/>
  <c r="E163" i="2" s="1"/>
  <c r="I159" i="2"/>
  <c r="H159" i="2" s="1"/>
  <c r="I157" i="2"/>
  <c r="H157" i="2" s="1"/>
  <c r="F155" i="2"/>
  <c r="E155" i="2" s="1"/>
  <c r="I151" i="2"/>
  <c r="H151" i="2" s="1"/>
  <c r="I149" i="2"/>
  <c r="H149" i="2" s="1"/>
  <c r="F147" i="2"/>
  <c r="E147" i="2" s="1"/>
  <c r="I143" i="2"/>
  <c r="H143" i="2" s="1"/>
  <c r="I141" i="2"/>
  <c r="H141" i="2" s="1"/>
  <c r="F139" i="2"/>
  <c r="E139" i="2" s="1"/>
  <c r="I135" i="2"/>
  <c r="H135" i="2" s="1"/>
  <c r="I133" i="2"/>
  <c r="H133" i="2" s="1"/>
  <c r="F131" i="2"/>
  <c r="E131" i="2" s="1"/>
  <c r="I127" i="2"/>
  <c r="H127" i="2" s="1"/>
  <c r="I125" i="2"/>
  <c r="H125" i="2" s="1"/>
  <c r="F123" i="2"/>
  <c r="E123" i="2" s="1"/>
  <c r="I119" i="2"/>
  <c r="H119" i="2" s="1"/>
  <c r="I117" i="2"/>
  <c r="H117" i="2" s="1"/>
  <c r="I115" i="2"/>
  <c r="H115" i="2" s="1"/>
  <c r="F110" i="2"/>
  <c r="E110" i="2" s="1"/>
  <c r="I104" i="2"/>
  <c r="H104" i="2" s="1"/>
  <c r="I102" i="2"/>
  <c r="H102" i="2" s="1"/>
  <c r="I100" i="2"/>
  <c r="H100" i="2" s="1"/>
  <c r="F95" i="2"/>
  <c r="E95" i="2" s="1"/>
  <c r="F91" i="2"/>
  <c r="E91" i="2" s="1"/>
  <c r="I87" i="2"/>
  <c r="H87" i="2" s="1"/>
  <c r="I85" i="2"/>
  <c r="H85" i="2" s="1"/>
  <c r="I83" i="2"/>
  <c r="H83" i="2" s="1"/>
  <c r="F78" i="2"/>
  <c r="E78" i="2" s="1"/>
  <c r="I72" i="2"/>
  <c r="H72" i="2" s="1"/>
  <c r="I70" i="2"/>
  <c r="H70" i="2" s="1"/>
  <c r="I68" i="2"/>
  <c r="H68" i="2" s="1"/>
  <c r="F63" i="2"/>
  <c r="E63" i="2" s="1"/>
  <c r="F59" i="2"/>
  <c r="E59" i="2" s="1"/>
  <c r="I55" i="2"/>
  <c r="H55" i="2" s="1"/>
  <c r="I53" i="2"/>
  <c r="H53" i="2" s="1"/>
  <c r="F209" i="2"/>
  <c r="E209" i="2" s="1"/>
  <c r="F205" i="2"/>
  <c r="E205" i="2" s="1"/>
  <c r="F201" i="2"/>
  <c r="E201" i="2" s="1"/>
  <c r="F197" i="2"/>
  <c r="E197" i="2" s="1"/>
  <c r="F193" i="2"/>
  <c r="E193" i="2" s="1"/>
  <c r="F189" i="2"/>
  <c r="E189" i="2" s="1"/>
  <c r="F185" i="2"/>
  <c r="E185" i="2" s="1"/>
  <c r="F181" i="2"/>
  <c r="E181" i="2" s="1"/>
  <c r="F177" i="2"/>
  <c r="E177" i="2" s="1"/>
  <c r="F173" i="2"/>
  <c r="E173" i="2" s="1"/>
  <c r="F169" i="2"/>
  <c r="E169" i="2" s="1"/>
  <c r="F165" i="2"/>
  <c r="E165" i="2" s="1"/>
  <c r="F161" i="2"/>
  <c r="E161" i="2" s="1"/>
  <c r="F157" i="2"/>
  <c r="E157" i="2" s="1"/>
  <c r="F153" i="2"/>
  <c r="E153" i="2" s="1"/>
  <c r="F149" i="2"/>
  <c r="E149" i="2" s="1"/>
  <c r="F145" i="2"/>
  <c r="E145" i="2" s="1"/>
  <c r="F141" i="2"/>
  <c r="E141" i="2" s="1"/>
  <c r="F137" i="2"/>
  <c r="E137" i="2" s="1"/>
  <c r="F133" i="2"/>
  <c r="E133" i="2" s="1"/>
  <c r="F129" i="2"/>
  <c r="E129" i="2" s="1"/>
  <c r="F125" i="2"/>
  <c r="E125" i="2" s="1"/>
  <c r="F121" i="2"/>
  <c r="E121" i="2" s="1"/>
  <c r="F117" i="2"/>
  <c r="E117" i="2" s="1"/>
  <c r="I113" i="2"/>
  <c r="H113" i="2" s="1"/>
  <c r="F106" i="2"/>
  <c r="E106" i="2" s="1"/>
  <c r="F104" i="2"/>
  <c r="E104" i="2" s="1"/>
  <c r="F100" i="2"/>
  <c r="E100" i="2" s="1"/>
  <c r="I98" i="2"/>
  <c r="H98" i="2" s="1"/>
  <c r="F89" i="2"/>
  <c r="E89" i="2" s="1"/>
  <c r="F85" i="2"/>
  <c r="E85" i="2" s="1"/>
  <c r="I81" i="2"/>
  <c r="H81" i="2" s="1"/>
  <c r="F74" i="2"/>
  <c r="E74" i="2" s="1"/>
  <c r="F72" i="2"/>
  <c r="E72" i="2" s="1"/>
  <c r="F68" i="2"/>
  <c r="E68" i="2" s="1"/>
  <c r="I66" i="2"/>
  <c r="H66" i="2" s="1"/>
  <c r="F57" i="2"/>
  <c r="E57" i="2" s="1"/>
  <c r="F53" i="2"/>
  <c r="E53" i="2" s="1"/>
  <c r="I49" i="2"/>
  <c r="H49" i="2" s="1"/>
  <c r="F42" i="2"/>
  <c r="E42" i="2" s="1"/>
  <c r="F40" i="2"/>
  <c r="E40" i="2" s="1"/>
  <c r="F36" i="2"/>
  <c r="E36" i="2" s="1"/>
  <c r="I34" i="2"/>
  <c r="H34" i="2" s="1"/>
  <c r="F25" i="2"/>
  <c r="E25" i="2" s="1"/>
  <c r="F21" i="2"/>
  <c r="E21" i="2" s="1"/>
  <c r="I17" i="2"/>
  <c r="H17" i="2" s="1"/>
  <c r="F10" i="2"/>
  <c r="E10" i="2" s="1"/>
  <c r="F8" i="2"/>
  <c r="E8" i="2" s="1"/>
  <c r="F207" i="2"/>
  <c r="E207" i="2" s="1"/>
  <c r="F199" i="2"/>
  <c r="E199" i="2" s="1"/>
  <c r="F191" i="2"/>
  <c r="E191" i="2" s="1"/>
  <c r="F183" i="2"/>
  <c r="E183" i="2" s="1"/>
  <c r="F175" i="2"/>
  <c r="E175" i="2" s="1"/>
  <c r="F167" i="2"/>
  <c r="E167" i="2" s="1"/>
  <c r="F159" i="2"/>
  <c r="E159" i="2" s="1"/>
  <c r="F151" i="2"/>
  <c r="E151" i="2" s="1"/>
  <c r="F143" i="2"/>
  <c r="E143" i="2" s="1"/>
  <c r="F135" i="2"/>
  <c r="E135" i="2" s="1"/>
  <c r="F127" i="2"/>
  <c r="E127" i="2" s="1"/>
  <c r="F119" i="2"/>
  <c r="E119" i="2" s="1"/>
  <c r="F115" i="2"/>
  <c r="E115" i="2" s="1"/>
  <c r="I111" i="2"/>
  <c r="H111" i="2" s="1"/>
  <c r="I109" i="2"/>
  <c r="H109" i="2" s="1"/>
  <c r="I107" i="2"/>
  <c r="H107" i="2" s="1"/>
  <c r="F102" i="2"/>
  <c r="E102" i="2" s="1"/>
  <c r="I96" i="2"/>
  <c r="H96" i="2" s="1"/>
  <c r="I94" i="2"/>
  <c r="H94" i="2" s="1"/>
  <c r="I92" i="2"/>
  <c r="H92" i="2" s="1"/>
  <c r="F87" i="2"/>
  <c r="E87" i="2" s="1"/>
  <c r="F83" i="2"/>
  <c r="E83" i="2" s="1"/>
  <c r="I79" i="2"/>
  <c r="H79" i="2" s="1"/>
  <c r="I77" i="2"/>
  <c r="H77" i="2" s="1"/>
  <c r="I75" i="2"/>
  <c r="H75" i="2" s="1"/>
  <c r="F70" i="2"/>
  <c r="E70" i="2" s="1"/>
  <c r="I64" i="2"/>
  <c r="H64" i="2" s="1"/>
  <c r="I62" i="2"/>
  <c r="H62" i="2" s="1"/>
  <c r="I60" i="2"/>
  <c r="H60" i="2" s="1"/>
  <c r="F55" i="2"/>
  <c r="E55" i="2" s="1"/>
  <c r="F51" i="2"/>
  <c r="E51" i="2" s="1"/>
  <c r="I47" i="2"/>
  <c r="H47" i="2" s="1"/>
  <c r="I45" i="2"/>
  <c r="H45" i="2" s="1"/>
  <c r="I43" i="2"/>
  <c r="H43" i="2" s="1"/>
  <c r="F38" i="2"/>
  <c r="E38" i="2" s="1"/>
  <c r="I32" i="2"/>
  <c r="H32" i="2" s="1"/>
  <c r="I30" i="2"/>
  <c r="H30" i="2" s="1"/>
  <c r="I28" i="2"/>
  <c r="H28" i="2" s="1"/>
  <c r="F23" i="2"/>
  <c r="E23" i="2" s="1"/>
  <c r="F19" i="2"/>
  <c r="E19" i="2" s="1"/>
  <c r="I15" i="2"/>
  <c r="H15" i="2" s="1"/>
  <c r="I13" i="2"/>
  <c r="H13" i="2" s="1"/>
  <c r="I11" i="2"/>
  <c r="H11" i="2" s="1"/>
  <c r="F6" i="2"/>
  <c r="E6" i="2" s="1"/>
  <c r="I210" i="2"/>
  <c r="H210" i="2" s="1"/>
  <c r="I204" i="2"/>
  <c r="H204" i="2" s="1"/>
  <c r="I202" i="2"/>
  <c r="H202" i="2" s="1"/>
  <c r="I196" i="2"/>
  <c r="H196" i="2" s="1"/>
  <c r="I194" i="2"/>
  <c r="H194" i="2" s="1"/>
  <c r="I188" i="2"/>
  <c r="H188" i="2" s="1"/>
  <c r="I186" i="2"/>
  <c r="H186" i="2" s="1"/>
  <c r="I180" i="2"/>
  <c r="H180" i="2" s="1"/>
  <c r="I178" i="2"/>
  <c r="H178" i="2" s="1"/>
  <c r="I172" i="2"/>
  <c r="H172" i="2" s="1"/>
  <c r="I170" i="2"/>
  <c r="H170" i="2" s="1"/>
  <c r="I164" i="2"/>
  <c r="H164" i="2" s="1"/>
  <c r="I162" i="2"/>
  <c r="H162" i="2" s="1"/>
  <c r="I156" i="2"/>
  <c r="H156" i="2" s="1"/>
  <c r="I154" i="2"/>
  <c r="H154" i="2" s="1"/>
  <c r="I148" i="2"/>
  <c r="H148" i="2" s="1"/>
  <c r="I146" i="2"/>
  <c r="H146" i="2" s="1"/>
  <c r="I140" i="2"/>
  <c r="H140" i="2" s="1"/>
  <c r="I138" i="2"/>
  <c r="H138" i="2" s="1"/>
  <c r="I132" i="2"/>
  <c r="H132" i="2" s="1"/>
  <c r="I130" i="2"/>
  <c r="H130" i="2" s="1"/>
  <c r="I124" i="2"/>
  <c r="H124" i="2" s="1"/>
  <c r="I122" i="2"/>
  <c r="H122" i="2" s="1"/>
  <c r="F113" i="2"/>
  <c r="E113" i="2" s="1"/>
  <c r="F109" i="2"/>
  <c r="E109" i="2" s="1"/>
  <c r="I105" i="2"/>
  <c r="H105" i="2" s="1"/>
  <c r="F98" i="2"/>
  <c r="E98" i="2" s="1"/>
  <c r="F96" i="2"/>
  <c r="E96" i="2" s="1"/>
  <c r="F92" i="2"/>
  <c r="E92" i="2" s="1"/>
  <c r="I90" i="2"/>
  <c r="H90" i="2" s="1"/>
  <c r="F81" i="2"/>
  <c r="E81" i="2" s="1"/>
  <c r="F77" i="2"/>
  <c r="E77" i="2" s="1"/>
  <c r="I73" i="2"/>
  <c r="H73" i="2" s="1"/>
  <c r="F66" i="2"/>
  <c r="E66" i="2" s="1"/>
  <c r="F64" i="2"/>
  <c r="E64" i="2" s="1"/>
  <c r="F60" i="2"/>
  <c r="E60" i="2" s="1"/>
  <c r="I58" i="2"/>
  <c r="H58" i="2" s="1"/>
  <c r="F49" i="2"/>
  <c r="E49" i="2" s="1"/>
  <c r="I208" i="2"/>
  <c r="H208" i="2" s="1"/>
  <c r="I206" i="2"/>
  <c r="H206" i="2" s="1"/>
  <c r="F204" i="2"/>
  <c r="E204" i="2" s="1"/>
  <c r="I200" i="2"/>
  <c r="H200" i="2" s="1"/>
  <c r="I198" i="2"/>
  <c r="H198" i="2" s="1"/>
  <c r="F196" i="2"/>
  <c r="E196" i="2" s="1"/>
  <c r="I192" i="2"/>
  <c r="H192" i="2" s="1"/>
  <c r="I190" i="2"/>
  <c r="H190" i="2" s="1"/>
  <c r="F188" i="2"/>
  <c r="E188" i="2" s="1"/>
  <c r="I184" i="2"/>
  <c r="H184" i="2" s="1"/>
  <c r="I182" i="2"/>
  <c r="H182" i="2" s="1"/>
  <c r="F180" i="2"/>
  <c r="E180" i="2" s="1"/>
  <c r="I176" i="2"/>
  <c r="H176" i="2" s="1"/>
  <c r="I174" i="2"/>
  <c r="H174" i="2" s="1"/>
  <c r="F172" i="2"/>
  <c r="E172" i="2" s="1"/>
  <c r="I168" i="2"/>
  <c r="H168" i="2" s="1"/>
  <c r="I166" i="2"/>
  <c r="H166" i="2" s="1"/>
  <c r="F164" i="2"/>
  <c r="E164" i="2" s="1"/>
  <c r="I160" i="2"/>
  <c r="H160" i="2" s="1"/>
  <c r="I158" i="2"/>
  <c r="H158" i="2" s="1"/>
  <c r="F156" i="2"/>
  <c r="E156" i="2" s="1"/>
  <c r="I152" i="2"/>
  <c r="H152" i="2" s="1"/>
  <c r="I150" i="2"/>
  <c r="H150" i="2" s="1"/>
  <c r="F148" i="2"/>
  <c r="E148" i="2" s="1"/>
  <c r="I144" i="2"/>
  <c r="H144" i="2" s="1"/>
  <c r="I142" i="2"/>
  <c r="H142" i="2" s="1"/>
  <c r="F140" i="2"/>
  <c r="E140" i="2" s="1"/>
  <c r="I136" i="2"/>
  <c r="H136" i="2" s="1"/>
  <c r="I134" i="2"/>
  <c r="H134" i="2" s="1"/>
  <c r="F132" i="2"/>
  <c r="E132" i="2" s="1"/>
  <c r="I128" i="2"/>
  <c r="H128" i="2" s="1"/>
  <c r="I126" i="2"/>
  <c r="H126" i="2" s="1"/>
  <c r="F124" i="2"/>
  <c r="E124" i="2" s="1"/>
  <c r="I120" i="2"/>
  <c r="H120" i="2" s="1"/>
  <c r="I118" i="2"/>
  <c r="H118" i="2" s="1"/>
  <c r="I116" i="2"/>
  <c r="H116" i="2" s="1"/>
  <c r="F111" i="2"/>
  <c r="E111" i="2" s="1"/>
  <c r="F107" i="2"/>
  <c r="E107" i="2" s="1"/>
  <c r="I103" i="2"/>
  <c r="H103" i="2" s="1"/>
  <c r="I101" i="2"/>
  <c r="H101" i="2" s="1"/>
  <c r="I99" i="2"/>
  <c r="H99" i="2" s="1"/>
  <c r="F94" i="2"/>
  <c r="E94" i="2" s="1"/>
  <c r="I88" i="2"/>
  <c r="H88" i="2" s="1"/>
  <c r="I86" i="2"/>
  <c r="H86" i="2" s="1"/>
  <c r="I84" i="2"/>
  <c r="H84" i="2" s="1"/>
  <c r="F79" i="2"/>
  <c r="E79" i="2" s="1"/>
  <c r="F75" i="2"/>
  <c r="E75" i="2" s="1"/>
  <c r="I71" i="2"/>
  <c r="H71" i="2" s="1"/>
  <c r="I69" i="2"/>
  <c r="H69" i="2" s="1"/>
  <c r="I67" i="2"/>
  <c r="H67" i="2" s="1"/>
  <c r="F62" i="2"/>
  <c r="E62" i="2" s="1"/>
  <c r="I56" i="2"/>
  <c r="H56" i="2" s="1"/>
  <c r="I54" i="2"/>
  <c r="H54" i="2" s="1"/>
  <c r="I52" i="2"/>
  <c r="H52" i="2" s="1"/>
  <c r="F210" i="2"/>
  <c r="E210" i="2" s="1"/>
  <c r="F208" i="2"/>
  <c r="E208" i="2" s="1"/>
  <c r="F202" i="2"/>
  <c r="E202" i="2" s="1"/>
  <c r="F200" i="2"/>
  <c r="E200" i="2" s="1"/>
  <c r="F194" i="2"/>
  <c r="E194" i="2" s="1"/>
  <c r="F192" i="2"/>
  <c r="E192" i="2" s="1"/>
  <c r="F186" i="2"/>
  <c r="E186" i="2" s="1"/>
  <c r="F184" i="2"/>
  <c r="E184" i="2" s="1"/>
  <c r="F178" i="2"/>
  <c r="E178" i="2" s="1"/>
  <c r="F176" i="2"/>
  <c r="E176" i="2" s="1"/>
  <c r="F170" i="2"/>
  <c r="E170" i="2" s="1"/>
  <c r="F168" i="2"/>
  <c r="E168" i="2" s="1"/>
  <c r="F162" i="2"/>
  <c r="E162" i="2" s="1"/>
  <c r="F160" i="2"/>
  <c r="E160" i="2" s="1"/>
  <c r="F154" i="2"/>
  <c r="E154" i="2" s="1"/>
  <c r="F152" i="2"/>
  <c r="E152" i="2" s="1"/>
  <c r="F146" i="2"/>
  <c r="E146" i="2" s="1"/>
  <c r="F144" i="2"/>
  <c r="E144" i="2" s="1"/>
  <c r="F138" i="2"/>
  <c r="E138" i="2" s="1"/>
  <c r="F136" i="2"/>
  <c r="E136" i="2" s="1"/>
  <c r="F130" i="2"/>
  <c r="E130" i="2" s="1"/>
  <c r="F128" i="2"/>
  <c r="E128" i="2" s="1"/>
  <c r="F122" i="2"/>
  <c r="E122" i="2" s="1"/>
  <c r="F120" i="2"/>
  <c r="E120" i="2" s="1"/>
  <c r="F116" i="2"/>
  <c r="E116" i="2" s="1"/>
  <c r="I114" i="2"/>
  <c r="H114" i="2" s="1"/>
  <c r="F105" i="2"/>
  <c r="E105" i="2" s="1"/>
  <c r="F101" i="2"/>
  <c r="E101" i="2" s="1"/>
  <c r="I97" i="2"/>
  <c r="H97" i="2" s="1"/>
  <c r="F90" i="2"/>
  <c r="E90" i="2" s="1"/>
  <c r="F88" i="2"/>
  <c r="E88" i="2" s="1"/>
  <c r="F84" i="2"/>
  <c r="E84" i="2" s="1"/>
  <c r="I82" i="2"/>
  <c r="H82" i="2" s="1"/>
  <c r="F73" i="2"/>
  <c r="E73" i="2" s="1"/>
  <c r="F69" i="2"/>
  <c r="E69" i="2" s="1"/>
  <c r="I65" i="2"/>
  <c r="H65" i="2" s="1"/>
  <c r="F58" i="2"/>
  <c r="E58" i="2" s="1"/>
  <c r="F56" i="2"/>
  <c r="E56" i="2" s="1"/>
  <c r="F52" i="2"/>
  <c r="E52" i="2" s="1"/>
  <c r="I50" i="2"/>
  <c r="H50" i="2" s="1"/>
  <c r="F41" i="2"/>
  <c r="E41" i="2" s="1"/>
  <c r="F37" i="2"/>
  <c r="E37" i="2" s="1"/>
  <c r="I33" i="2"/>
  <c r="H33" i="2" s="1"/>
  <c r="F26" i="2"/>
  <c r="E26" i="2" s="1"/>
  <c r="F24" i="2"/>
  <c r="E24" i="2" s="1"/>
  <c r="F20" i="2"/>
  <c r="E20" i="2" s="1"/>
  <c r="I18" i="2"/>
  <c r="H18" i="2" s="1"/>
  <c r="F9" i="2"/>
  <c r="E9" i="2" s="1"/>
  <c r="F47" i="2"/>
  <c r="E47" i="2" s="1"/>
  <c r="I41" i="2"/>
  <c r="H41" i="2" s="1"/>
  <c r="F34" i="2"/>
  <c r="E34" i="2" s="1"/>
  <c r="F13" i="2"/>
  <c r="E13" i="2" s="1"/>
  <c r="I10" i="2"/>
  <c r="H10" i="2" s="1"/>
  <c r="I51" i="2"/>
  <c r="H51" i="2" s="1"/>
  <c r="I37" i="2"/>
  <c r="H37" i="2" s="1"/>
  <c r="F31" i="2"/>
  <c r="E31" i="2" s="1"/>
  <c r="F28" i="2"/>
  <c r="E28" i="2" s="1"/>
  <c r="I22" i="2"/>
  <c r="H22" i="2" s="1"/>
  <c r="I7" i="2"/>
  <c r="H7" i="2" s="1"/>
  <c r="F46" i="2"/>
  <c r="E46" i="2" s="1"/>
  <c r="F33" i="2"/>
  <c r="E33" i="2" s="1"/>
  <c r="I25" i="2"/>
  <c r="H25" i="2" s="1"/>
  <c r="F18" i="2"/>
  <c r="E18" i="2" s="1"/>
  <c r="F12" i="2"/>
  <c r="E12" i="2" s="1"/>
  <c r="F43" i="2"/>
  <c r="E43" i="2" s="1"/>
  <c r="I40" i="2"/>
  <c r="H40" i="2" s="1"/>
  <c r="I36" i="2"/>
  <c r="H36" i="2" s="1"/>
  <c r="I21" i="2"/>
  <c r="H21" i="2" s="1"/>
  <c r="F15" i="2"/>
  <c r="E15" i="2" s="1"/>
  <c r="I6" i="2"/>
  <c r="H6" i="2" s="1"/>
  <c r="F5" i="2"/>
  <c r="E5" i="2" s="1"/>
  <c r="F45" i="2"/>
  <c r="E45" i="2" s="1"/>
  <c r="F30" i="2"/>
  <c r="E30" i="2" s="1"/>
  <c r="F17" i="2"/>
  <c r="E17" i="2" s="1"/>
  <c r="I9" i="2"/>
  <c r="H9" i="2" s="1"/>
  <c r="I24" i="2"/>
  <c r="H24" i="2" s="1"/>
  <c r="I42" i="2"/>
  <c r="H42" i="2" s="1"/>
  <c r="I39" i="2"/>
  <c r="H39" i="2" s="1"/>
  <c r="I35" i="2"/>
  <c r="H35" i="2" s="1"/>
  <c r="F32" i="2"/>
  <c r="E32" i="2" s="1"/>
  <c r="F27" i="2"/>
  <c r="E27" i="2" s="1"/>
  <c r="I20" i="2"/>
  <c r="H20" i="2" s="1"/>
  <c r="F29" i="2"/>
  <c r="E29" i="2" s="1"/>
  <c r="F14" i="2"/>
  <c r="E14" i="2" s="1"/>
  <c r="I5" i="2"/>
  <c r="H5" i="2" s="1"/>
  <c r="F11" i="2"/>
  <c r="E11" i="2" s="1"/>
  <c r="F44" i="2"/>
  <c r="E44" i="2" s="1"/>
  <c r="I38" i="2"/>
  <c r="H38" i="2" s="1"/>
  <c r="I26" i="2"/>
  <c r="H26" i="2" s="1"/>
  <c r="I23" i="2"/>
  <c r="H23" i="2" s="1"/>
  <c r="I19" i="2"/>
  <c r="H19" i="2" s="1"/>
  <c r="F16" i="2"/>
  <c r="E16" i="2" s="1"/>
  <c r="I8" i="2"/>
  <c r="H8" i="2" s="1"/>
  <c r="I221" i="2"/>
  <c r="H221" i="2" s="1"/>
  <c r="F219" i="2"/>
  <c r="E219" i="2" s="1"/>
  <c r="I214" i="2"/>
  <c r="H214" i="2" s="1"/>
  <c r="I223" i="2"/>
  <c r="H223" i="2" s="1"/>
  <c r="F221" i="2"/>
  <c r="E221" i="2" s="1"/>
  <c r="I216" i="2"/>
  <c r="H216" i="2" s="1"/>
  <c r="F214" i="2"/>
  <c r="E214" i="2" s="1"/>
  <c r="F223" i="2"/>
  <c r="E223" i="2" s="1"/>
  <c r="I218" i="2"/>
  <c r="H218" i="2" s="1"/>
  <c r="F216" i="2"/>
  <c r="E216" i="2" s="1"/>
  <c r="I213" i="2"/>
  <c r="H213" i="2" s="1"/>
  <c r="I220" i="2"/>
  <c r="H220" i="2" s="1"/>
  <c r="F218" i="2"/>
  <c r="E218" i="2" s="1"/>
  <c r="F213" i="2"/>
  <c r="E213" i="2" s="1"/>
  <c r="I222" i="2"/>
  <c r="H222" i="2" s="1"/>
  <c r="F220" i="2"/>
  <c r="E220" i="2" s="1"/>
  <c r="I215" i="2"/>
  <c r="H215" i="2" s="1"/>
  <c r="F222" i="2"/>
  <c r="E222" i="2" s="1"/>
  <c r="I217" i="2"/>
  <c r="H217" i="2" s="1"/>
  <c r="F215" i="2"/>
  <c r="E215" i="2" s="1"/>
  <c r="I212" i="2"/>
  <c r="H212" i="2" s="1"/>
  <c r="I219" i="2"/>
  <c r="H219" i="2" s="1"/>
  <c r="F217" i="2"/>
  <c r="E217" i="2" s="1"/>
  <c r="F212" i="2"/>
  <c r="E212" i="2" s="1"/>
  <c r="F226" i="2"/>
  <c r="E226" i="2" s="1"/>
  <c r="F230" i="2"/>
  <c r="E230" i="2" s="1"/>
  <c r="I233" i="2"/>
  <c r="H233" i="2" s="1"/>
  <c r="I237" i="2"/>
  <c r="H237" i="2" s="1"/>
  <c r="I244" i="2"/>
  <c r="H244" i="2" s="1"/>
  <c r="F248" i="2"/>
  <c r="E248" i="2" s="1"/>
  <c r="I251" i="2"/>
  <c r="H251" i="2" s="1"/>
  <c r="I255" i="2"/>
  <c r="H255" i="2" s="1"/>
  <c r="F259" i="2"/>
  <c r="E259" i="2" s="1"/>
  <c r="I262" i="2"/>
  <c r="H262" i="2" s="1"/>
  <c r="I265" i="2"/>
  <c r="H265" i="2" s="1"/>
  <c r="F269" i="2"/>
  <c r="E269" i="2" s="1"/>
  <c r="F272" i="2"/>
  <c r="E272" i="2" s="1"/>
  <c r="I275" i="2"/>
  <c r="H275" i="2" s="1"/>
  <c r="F279" i="2"/>
  <c r="E279" i="2" s="1"/>
  <c r="I282" i="2"/>
  <c r="H282" i="2" s="1"/>
  <c r="I285" i="2"/>
  <c r="H285" i="2" s="1"/>
  <c r="F289" i="2"/>
  <c r="E289" i="2" s="1"/>
  <c r="F293" i="2"/>
  <c r="E293" i="2" s="1"/>
  <c r="I296" i="2"/>
  <c r="H296" i="2" s="1"/>
  <c r="I300" i="2"/>
  <c r="H300" i="2" s="1"/>
  <c r="F303" i="2"/>
  <c r="E303" i="2" s="1"/>
  <c r="I305" i="2"/>
  <c r="H305" i="2" s="1"/>
  <c r="I311" i="2"/>
  <c r="H311" i="2" s="1"/>
  <c r="I316" i="2"/>
  <c r="H316" i="2" s="1"/>
  <c r="F319" i="2"/>
  <c r="E319" i="2" s="1"/>
  <c r="I324" i="2"/>
  <c r="H324" i="2" s="1"/>
  <c r="F330" i="2"/>
  <c r="E330" i="2" s="1"/>
  <c r="F332" i="2"/>
  <c r="E332" i="2" s="1"/>
  <c r="F337" i="2"/>
  <c r="E337" i="2" s="1"/>
  <c r="F340" i="2"/>
  <c r="E340" i="2" s="1"/>
  <c r="F343" i="2"/>
  <c r="E343" i="2" s="1"/>
  <c r="I345" i="2"/>
  <c r="H345" i="2" s="1"/>
  <c r="I350" i="2"/>
  <c r="H350" i="2" s="1"/>
  <c r="I355" i="2"/>
  <c r="H355" i="2" s="1"/>
  <c r="I358" i="2"/>
  <c r="H358" i="2" s="1"/>
  <c r="F361" i="2"/>
  <c r="E361" i="2" s="1"/>
  <c r="I363" i="2"/>
  <c r="H363" i="2" s="1"/>
  <c r="I368" i="2"/>
  <c r="H368" i="2" s="1"/>
  <c r="F382" i="2"/>
  <c r="E382" i="2" s="1"/>
  <c r="F384" i="2"/>
  <c r="E384" i="2" s="1"/>
  <c r="F387" i="2"/>
  <c r="E387" i="2" s="1"/>
  <c r="F390" i="2"/>
  <c r="E390" i="2" s="1"/>
  <c r="I392" i="2"/>
  <c r="H392" i="2" s="1"/>
  <c r="F395" i="2"/>
  <c r="E395" i="2" s="1"/>
  <c r="I397" i="2"/>
  <c r="H397" i="2" s="1"/>
  <c r="I402" i="2"/>
  <c r="H402" i="2" s="1"/>
  <c r="I405" i="2"/>
  <c r="H405" i="2" s="1"/>
  <c r="F408" i="2"/>
  <c r="E408" i="2" s="1"/>
  <c r="F413" i="2"/>
  <c r="E413" i="2" s="1"/>
  <c r="I415" i="2"/>
  <c r="H415" i="2" s="1"/>
  <c r="F418" i="2"/>
  <c r="E418" i="2" s="1"/>
  <c r="F421" i="2"/>
  <c r="E421" i="2" s="1"/>
  <c r="I426" i="2"/>
  <c r="H426" i="2" s="1"/>
  <c r="I433" i="2"/>
  <c r="H433" i="2" s="1"/>
  <c r="I439" i="2"/>
  <c r="H439" i="2" s="1"/>
  <c r="I442" i="2"/>
  <c r="H442" i="2" s="1"/>
  <c r="I447" i="2"/>
  <c r="H447" i="2" s="1"/>
  <c r="I450" i="2"/>
  <c r="H450" i="2" s="1"/>
  <c r="I453" i="2"/>
  <c r="H453" i="2" s="1"/>
  <c r="F462" i="2"/>
  <c r="E462" i="2" s="1"/>
  <c r="I226" i="2"/>
  <c r="H226" i="2" s="1"/>
  <c r="I230" i="2"/>
  <c r="H230" i="2" s="1"/>
  <c r="F234" i="2"/>
  <c r="E234" i="2" s="1"/>
  <c r="F238" i="2"/>
  <c r="E238" i="2" s="1"/>
  <c r="F241" i="2"/>
  <c r="E241" i="2" s="1"/>
  <c r="F245" i="2"/>
  <c r="E245" i="2" s="1"/>
  <c r="I248" i="2"/>
  <c r="H248" i="2" s="1"/>
  <c r="F252" i="2"/>
  <c r="E252" i="2" s="1"/>
  <c r="I259" i="2"/>
  <c r="H259" i="2" s="1"/>
  <c r="F266" i="2"/>
  <c r="E266" i="2" s="1"/>
  <c r="I269" i="2"/>
  <c r="H269" i="2" s="1"/>
  <c r="I272" i="2"/>
  <c r="H272" i="2" s="1"/>
  <c r="F276" i="2"/>
  <c r="E276" i="2" s="1"/>
  <c r="I279" i="2"/>
  <c r="H279" i="2" s="1"/>
  <c r="F286" i="2"/>
  <c r="E286" i="2" s="1"/>
  <c r="I289" i="2"/>
  <c r="H289" i="2" s="1"/>
  <c r="I293" i="2"/>
  <c r="H293" i="2" s="1"/>
  <c r="F297" i="2"/>
  <c r="E297" i="2" s="1"/>
  <c r="I303" i="2"/>
  <c r="H303" i="2" s="1"/>
  <c r="F306" i="2"/>
  <c r="E306" i="2" s="1"/>
  <c r="F309" i="2"/>
  <c r="E309" i="2" s="1"/>
  <c r="I314" i="2"/>
  <c r="H314" i="2" s="1"/>
  <c r="I321" i="2"/>
  <c r="H321" i="2" s="1"/>
  <c r="I327" i="2"/>
  <c r="H327" i="2" s="1"/>
  <c r="I332" i="2"/>
  <c r="H332" i="2" s="1"/>
  <c r="F335" i="2"/>
  <c r="E335" i="2" s="1"/>
  <c r="I340" i="2"/>
  <c r="H340" i="2" s="1"/>
  <c r="F346" i="2"/>
  <c r="E346" i="2" s="1"/>
  <c r="F348" i="2"/>
  <c r="E348" i="2" s="1"/>
  <c r="F353" i="2"/>
  <c r="E353" i="2" s="1"/>
  <c r="F356" i="2"/>
  <c r="E356" i="2" s="1"/>
  <c r="F359" i="2"/>
  <c r="E359" i="2" s="1"/>
  <c r="I361" i="2"/>
  <c r="H361" i="2" s="1"/>
  <c r="I366" i="2"/>
  <c r="H366" i="2" s="1"/>
  <c r="I371" i="2"/>
  <c r="H371" i="2" s="1"/>
  <c r="I374" i="2"/>
  <c r="H374" i="2" s="1"/>
  <c r="F377" i="2"/>
  <c r="E377" i="2" s="1"/>
  <c r="I379" i="2"/>
  <c r="H379" i="2" s="1"/>
  <c r="I384" i="2"/>
  <c r="H384" i="2" s="1"/>
  <c r="F398" i="2"/>
  <c r="E398" i="2" s="1"/>
  <c r="F400" i="2"/>
  <c r="E400" i="2" s="1"/>
  <c r="F403" i="2"/>
  <c r="E403" i="2" s="1"/>
  <c r="F406" i="2"/>
  <c r="E406" i="2" s="1"/>
  <c r="I408" i="2"/>
  <c r="H408" i="2" s="1"/>
  <c r="F411" i="2"/>
  <c r="E411" i="2" s="1"/>
  <c r="I413" i="2"/>
  <c r="H413" i="2" s="1"/>
  <c r="I418" i="2"/>
  <c r="H418" i="2" s="1"/>
  <c r="I421" i="2"/>
  <c r="H421" i="2" s="1"/>
  <c r="F424" i="2"/>
  <c r="E424" i="2" s="1"/>
  <c r="F429" i="2"/>
  <c r="E429" i="2" s="1"/>
  <c r="I431" i="2"/>
  <c r="H431" i="2" s="1"/>
  <c r="F434" i="2"/>
  <c r="E434" i="2" s="1"/>
  <c r="F437" i="2"/>
  <c r="E437" i="2" s="1"/>
  <c r="F440" i="2"/>
  <c r="E440" i="2" s="1"/>
  <c r="F445" i="2"/>
  <c r="E445" i="2" s="1"/>
  <c r="F448" i="2"/>
  <c r="E448" i="2" s="1"/>
  <c r="F451" i="2"/>
  <c r="E451" i="2" s="1"/>
  <c r="F454" i="2"/>
  <c r="E454" i="2" s="1"/>
  <c r="F457" i="2"/>
  <c r="E457" i="2" s="1"/>
  <c r="I459" i="2"/>
  <c r="H459" i="2" s="1"/>
  <c r="F227" i="2"/>
  <c r="E227" i="2" s="1"/>
  <c r="F231" i="2"/>
  <c r="E231" i="2" s="1"/>
  <c r="I234" i="2"/>
  <c r="H234" i="2" s="1"/>
  <c r="I241" i="2"/>
  <c r="H241" i="2" s="1"/>
  <c r="I245" i="2"/>
  <c r="H245" i="2" s="1"/>
  <c r="I252" i="2"/>
  <c r="H252" i="2" s="1"/>
  <c r="F256" i="2"/>
  <c r="E256" i="2" s="1"/>
  <c r="F260" i="2"/>
  <c r="E260" i="2" s="1"/>
  <c r="F263" i="2"/>
  <c r="E263" i="2" s="1"/>
  <c r="I266" i="2"/>
  <c r="H266" i="2" s="1"/>
  <c r="F270" i="2"/>
  <c r="E270" i="2" s="1"/>
  <c r="F273" i="2"/>
  <c r="E273" i="2" s="1"/>
  <c r="I276" i="2"/>
  <c r="H276" i="2" s="1"/>
  <c r="F280" i="2"/>
  <c r="E280" i="2" s="1"/>
  <c r="F283" i="2"/>
  <c r="E283" i="2" s="1"/>
  <c r="I286" i="2"/>
  <c r="H286" i="2" s="1"/>
  <c r="F290" i="2"/>
  <c r="E290" i="2" s="1"/>
  <c r="F294" i="2"/>
  <c r="E294" i="2" s="1"/>
  <c r="I297" i="2"/>
  <c r="H297" i="2" s="1"/>
  <c r="F301" i="2"/>
  <c r="E301" i="2" s="1"/>
  <c r="I306" i="2"/>
  <c r="H306" i="2" s="1"/>
  <c r="I309" i="2"/>
  <c r="H309" i="2" s="1"/>
  <c r="F312" i="2"/>
  <c r="E312" i="2" s="1"/>
  <c r="F317" i="2"/>
  <c r="E317" i="2" s="1"/>
  <c r="I319" i="2"/>
  <c r="H319" i="2" s="1"/>
  <c r="F322" i="2"/>
  <c r="E322" i="2" s="1"/>
  <c r="F325" i="2"/>
  <c r="E325" i="2" s="1"/>
  <c r="I330" i="2"/>
  <c r="H330" i="2" s="1"/>
  <c r="I337" i="2"/>
  <c r="H337" i="2" s="1"/>
  <c r="I343" i="2"/>
  <c r="H343" i="2" s="1"/>
  <c r="I348" i="2"/>
  <c r="H348" i="2" s="1"/>
  <c r="F351" i="2"/>
  <c r="E351" i="2" s="1"/>
  <c r="I356" i="2"/>
  <c r="H356" i="2" s="1"/>
  <c r="F362" i="2"/>
  <c r="E362" i="2" s="1"/>
  <c r="F364" i="2"/>
  <c r="E364" i="2" s="1"/>
  <c r="F369" i="2"/>
  <c r="E369" i="2" s="1"/>
  <c r="F372" i="2"/>
  <c r="E372" i="2" s="1"/>
  <c r="F375" i="2"/>
  <c r="E375" i="2" s="1"/>
  <c r="I377" i="2"/>
  <c r="H377" i="2" s="1"/>
  <c r="I382" i="2"/>
  <c r="H382" i="2" s="1"/>
  <c r="I387" i="2"/>
  <c r="H387" i="2" s="1"/>
  <c r="I390" i="2"/>
  <c r="H390" i="2" s="1"/>
  <c r="F393" i="2"/>
  <c r="E393" i="2" s="1"/>
  <c r="I395" i="2"/>
  <c r="H395" i="2" s="1"/>
  <c r="I400" i="2"/>
  <c r="H400" i="2" s="1"/>
  <c r="F414" i="2"/>
  <c r="E414" i="2" s="1"/>
  <c r="F416" i="2"/>
  <c r="E416" i="2" s="1"/>
  <c r="F419" i="2"/>
  <c r="E419" i="2" s="1"/>
  <c r="F422" i="2"/>
  <c r="E422" i="2" s="1"/>
  <c r="I424" i="2"/>
  <c r="H424" i="2" s="1"/>
  <c r="F427" i="2"/>
  <c r="E427" i="2" s="1"/>
  <c r="I429" i="2"/>
  <c r="H429" i="2" s="1"/>
  <c r="I434" i="2"/>
  <c r="H434" i="2" s="1"/>
  <c r="I437" i="2"/>
  <c r="H437" i="2" s="1"/>
  <c r="I440" i="2"/>
  <c r="H440" i="2" s="1"/>
  <c r="F443" i="2"/>
  <c r="E443" i="2" s="1"/>
  <c r="I445" i="2"/>
  <c r="H445" i="2" s="1"/>
  <c r="I448" i="2"/>
  <c r="H448" i="2" s="1"/>
  <c r="I454" i="2"/>
  <c r="H454" i="2" s="1"/>
  <c r="I457" i="2"/>
  <c r="H457" i="2" s="1"/>
  <c r="I228" i="2"/>
  <c r="H228" i="2" s="1"/>
  <c r="F232" i="2"/>
  <c r="E232" i="2" s="1"/>
  <c r="F236" i="2"/>
  <c r="E236" i="2" s="1"/>
  <c r="I239" i="2"/>
  <c r="H239" i="2" s="1"/>
  <c r="F243" i="2"/>
  <c r="E243" i="2" s="1"/>
  <c r="F247" i="2"/>
  <c r="E247" i="2" s="1"/>
  <c r="F250" i="2"/>
  <c r="E250" i="2" s="1"/>
  <c r="F254" i="2"/>
  <c r="E254" i="2" s="1"/>
  <c r="I257" i="2"/>
  <c r="H257" i="2" s="1"/>
  <c r="I261" i="2"/>
  <c r="H261" i="2" s="1"/>
  <c r="F264" i="2"/>
  <c r="E264" i="2" s="1"/>
  <c r="I267" i="2"/>
  <c r="H267" i="2" s="1"/>
  <c r="F271" i="2"/>
  <c r="E271" i="2" s="1"/>
  <c r="I274" i="2"/>
  <c r="H274" i="2" s="1"/>
  <c r="I277" i="2"/>
  <c r="H277" i="2" s="1"/>
  <c r="F281" i="2"/>
  <c r="E281" i="2" s="1"/>
  <c r="F284" i="2"/>
  <c r="E284" i="2" s="1"/>
  <c r="F288" i="2"/>
  <c r="E288" i="2" s="1"/>
  <c r="I291" i="2"/>
  <c r="H291" i="2" s="1"/>
  <c r="F299" i="2"/>
  <c r="E299" i="2" s="1"/>
  <c r="I307" i="2"/>
  <c r="H307" i="2" s="1"/>
  <c r="I310" i="2"/>
  <c r="H310" i="2" s="1"/>
  <c r="F313" i="2"/>
  <c r="E313" i="2" s="1"/>
  <c r="I315" i="2"/>
  <c r="H315" i="2" s="1"/>
  <c r="I320" i="2"/>
  <c r="H320" i="2" s="1"/>
  <c r="F334" i="2"/>
  <c r="E334" i="2" s="1"/>
  <c r="F336" i="2"/>
  <c r="E336" i="2" s="1"/>
  <c r="F339" i="2"/>
  <c r="E339" i="2" s="1"/>
  <c r="F342" i="2"/>
  <c r="E342" i="2" s="1"/>
  <c r="I344" i="2"/>
  <c r="H344" i="2" s="1"/>
  <c r="F347" i="2"/>
  <c r="E347" i="2" s="1"/>
  <c r="I349" i="2"/>
  <c r="H349" i="2" s="1"/>
  <c r="I354" i="2"/>
  <c r="H354" i="2" s="1"/>
  <c r="I357" i="2"/>
  <c r="H357" i="2" s="1"/>
  <c r="F360" i="2"/>
  <c r="E360" i="2" s="1"/>
  <c r="F365" i="2"/>
  <c r="E365" i="2" s="1"/>
  <c r="I367" i="2"/>
  <c r="H367" i="2" s="1"/>
  <c r="F370" i="2"/>
  <c r="E370" i="2" s="1"/>
  <c r="F373" i="2"/>
  <c r="E373" i="2" s="1"/>
  <c r="I378" i="2"/>
  <c r="H378" i="2" s="1"/>
  <c r="I385" i="2"/>
  <c r="H385" i="2" s="1"/>
  <c r="I391" i="2"/>
  <c r="H391" i="2" s="1"/>
  <c r="I396" i="2"/>
  <c r="H396" i="2" s="1"/>
  <c r="F399" i="2"/>
  <c r="E399" i="2" s="1"/>
  <c r="I404" i="2"/>
  <c r="H404" i="2" s="1"/>
  <c r="F410" i="2"/>
  <c r="E410" i="2" s="1"/>
  <c r="F412" i="2"/>
  <c r="E412" i="2" s="1"/>
  <c r="F417" i="2"/>
  <c r="E417" i="2" s="1"/>
  <c r="F420" i="2"/>
  <c r="E420" i="2" s="1"/>
  <c r="F423" i="2"/>
  <c r="E423" i="2" s="1"/>
  <c r="I425" i="2"/>
  <c r="H425" i="2" s="1"/>
  <c r="I430" i="2"/>
  <c r="H430" i="2" s="1"/>
  <c r="I435" i="2"/>
  <c r="H435" i="2" s="1"/>
  <c r="I438" i="2"/>
  <c r="H438" i="2" s="1"/>
  <c r="I441" i="2"/>
  <c r="H441" i="2" s="1"/>
  <c r="I452" i="2"/>
  <c r="H452" i="2" s="1"/>
  <c r="I455" i="2"/>
  <c r="H455" i="2" s="1"/>
  <c r="I458" i="2"/>
  <c r="H458" i="2" s="1"/>
  <c r="I463" i="2"/>
  <c r="H463" i="2" s="1"/>
  <c r="I227" i="2"/>
  <c r="H227" i="2" s="1"/>
  <c r="F235" i="2"/>
  <c r="E235" i="2" s="1"/>
  <c r="F242" i="2"/>
  <c r="E242" i="2" s="1"/>
  <c r="F249" i="2"/>
  <c r="E249" i="2" s="1"/>
  <c r="I256" i="2"/>
  <c r="H256" i="2" s="1"/>
  <c r="I263" i="2"/>
  <c r="H263" i="2" s="1"/>
  <c r="I270" i="2"/>
  <c r="H270" i="2" s="1"/>
  <c r="I290" i="2"/>
  <c r="H290" i="2" s="1"/>
  <c r="F298" i="2"/>
  <c r="E298" i="2" s="1"/>
  <c r="F304" i="2"/>
  <c r="E304" i="2" s="1"/>
  <c r="F310" i="2"/>
  <c r="E310" i="2" s="1"/>
  <c r="F315" i="2"/>
  <c r="E315" i="2" s="1"/>
  <c r="I325" i="2"/>
  <c r="H325" i="2" s="1"/>
  <c r="I335" i="2"/>
  <c r="H335" i="2" s="1"/>
  <c r="F341" i="2"/>
  <c r="E341" i="2" s="1"/>
  <c r="I346" i="2"/>
  <c r="H346" i="2" s="1"/>
  <c r="F367" i="2"/>
  <c r="E367" i="2" s="1"/>
  <c r="I372" i="2"/>
  <c r="H372" i="2" s="1"/>
  <c r="F378" i="2"/>
  <c r="E378" i="2" s="1"/>
  <c r="F388" i="2"/>
  <c r="E388" i="2" s="1"/>
  <c r="I393" i="2"/>
  <c r="H393" i="2" s="1"/>
  <c r="I398" i="2"/>
  <c r="H398" i="2" s="1"/>
  <c r="I403" i="2"/>
  <c r="H403" i="2" s="1"/>
  <c r="F409" i="2"/>
  <c r="E409" i="2" s="1"/>
  <c r="F430" i="2"/>
  <c r="E430" i="2" s="1"/>
  <c r="F435" i="2"/>
  <c r="E435" i="2" s="1"/>
  <c r="F446" i="2"/>
  <c r="E446" i="2" s="1"/>
  <c r="I451" i="2"/>
  <c r="H451" i="2" s="1"/>
  <c r="F458" i="2"/>
  <c r="E458" i="2" s="1"/>
  <c r="I462" i="2"/>
  <c r="H462" i="2" s="1"/>
  <c r="I465" i="2"/>
  <c r="H465" i="2" s="1"/>
  <c r="F472" i="2"/>
  <c r="E472" i="2" s="1"/>
  <c r="F477" i="2"/>
  <c r="E477" i="2" s="1"/>
  <c r="F480" i="2"/>
  <c r="E480" i="2" s="1"/>
  <c r="F483" i="2"/>
  <c r="E483" i="2" s="1"/>
  <c r="F486" i="2"/>
  <c r="E486" i="2" s="1"/>
  <c r="F489" i="2"/>
  <c r="E489" i="2" s="1"/>
  <c r="I491" i="2"/>
  <c r="H491" i="2" s="1"/>
  <c r="I494" i="2"/>
  <c r="H494" i="2" s="1"/>
  <c r="F497" i="2"/>
  <c r="E497" i="2" s="1"/>
  <c r="F500" i="2"/>
  <c r="E500" i="2" s="1"/>
  <c r="F237" i="2"/>
  <c r="E237" i="2" s="1"/>
  <c r="F251" i="2"/>
  <c r="E251" i="2" s="1"/>
  <c r="I271" i="2"/>
  <c r="H271" i="2" s="1"/>
  <c r="I292" i="2"/>
  <c r="H292" i="2" s="1"/>
  <c r="F327" i="2"/>
  <c r="E327" i="2" s="1"/>
  <c r="I352" i="2"/>
  <c r="H352" i="2" s="1"/>
  <c r="F379" i="2"/>
  <c r="E379" i="2" s="1"/>
  <c r="I399" i="2"/>
  <c r="H399" i="2" s="1"/>
  <c r="F431" i="2"/>
  <c r="E431" i="2" s="1"/>
  <c r="F453" i="2"/>
  <c r="E453" i="2" s="1"/>
  <c r="F470" i="2"/>
  <c r="E470" i="2" s="1"/>
  <c r="I478" i="2"/>
  <c r="H478" i="2" s="1"/>
  <c r="I492" i="2"/>
  <c r="H492" i="2" s="1"/>
  <c r="F228" i="2"/>
  <c r="E228" i="2" s="1"/>
  <c r="I235" i="2"/>
  <c r="H235" i="2" s="1"/>
  <c r="I242" i="2"/>
  <c r="H242" i="2" s="1"/>
  <c r="I249" i="2"/>
  <c r="H249" i="2" s="1"/>
  <c r="F257" i="2"/>
  <c r="E257" i="2" s="1"/>
  <c r="F277" i="2"/>
  <c r="E277" i="2" s="1"/>
  <c r="I283" i="2"/>
  <c r="H283" i="2" s="1"/>
  <c r="F291" i="2"/>
  <c r="E291" i="2" s="1"/>
  <c r="I298" i="2"/>
  <c r="H298" i="2" s="1"/>
  <c r="I304" i="2"/>
  <c r="H304" i="2" s="1"/>
  <c r="F320" i="2"/>
  <c r="E320" i="2" s="1"/>
  <c r="F326" i="2"/>
  <c r="E326" i="2" s="1"/>
  <c r="F331" i="2"/>
  <c r="E331" i="2" s="1"/>
  <c r="I341" i="2"/>
  <c r="H341" i="2" s="1"/>
  <c r="I351" i="2"/>
  <c r="H351" i="2" s="1"/>
  <c r="F357" i="2"/>
  <c r="E357" i="2" s="1"/>
  <c r="I362" i="2"/>
  <c r="H362" i="2" s="1"/>
  <c r="F383" i="2"/>
  <c r="E383" i="2" s="1"/>
  <c r="I388" i="2"/>
  <c r="H388" i="2" s="1"/>
  <c r="F394" i="2"/>
  <c r="E394" i="2" s="1"/>
  <c r="F404" i="2"/>
  <c r="E404" i="2" s="1"/>
  <c r="I409" i="2"/>
  <c r="H409" i="2" s="1"/>
  <c r="I414" i="2"/>
  <c r="H414" i="2" s="1"/>
  <c r="I419" i="2"/>
  <c r="H419" i="2" s="1"/>
  <c r="F425" i="2"/>
  <c r="E425" i="2" s="1"/>
  <c r="F441" i="2"/>
  <c r="E441" i="2" s="1"/>
  <c r="I446" i="2"/>
  <c r="H446" i="2" s="1"/>
  <c r="F452" i="2"/>
  <c r="E452" i="2" s="1"/>
  <c r="F463" i="2"/>
  <c r="E463" i="2" s="1"/>
  <c r="F466" i="2"/>
  <c r="E466" i="2" s="1"/>
  <c r="F469" i="2"/>
  <c r="E469" i="2" s="1"/>
  <c r="I472" i="2"/>
  <c r="H472" i="2" s="1"/>
  <c r="F475" i="2"/>
  <c r="E475" i="2" s="1"/>
  <c r="I477" i="2"/>
  <c r="H477" i="2" s="1"/>
  <c r="I480" i="2"/>
  <c r="H480" i="2" s="1"/>
  <c r="I486" i="2"/>
  <c r="H486" i="2" s="1"/>
  <c r="I489" i="2"/>
  <c r="H489" i="2" s="1"/>
  <c r="I500" i="2"/>
  <c r="H500" i="2" s="1"/>
  <c r="I503" i="2"/>
  <c r="H503" i="2" s="1"/>
  <c r="I506" i="2"/>
  <c r="H506" i="2" s="1"/>
  <c r="I229" i="2"/>
  <c r="H229" i="2" s="1"/>
  <c r="I258" i="2"/>
  <c r="H258" i="2" s="1"/>
  <c r="I278" i="2"/>
  <c r="H278" i="2" s="1"/>
  <c r="F300" i="2"/>
  <c r="E300" i="2" s="1"/>
  <c r="F321" i="2"/>
  <c r="E321" i="2" s="1"/>
  <c r="I347" i="2"/>
  <c r="H347" i="2" s="1"/>
  <c r="F374" i="2"/>
  <c r="E374" i="2" s="1"/>
  <c r="I389" i="2"/>
  <c r="H389" i="2" s="1"/>
  <c r="I410" i="2"/>
  <c r="H410" i="2" s="1"/>
  <c r="I436" i="2"/>
  <c r="H436" i="2" s="1"/>
  <c r="F464" i="2"/>
  <c r="E464" i="2" s="1"/>
  <c r="F473" i="2"/>
  <c r="E473" i="2" s="1"/>
  <c r="F481" i="2"/>
  <c r="E481" i="2" s="1"/>
  <c r="F229" i="2"/>
  <c r="E229" i="2" s="1"/>
  <c r="I236" i="2"/>
  <c r="H236" i="2" s="1"/>
  <c r="I243" i="2"/>
  <c r="H243" i="2" s="1"/>
  <c r="I250" i="2"/>
  <c r="H250" i="2" s="1"/>
  <c r="F258" i="2"/>
  <c r="E258" i="2" s="1"/>
  <c r="I264" i="2"/>
  <c r="H264" i="2" s="1"/>
  <c r="F278" i="2"/>
  <c r="E278" i="2" s="1"/>
  <c r="I284" i="2"/>
  <c r="H284" i="2" s="1"/>
  <c r="F292" i="2"/>
  <c r="E292" i="2" s="1"/>
  <c r="I299" i="2"/>
  <c r="H299" i="2" s="1"/>
  <c r="F305" i="2"/>
  <c r="E305" i="2" s="1"/>
  <c r="F311" i="2"/>
  <c r="E311" i="2" s="1"/>
  <c r="I326" i="2"/>
  <c r="H326" i="2" s="1"/>
  <c r="I331" i="2"/>
  <c r="H331" i="2" s="1"/>
  <c r="I336" i="2"/>
  <c r="H336" i="2" s="1"/>
  <c r="F352" i="2"/>
  <c r="E352" i="2" s="1"/>
  <c r="F358" i="2"/>
  <c r="E358" i="2" s="1"/>
  <c r="F363" i="2"/>
  <c r="E363" i="2" s="1"/>
  <c r="I373" i="2"/>
  <c r="H373" i="2" s="1"/>
  <c r="I383" i="2"/>
  <c r="H383" i="2" s="1"/>
  <c r="F389" i="2"/>
  <c r="E389" i="2" s="1"/>
  <c r="I394" i="2"/>
  <c r="H394" i="2" s="1"/>
  <c r="F415" i="2"/>
  <c r="E415" i="2" s="1"/>
  <c r="I420" i="2"/>
  <c r="H420" i="2" s="1"/>
  <c r="F426" i="2"/>
  <c r="E426" i="2" s="1"/>
  <c r="F436" i="2"/>
  <c r="E436" i="2" s="1"/>
  <c r="F442" i="2"/>
  <c r="E442" i="2" s="1"/>
  <c r="F447" i="2"/>
  <c r="E447" i="2" s="1"/>
  <c r="I466" i="2"/>
  <c r="H466" i="2" s="1"/>
  <c r="I469" i="2"/>
  <c r="H469" i="2" s="1"/>
  <c r="F478" i="2"/>
  <c r="E478" i="2" s="1"/>
  <c r="I483" i="2"/>
  <c r="H483" i="2" s="1"/>
  <c r="F487" i="2"/>
  <c r="E487" i="2" s="1"/>
  <c r="F490" i="2"/>
  <c r="E490" i="2" s="1"/>
  <c r="F492" i="2"/>
  <c r="E492" i="2" s="1"/>
  <c r="F495" i="2"/>
  <c r="E495" i="2" s="1"/>
  <c r="I497" i="2"/>
  <c r="H497" i="2" s="1"/>
  <c r="F504" i="2"/>
  <c r="E504" i="2" s="1"/>
  <c r="F244" i="2"/>
  <c r="E244" i="2" s="1"/>
  <c r="F265" i="2"/>
  <c r="E265" i="2" s="1"/>
  <c r="F285" i="2"/>
  <c r="E285" i="2" s="1"/>
  <c r="F316" i="2"/>
  <c r="E316" i="2" s="1"/>
  <c r="I342" i="2"/>
  <c r="H342" i="2" s="1"/>
  <c r="F368" i="2"/>
  <c r="E368" i="2" s="1"/>
  <c r="F405" i="2"/>
  <c r="E405" i="2" s="1"/>
  <c r="F459" i="2"/>
  <c r="E459" i="2" s="1"/>
  <c r="F467" i="2"/>
  <c r="E467" i="2" s="1"/>
  <c r="I475" i="2"/>
  <c r="H475" i="2" s="1"/>
  <c r="F484" i="2"/>
  <c r="E484" i="2" s="1"/>
  <c r="I224" i="2"/>
  <c r="H224" i="2" s="1"/>
  <c r="I231" i="2"/>
  <c r="H231" i="2" s="1"/>
  <c r="F239" i="2"/>
  <c r="E239" i="2" s="1"/>
  <c r="I246" i="2"/>
  <c r="H246" i="2" s="1"/>
  <c r="I253" i="2"/>
  <c r="H253" i="2" s="1"/>
  <c r="F261" i="2"/>
  <c r="E261" i="2" s="1"/>
  <c r="F267" i="2"/>
  <c r="E267" i="2" s="1"/>
  <c r="F274" i="2"/>
  <c r="E274" i="2" s="1"/>
  <c r="I287" i="2"/>
  <c r="H287" i="2" s="1"/>
  <c r="F295" i="2"/>
  <c r="E295" i="2" s="1"/>
  <c r="F302" i="2"/>
  <c r="E302" i="2" s="1"/>
  <c r="F318" i="2"/>
  <c r="E318" i="2" s="1"/>
  <c r="F323" i="2"/>
  <c r="E323" i="2" s="1"/>
  <c r="I328" i="2"/>
  <c r="H328" i="2" s="1"/>
  <c r="I333" i="2"/>
  <c r="H333" i="2" s="1"/>
  <c r="I338" i="2"/>
  <c r="H338" i="2" s="1"/>
  <c r="F344" i="2"/>
  <c r="E344" i="2" s="1"/>
  <c r="F349" i="2"/>
  <c r="E349" i="2" s="1"/>
  <c r="F354" i="2"/>
  <c r="E354" i="2" s="1"/>
  <c r="I369" i="2"/>
  <c r="H369" i="2" s="1"/>
  <c r="I375" i="2"/>
  <c r="H375" i="2" s="1"/>
  <c r="I380" i="2"/>
  <c r="H380" i="2" s="1"/>
  <c r="F396" i="2"/>
  <c r="E396" i="2" s="1"/>
  <c r="F401" i="2"/>
  <c r="E401" i="2" s="1"/>
  <c r="F407" i="2"/>
  <c r="E407" i="2" s="1"/>
  <c r="I422" i="2"/>
  <c r="H422" i="2" s="1"/>
  <c r="I427" i="2"/>
  <c r="H427" i="2" s="1"/>
  <c r="I432" i="2"/>
  <c r="H432" i="2" s="1"/>
  <c r="I443" i="2"/>
  <c r="H443" i="2" s="1"/>
  <c r="F449" i="2"/>
  <c r="E449" i="2" s="1"/>
  <c r="I460" i="2"/>
  <c r="H460" i="2" s="1"/>
  <c r="I467" i="2"/>
  <c r="H467" i="2" s="1"/>
  <c r="F471" i="2"/>
  <c r="E471" i="2" s="1"/>
  <c r="F474" i="2"/>
  <c r="E474" i="2" s="1"/>
  <c r="F476" i="2"/>
  <c r="E476" i="2" s="1"/>
  <c r="F479" i="2"/>
  <c r="E479" i="2" s="1"/>
  <c r="I481" i="2"/>
  <c r="H481" i="2" s="1"/>
  <c r="F488" i="2"/>
  <c r="E488" i="2" s="1"/>
  <c r="F493" i="2"/>
  <c r="E493" i="2" s="1"/>
  <c r="F496" i="2"/>
  <c r="E496" i="2" s="1"/>
  <c r="F499" i="2"/>
  <c r="E499" i="2" s="1"/>
  <c r="F502" i="2"/>
  <c r="E502" i="2" s="1"/>
  <c r="F505" i="2"/>
  <c r="E505" i="2" s="1"/>
  <c r="I507" i="2"/>
  <c r="H507" i="2" s="1"/>
  <c r="F225" i="2"/>
  <c r="E225" i="2" s="1"/>
  <c r="I232" i="2"/>
  <c r="H232" i="2" s="1"/>
  <c r="F240" i="2"/>
  <c r="E240" i="2" s="1"/>
  <c r="I254" i="2"/>
  <c r="H254" i="2" s="1"/>
  <c r="F262" i="2"/>
  <c r="E262" i="2" s="1"/>
  <c r="F268" i="2"/>
  <c r="E268" i="2" s="1"/>
  <c r="F275" i="2"/>
  <c r="E275" i="2" s="1"/>
  <c r="I281" i="2"/>
  <c r="H281" i="2" s="1"/>
  <c r="I288" i="2"/>
  <c r="H288" i="2" s="1"/>
  <c r="I295" i="2"/>
  <c r="H295" i="2" s="1"/>
  <c r="I302" i="2"/>
  <c r="H302" i="2" s="1"/>
  <c r="F308" i="2"/>
  <c r="E308" i="2" s="1"/>
  <c r="I313" i="2"/>
  <c r="H313" i="2" s="1"/>
  <c r="I318" i="2"/>
  <c r="H318" i="2" s="1"/>
  <c r="I323" i="2"/>
  <c r="H323" i="2" s="1"/>
  <c r="F329" i="2"/>
  <c r="E329" i="2" s="1"/>
  <c r="F350" i="2"/>
  <c r="E350" i="2" s="1"/>
  <c r="F355" i="2"/>
  <c r="E355" i="2" s="1"/>
  <c r="I360" i="2"/>
  <c r="H360" i="2" s="1"/>
  <c r="I365" i="2"/>
  <c r="H365" i="2" s="1"/>
  <c r="I370" i="2"/>
  <c r="H370" i="2" s="1"/>
  <c r="F376" i="2"/>
  <c r="E376" i="2" s="1"/>
  <c r="F381" i="2"/>
  <c r="E381" i="2" s="1"/>
  <c r="F224" i="2"/>
  <c r="E224" i="2" s="1"/>
  <c r="F253" i="2"/>
  <c r="E253" i="2" s="1"/>
  <c r="I280" i="2"/>
  <c r="H280" i="2" s="1"/>
  <c r="F307" i="2"/>
  <c r="E307" i="2" s="1"/>
  <c r="F328" i="2"/>
  <c r="E328" i="2" s="1"/>
  <c r="I386" i="2"/>
  <c r="H386" i="2" s="1"/>
  <c r="I401" i="2"/>
  <c r="H401" i="2" s="1"/>
  <c r="I416" i="2"/>
  <c r="H416" i="2" s="1"/>
  <c r="I428" i="2"/>
  <c r="H428" i="2" s="1"/>
  <c r="F444" i="2"/>
  <c r="E444" i="2" s="1"/>
  <c r="F460" i="2"/>
  <c r="E460" i="2" s="1"/>
  <c r="I468" i="2"/>
  <c r="H468" i="2" s="1"/>
  <c r="I476" i="2"/>
  <c r="H476" i="2" s="1"/>
  <c r="I484" i="2"/>
  <c r="H484" i="2" s="1"/>
  <c r="F498" i="2"/>
  <c r="E498" i="2" s="1"/>
  <c r="I504" i="2"/>
  <c r="H504" i="2" s="1"/>
  <c r="I334" i="2"/>
  <c r="H334" i="2" s="1"/>
  <c r="I407" i="2"/>
  <c r="H407" i="2" s="1"/>
  <c r="I464" i="2"/>
  <c r="H464" i="2" s="1"/>
  <c r="I487" i="2"/>
  <c r="H487" i="2" s="1"/>
  <c r="F506" i="2"/>
  <c r="E506" i="2" s="1"/>
  <c r="I294" i="2"/>
  <c r="H294" i="2" s="1"/>
  <c r="I359" i="2"/>
  <c r="H359" i="2" s="1"/>
  <c r="F450" i="2"/>
  <c r="E450" i="2" s="1"/>
  <c r="I479" i="2"/>
  <c r="H479" i="2" s="1"/>
  <c r="F507" i="2"/>
  <c r="E507" i="2" s="1"/>
  <c r="I496" i="2"/>
  <c r="H496" i="2" s="1"/>
  <c r="F345" i="2"/>
  <c r="E345" i="2" s="1"/>
  <c r="F468" i="2"/>
  <c r="E468" i="2" s="1"/>
  <c r="F503" i="2"/>
  <c r="E503" i="2" s="1"/>
  <c r="I225" i="2"/>
  <c r="H225" i="2" s="1"/>
  <c r="F255" i="2"/>
  <c r="E255" i="2" s="1"/>
  <c r="F282" i="2"/>
  <c r="E282" i="2" s="1"/>
  <c r="I308" i="2"/>
  <c r="H308" i="2" s="1"/>
  <c r="I329" i="2"/>
  <c r="H329" i="2" s="1"/>
  <c r="F371" i="2"/>
  <c r="E371" i="2" s="1"/>
  <c r="F391" i="2"/>
  <c r="E391" i="2" s="1"/>
  <c r="F402" i="2"/>
  <c r="E402" i="2" s="1"/>
  <c r="F432" i="2"/>
  <c r="E432" i="2" s="1"/>
  <c r="I444" i="2"/>
  <c r="H444" i="2" s="1"/>
  <c r="F461" i="2"/>
  <c r="E461" i="2" s="1"/>
  <c r="I470" i="2"/>
  <c r="H470" i="2" s="1"/>
  <c r="F485" i="2"/>
  <c r="E485" i="2" s="1"/>
  <c r="I498" i="2"/>
  <c r="H498" i="2" s="1"/>
  <c r="F233" i="2"/>
  <c r="E233" i="2" s="1"/>
  <c r="F392" i="2"/>
  <c r="E392" i="2" s="1"/>
  <c r="I449" i="2"/>
  <c r="H449" i="2" s="1"/>
  <c r="I499" i="2"/>
  <c r="H499" i="2" s="1"/>
  <c r="I317" i="2"/>
  <c r="H317" i="2" s="1"/>
  <c r="F380" i="2"/>
  <c r="E380" i="2" s="1"/>
  <c r="F438" i="2"/>
  <c r="E438" i="2" s="1"/>
  <c r="I473" i="2"/>
  <c r="H473" i="2" s="1"/>
  <c r="I474" i="2"/>
  <c r="H474" i="2" s="1"/>
  <c r="I502" i="2"/>
  <c r="H502" i="2" s="1"/>
  <c r="F324" i="2"/>
  <c r="E324" i="2" s="1"/>
  <c r="F428" i="2"/>
  <c r="E428" i="2" s="1"/>
  <c r="F491" i="2"/>
  <c r="E491" i="2" s="1"/>
  <c r="I260" i="2"/>
  <c r="H260" i="2" s="1"/>
  <c r="F287" i="2"/>
  <c r="E287" i="2" s="1"/>
  <c r="I312" i="2"/>
  <c r="H312" i="2" s="1"/>
  <c r="F333" i="2"/>
  <c r="E333" i="2" s="1"/>
  <c r="I353" i="2"/>
  <c r="H353" i="2" s="1"/>
  <c r="I406" i="2"/>
  <c r="H406" i="2" s="1"/>
  <c r="I417" i="2"/>
  <c r="H417" i="2" s="1"/>
  <c r="F433" i="2"/>
  <c r="E433" i="2" s="1"/>
  <c r="I461" i="2"/>
  <c r="H461" i="2" s="1"/>
  <c r="I485" i="2"/>
  <c r="H485" i="2" s="1"/>
  <c r="I493" i="2"/>
  <c r="H493" i="2" s="1"/>
  <c r="I505" i="2"/>
  <c r="H505" i="2" s="1"/>
  <c r="F314" i="2"/>
  <c r="E314" i="2" s="1"/>
  <c r="I376" i="2"/>
  <c r="H376" i="2" s="1"/>
  <c r="I471" i="2"/>
  <c r="H471" i="2" s="1"/>
  <c r="F494" i="2"/>
  <c r="E494" i="2" s="1"/>
  <c r="I238" i="2"/>
  <c r="H238" i="2" s="1"/>
  <c r="F338" i="2"/>
  <c r="E338" i="2" s="1"/>
  <c r="F465" i="2"/>
  <c r="E465" i="2" s="1"/>
  <c r="I488" i="2"/>
  <c r="H488" i="2" s="1"/>
  <c r="F501" i="2"/>
  <c r="E501" i="2" s="1"/>
  <c r="I490" i="2"/>
  <c r="H490" i="2" s="1"/>
  <c r="I247" i="2"/>
  <c r="H247" i="2" s="1"/>
  <c r="F386" i="2"/>
  <c r="E386" i="2" s="1"/>
  <c r="I456" i="2"/>
  <c r="H456" i="2" s="1"/>
  <c r="I240" i="2"/>
  <c r="H240" i="2" s="1"/>
  <c r="I268" i="2"/>
  <c r="H268" i="2" s="1"/>
  <c r="F296" i="2"/>
  <c r="E296" i="2" s="1"/>
  <c r="I339" i="2"/>
  <c r="H339" i="2" s="1"/>
  <c r="I381" i="2"/>
  <c r="H381" i="2" s="1"/>
  <c r="I411" i="2"/>
  <c r="H411" i="2" s="1"/>
  <c r="I423" i="2"/>
  <c r="H423" i="2" s="1"/>
  <c r="F439" i="2"/>
  <c r="E439" i="2" s="1"/>
  <c r="F455" i="2"/>
  <c r="E455" i="2" s="1"/>
  <c r="I495" i="2"/>
  <c r="H495" i="2" s="1"/>
  <c r="I501" i="2"/>
  <c r="H501" i="2" s="1"/>
  <c r="F246" i="2"/>
  <c r="E246" i="2" s="1"/>
  <c r="I273" i="2"/>
  <c r="H273" i="2" s="1"/>
  <c r="I301" i="2"/>
  <c r="H301" i="2" s="1"/>
  <c r="I322" i="2"/>
  <c r="H322" i="2" s="1"/>
  <c r="I364" i="2"/>
  <c r="H364" i="2" s="1"/>
  <c r="F385" i="2"/>
  <c r="E385" i="2" s="1"/>
  <c r="F397" i="2"/>
  <c r="E397" i="2" s="1"/>
  <c r="I412" i="2"/>
  <c r="H412" i="2" s="1"/>
  <c r="F456" i="2"/>
  <c r="E456" i="2" s="1"/>
  <c r="F482" i="2"/>
  <c r="E482" i="2" s="1"/>
  <c r="F366" i="2"/>
  <c r="E366" i="2" s="1"/>
  <c r="I482" i="2"/>
  <c r="H482" i="2" s="1"/>
  <c r="B16" i="77"/>
  <c r="B15" i="77"/>
  <c r="B100" i="70" l="1"/>
  <c r="H99" i="70"/>
  <c r="G99" i="70"/>
  <c r="I98" i="70"/>
  <c r="I97" i="70"/>
  <c r="I96" i="70"/>
  <c r="I95" i="70"/>
  <c r="I94" i="70"/>
  <c r="I93" i="70"/>
  <c r="I92" i="70"/>
  <c r="I91" i="70"/>
  <c r="I90" i="70"/>
  <c r="I89" i="70"/>
  <c r="I88" i="70"/>
  <c r="I87" i="70"/>
  <c r="I86" i="70"/>
  <c r="I85" i="70"/>
  <c r="I84" i="70"/>
  <c r="I83" i="70"/>
  <c r="I82" i="70"/>
  <c r="I81" i="70"/>
  <c r="I80" i="70"/>
  <c r="I79" i="70"/>
  <c r="I78" i="70"/>
  <c r="I77" i="70"/>
  <c r="I76" i="70"/>
  <c r="I75" i="70"/>
  <c r="I74" i="70"/>
  <c r="I73" i="70"/>
  <c r="I72" i="70"/>
  <c r="I71" i="70"/>
  <c r="I70" i="70"/>
  <c r="I69" i="70"/>
  <c r="I68" i="70"/>
  <c r="I67" i="70"/>
  <c r="I66" i="70"/>
  <c r="I65" i="70"/>
  <c r="I64" i="70"/>
  <c r="I63" i="70"/>
  <c r="I62" i="70"/>
  <c r="I61" i="70"/>
  <c r="I60" i="70"/>
  <c r="I59" i="70"/>
  <c r="I58" i="70"/>
  <c r="I57" i="70"/>
  <c r="I56" i="70"/>
  <c r="I55" i="70"/>
  <c r="I54" i="70"/>
  <c r="I53" i="70"/>
  <c r="I52" i="70"/>
  <c r="I51" i="70"/>
  <c r="I50" i="70"/>
  <c r="I49" i="70"/>
  <c r="I48" i="70"/>
  <c r="I47" i="70"/>
  <c r="I46" i="70"/>
  <c r="I45" i="70"/>
  <c r="I44" i="70"/>
  <c r="I43" i="70"/>
  <c r="I42" i="70"/>
  <c r="I41" i="70"/>
  <c r="I40" i="70"/>
  <c r="I39" i="70"/>
  <c r="I38" i="70"/>
  <c r="I37" i="70"/>
  <c r="I36" i="70"/>
  <c r="I35" i="70"/>
  <c r="I34" i="70"/>
  <c r="I33" i="70"/>
  <c r="I32" i="70"/>
  <c r="I31" i="70"/>
  <c r="I30" i="70"/>
  <c r="I29" i="70"/>
  <c r="I28" i="70"/>
  <c r="I27" i="70"/>
  <c r="I26" i="70"/>
  <c r="I25" i="70"/>
  <c r="I24" i="70"/>
  <c r="I23" i="70"/>
  <c r="I22" i="70"/>
  <c r="I21" i="70"/>
  <c r="I20" i="70"/>
  <c r="I19" i="70"/>
  <c r="I18" i="70"/>
  <c r="I17" i="70"/>
  <c r="I16" i="70"/>
  <c r="I15" i="70"/>
  <c r="I14" i="70"/>
  <c r="I13" i="70"/>
  <c r="I12" i="70"/>
  <c r="I11" i="70"/>
  <c r="I10" i="70"/>
  <c r="I9" i="70"/>
  <c r="I8" i="70"/>
  <c r="I7" i="70"/>
  <c r="I6" i="70"/>
  <c r="I5" i="70"/>
  <c r="I4" i="70"/>
  <c r="I2" i="70"/>
  <c r="B100" i="69"/>
  <c r="H99" i="69"/>
  <c r="G99" i="69"/>
  <c r="I98" i="69"/>
  <c r="I97" i="69"/>
  <c r="I96" i="69"/>
  <c r="I95" i="69"/>
  <c r="I94" i="69"/>
  <c r="I93" i="69"/>
  <c r="I92" i="69"/>
  <c r="I91" i="69"/>
  <c r="I90" i="69"/>
  <c r="I89" i="69"/>
  <c r="I88" i="69"/>
  <c r="I87" i="69"/>
  <c r="I86" i="69"/>
  <c r="I85" i="69"/>
  <c r="I84" i="69"/>
  <c r="I83" i="69"/>
  <c r="I82" i="69"/>
  <c r="I81" i="69"/>
  <c r="I80" i="69"/>
  <c r="I79" i="69"/>
  <c r="I78" i="69"/>
  <c r="I77" i="69"/>
  <c r="I76" i="69"/>
  <c r="I75" i="69"/>
  <c r="I74" i="69"/>
  <c r="I73" i="69"/>
  <c r="I72" i="69"/>
  <c r="I71" i="69"/>
  <c r="I70" i="69"/>
  <c r="I69" i="69"/>
  <c r="I68" i="69"/>
  <c r="I67" i="69"/>
  <c r="I66" i="69"/>
  <c r="I65" i="69"/>
  <c r="I64" i="69"/>
  <c r="I63" i="69"/>
  <c r="I62" i="69"/>
  <c r="I61" i="69"/>
  <c r="I60" i="69"/>
  <c r="I59" i="69"/>
  <c r="I58" i="69"/>
  <c r="I57" i="69"/>
  <c r="I56" i="69"/>
  <c r="I55" i="69"/>
  <c r="I54" i="69"/>
  <c r="I53" i="69"/>
  <c r="I52" i="69"/>
  <c r="I51" i="69"/>
  <c r="I50" i="69"/>
  <c r="I49" i="69"/>
  <c r="I48" i="69"/>
  <c r="I47" i="69"/>
  <c r="I46" i="69"/>
  <c r="I45" i="69"/>
  <c r="I44" i="69"/>
  <c r="I43" i="69"/>
  <c r="I42" i="69"/>
  <c r="I41" i="69"/>
  <c r="I40" i="69"/>
  <c r="I39" i="69"/>
  <c r="I38" i="69"/>
  <c r="I37" i="69"/>
  <c r="I36" i="69"/>
  <c r="I35" i="69"/>
  <c r="I34" i="69"/>
  <c r="I33" i="69"/>
  <c r="I32" i="69"/>
  <c r="I31" i="69"/>
  <c r="I30" i="69"/>
  <c r="I29" i="69"/>
  <c r="I28" i="69"/>
  <c r="I27" i="69"/>
  <c r="I26" i="69"/>
  <c r="I25" i="69"/>
  <c r="I24" i="69"/>
  <c r="I23" i="69"/>
  <c r="I22" i="69"/>
  <c r="I21" i="69"/>
  <c r="I20" i="69"/>
  <c r="I19" i="69"/>
  <c r="I18" i="69"/>
  <c r="I17" i="69"/>
  <c r="I16" i="69"/>
  <c r="I15" i="69"/>
  <c r="I14" i="69"/>
  <c r="I13" i="69"/>
  <c r="I12" i="69"/>
  <c r="I11" i="69"/>
  <c r="I10" i="69"/>
  <c r="I9" i="69"/>
  <c r="I8" i="69"/>
  <c r="I7" i="69"/>
  <c r="I6" i="69"/>
  <c r="I5" i="69"/>
  <c r="I4" i="69"/>
  <c r="I2" i="69"/>
  <c r="E40" i="41"/>
  <c r="D40" i="41"/>
  <c r="E39" i="41"/>
  <c r="D39" i="41"/>
  <c r="G39" i="41" l="1"/>
  <c r="F39" i="41"/>
  <c r="G40" i="41"/>
  <c r="C30" i="46" s="1"/>
  <c r="F40" i="41"/>
  <c r="B30" i="46" s="1"/>
  <c r="I99" i="70"/>
  <c r="I99" i="69"/>
  <c r="B13" i="40"/>
  <c r="B28" i="40"/>
  <c r="B29" i="40"/>
  <c r="B27" i="40"/>
  <c r="H100" i="70" l="1"/>
  <c r="H101" i="70" s="1"/>
  <c r="G100" i="70"/>
  <c r="G101" i="70" s="1"/>
  <c r="I101" i="70" s="1"/>
  <c r="G100" i="69"/>
  <c r="G101" i="69" s="1"/>
  <c r="H100" i="69"/>
  <c r="H101" i="69" s="1"/>
  <c r="B25" i="40"/>
  <c r="B26" i="40"/>
  <c r="I101" i="69" l="1"/>
  <c r="B100" i="67"/>
  <c r="H99" i="67"/>
  <c r="G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26" i="67"/>
  <c r="I25" i="67"/>
  <c r="I24" i="67"/>
  <c r="I23" i="67"/>
  <c r="I22" i="67"/>
  <c r="I21" i="67"/>
  <c r="I20" i="67"/>
  <c r="I19" i="67"/>
  <c r="I18" i="67"/>
  <c r="I17" i="67"/>
  <c r="I16" i="67"/>
  <c r="I15" i="67"/>
  <c r="I14" i="67"/>
  <c r="I13" i="67"/>
  <c r="I12" i="67"/>
  <c r="I11" i="67"/>
  <c r="I10" i="67"/>
  <c r="I9" i="67"/>
  <c r="I8" i="67"/>
  <c r="I7" i="67"/>
  <c r="I6" i="67"/>
  <c r="I5" i="67"/>
  <c r="I4" i="67"/>
  <c r="I2" i="67"/>
  <c r="I2" i="66"/>
  <c r="B100" i="66"/>
  <c r="H99" i="66"/>
  <c r="G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2" i="66"/>
  <c r="I21" i="66"/>
  <c r="I20" i="66"/>
  <c r="I19" i="66"/>
  <c r="I18" i="66"/>
  <c r="I17" i="66"/>
  <c r="I16" i="66"/>
  <c r="I15" i="66"/>
  <c r="I14" i="66"/>
  <c r="I13" i="66"/>
  <c r="I12" i="66"/>
  <c r="I11" i="66"/>
  <c r="I10" i="66"/>
  <c r="I9" i="66"/>
  <c r="I8" i="66"/>
  <c r="I7" i="66"/>
  <c r="I6" i="66"/>
  <c r="I5" i="66"/>
  <c r="I4" i="66"/>
  <c r="D38" i="41"/>
  <c r="E38" i="41"/>
  <c r="E37" i="41"/>
  <c r="D37" i="41"/>
  <c r="G37" i="41" l="1"/>
  <c r="F37" i="41"/>
  <c r="F38" i="41"/>
  <c r="G38" i="41"/>
  <c r="C28" i="46" s="1"/>
  <c r="G28" i="46" s="1"/>
  <c r="B28" i="46"/>
  <c r="F28" i="46" s="1"/>
  <c r="I99" i="67"/>
  <c r="I99" i="66"/>
  <c r="O16" i="40"/>
  <c r="O17" i="40"/>
  <c r="O18" i="40"/>
  <c r="O19" i="40"/>
  <c r="O20" i="40"/>
  <c r="O21" i="40"/>
  <c r="O22" i="40"/>
  <c r="O23" i="40"/>
  <c r="O24" i="40"/>
  <c r="O25" i="40"/>
  <c r="O15" i="40"/>
  <c r="O30" i="40" l="1"/>
  <c r="H100" i="67"/>
  <c r="H101" i="67" s="1"/>
  <c r="G100" i="67"/>
  <c r="G101" i="67" s="1"/>
  <c r="H100" i="66"/>
  <c r="H101" i="66" s="1"/>
  <c r="G100" i="66"/>
  <c r="G101" i="66" s="1"/>
  <c r="D14" i="40"/>
  <c r="B6" i="53" s="1"/>
  <c r="E14" i="40"/>
  <c r="B7" i="53" s="1"/>
  <c r="F14" i="40"/>
  <c r="B8" i="53" s="1"/>
  <c r="G14" i="40"/>
  <c r="B9" i="53" s="1"/>
  <c r="H14" i="40"/>
  <c r="B10" i="53" s="1"/>
  <c r="I14" i="40"/>
  <c r="B11" i="53" s="1"/>
  <c r="J14" i="40"/>
  <c r="B12" i="53" s="1"/>
  <c r="K14" i="40"/>
  <c r="B13" i="53" s="1"/>
  <c r="L14" i="40"/>
  <c r="B14" i="53" s="1"/>
  <c r="M14" i="40"/>
  <c r="B15" i="53" s="1"/>
  <c r="N14" i="40"/>
  <c r="O5" i="40"/>
  <c r="O6" i="40"/>
  <c r="O7" i="40"/>
  <c r="O8" i="40"/>
  <c r="O9" i="40"/>
  <c r="O10" i="40"/>
  <c r="O11" i="40"/>
  <c r="O12" i="40"/>
  <c r="O13" i="40"/>
  <c r="O4" i="40"/>
  <c r="N31" i="40" l="1"/>
  <c r="B16" i="53"/>
  <c r="I101" i="66"/>
  <c r="I101" i="67"/>
  <c r="M31" i="40"/>
  <c r="D31" i="40"/>
  <c r="H31" i="40"/>
  <c r="L31" i="40"/>
  <c r="J31" i="40"/>
  <c r="C31" i="40"/>
  <c r="G31" i="40"/>
  <c r="E31" i="40"/>
  <c r="K31" i="40"/>
  <c r="I31" i="40"/>
  <c r="F31" i="40"/>
  <c r="O14" i="40"/>
  <c r="O31" i="40" s="1"/>
  <c r="B100" i="45"/>
  <c r="A6" i="29" l="1"/>
  <c r="B6" i="29"/>
  <c r="C6" i="29"/>
  <c r="D6" i="29"/>
  <c r="E6" i="29"/>
  <c r="F6" i="29"/>
  <c r="G6" i="29"/>
  <c r="A7" i="29"/>
  <c r="B7" i="29"/>
  <c r="C7" i="29"/>
  <c r="D7" i="29"/>
  <c r="E7" i="29"/>
  <c r="F7" i="29"/>
  <c r="G7" i="29"/>
  <c r="A8" i="29"/>
  <c r="B8" i="29"/>
  <c r="C8" i="29"/>
  <c r="D8" i="29"/>
  <c r="E8" i="29"/>
  <c r="F8" i="29"/>
  <c r="G8" i="29"/>
  <c r="A9" i="29"/>
  <c r="B9" i="29"/>
  <c r="C9" i="29"/>
  <c r="D9" i="29"/>
  <c r="E9" i="29"/>
  <c r="F9" i="29"/>
  <c r="G9" i="29"/>
  <c r="A10" i="29"/>
  <c r="B10" i="29"/>
  <c r="C10" i="29"/>
  <c r="D10" i="29"/>
  <c r="E10" i="29"/>
  <c r="F10" i="29"/>
  <c r="G10" i="29"/>
  <c r="A11" i="29"/>
  <c r="B11" i="29"/>
  <c r="C11" i="29"/>
  <c r="D11" i="29"/>
  <c r="E11" i="29"/>
  <c r="F11" i="29"/>
  <c r="G11" i="29"/>
  <c r="A12" i="29"/>
  <c r="B12" i="29"/>
  <c r="C12" i="29"/>
  <c r="D12" i="29"/>
  <c r="E12" i="29"/>
  <c r="F12" i="29"/>
  <c r="G12" i="29"/>
  <c r="A13" i="29"/>
  <c r="B13" i="29"/>
  <c r="C13" i="29"/>
  <c r="D13" i="29"/>
  <c r="E13" i="29"/>
  <c r="F13" i="29"/>
  <c r="G13" i="29"/>
  <c r="A14" i="29"/>
  <c r="B14" i="29"/>
  <c r="C14" i="29"/>
  <c r="D14" i="29"/>
  <c r="E14" i="29"/>
  <c r="F14" i="29"/>
  <c r="G14" i="29"/>
  <c r="A15" i="29"/>
  <c r="B15" i="29"/>
  <c r="C15" i="29"/>
  <c r="D15" i="29"/>
  <c r="E15" i="29"/>
  <c r="F15" i="29"/>
  <c r="G15" i="29"/>
  <c r="A16" i="29"/>
  <c r="B16" i="29"/>
  <c r="C16" i="29"/>
  <c r="D16" i="29"/>
  <c r="E16" i="29"/>
  <c r="F16" i="29"/>
  <c r="G16" i="29"/>
  <c r="A17" i="29"/>
  <c r="B17" i="29"/>
  <c r="C17" i="29"/>
  <c r="D17" i="29"/>
  <c r="E17" i="29"/>
  <c r="F17" i="29"/>
  <c r="G17" i="29"/>
  <c r="A18" i="29"/>
  <c r="B18" i="29"/>
  <c r="C18" i="29"/>
  <c r="D18" i="29"/>
  <c r="E18" i="29"/>
  <c r="F18" i="29"/>
  <c r="G18" i="29"/>
  <c r="A19" i="29"/>
  <c r="B19" i="29"/>
  <c r="C19" i="29"/>
  <c r="D19" i="29"/>
  <c r="E19" i="29"/>
  <c r="F19" i="29"/>
  <c r="G19" i="29"/>
  <c r="A20" i="29"/>
  <c r="B20" i="29"/>
  <c r="C20" i="29"/>
  <c r="D20" i="29"/>
  <c r="E20" i="29"/>
  <c r="F20" i="29"/>
  <c r="G20" i="29"/>
  <c r="A21" i="29"/>
  <c r="B21" i="29"/>
  <c r="C21" i="29"/>
  <c r="D21" i="29"/>
  <c r="E21" i="29"/>
  <c r="F21" i="29"/>
  <c r="G21" i="29"/>
  <c r="A22" i="29"/>
  <c r="B22" i="29"/>
  <c r="C22" i="29"/>
  <c r="D22" i="29"/>
  <c r="E22" i="29"/>
  <c r="F22" i="29"/>
  <c r="G22" i="29"/>
  <c r="A23" i="29"/>
  <c r="B23" i="29"/>
  <c r="C23" i="29"/>
  <c r="D23" i="29"/>
  <c r="E23" i="29"/>
  <c r="F23" i="29"/>
  <c r="G23" i="29"/>
  <c r="A24" i="29"/>
  <c r="B24" i="29"/>
  <c r="C24" i="29"/>
  <c r="D24" i="29"/>
  <c r="E24" i="29"/>
  <c r="F24" i="29"/>
  <c r="G24" i="29"/>
  <c r="A25" i="29"/>
  <c r="B25" i="29"/>
  <c r="C25" i="29"/>
  <c r="D25" i="29"/>
  <c r="E25" i="29"/>
  <c r="F25" i="29"/>
  <c r="G25" i="29"/>
  <c r="A26" i="29"/>
  <c r="B26" i="29"/>
  <c r="C26" i="29"/>
  <c r="D26" i="29"/>
  <c r="E26" i="29"/>
  <c r="F26" i="29"/>
  <c r="G26" i="29"/>
  <c r="A27" i="29"/>
  <c r="B27" i="29"/>
  <c r="C27" i="29"/>
  <c r="D27" i="29"/>
  <c r="E27" i="29"/>
  <c r="F27" i="29"/>
  <c r="G27" i="29"/>
  <c r="A28" i="29"/>
  <c r="B28" i="29"/>
  <c r="C28" i="29"/>
  <c r="D28" i="29"/>
  <c r="E28" i="29"/>
  <c r="F28" i="29"/>
  <c r="G28" i="29"/>
  <c r="A29" i="29"/>
  <c r="B29" i="29"/>
  <c r="C29" i="29"/>
  <c r="D29" i="29"/>
  <c r="E29" i="29"/>
  <c r="F29" i="29"/>
  <c r="G29" i="29"/>
  <c r="A30" i="29"/>
  <c r="B30" i="29"/>
  <c r="C30" i="29"/>
  <c r="D30" i="29"/>
  <c r="E30" i="29"/>
  <c r="F30" i="29"/>
  <c r="G30" i="29"/>
  <c r="A31" i="29"/>
  <c r="B31" i="29"/>
  <c r="C31" i="29"/>
  <c r="D31" i="29"/>
  <c r="E31" i="29"/>
  <c r="F31" i="29"/>
  <c r="G31" i="29"/>
  <c r="A32" i="29"/>
  <c r="B32" i="29"/>
  <c r="C32" i="29"/>
  <c r="D32" i="29"/>
  <c r="E32" i="29"/>
  <c r="F32" i="29"/>
  <c r="G32" i="29"/>
  <c r="A33" i="29"/>
  <c r="B33" i="29"/>
  <c r="C33" i="29"/>
  <c r="D33" i="29"/>
  <c r="E33" i="29"/>
  <c r="F33" i="29"/>
  <c r="G33" i="29"/>
  <c r="A34" i="29"/>
  <c r="B34" i="29"/>
  <c r="C34" i="29"/>
  <c r="D34" i="29"/>
  <c r="E34" i="29"/>
  <c r="F34" i="29"/>
  <c r="G34" i="29"/>
  <c r="A35" i="29"/>
  <c r="B35" i="29"/>
  <c r="C35" i="29"/>
  <c r="D35" i="29"/>
  <c r="E35" i="29"/>
  <c r="F35" i="29"/>
  <c r="G35" i="29"/>
  <c r="A36" i="29"/>
  <c r="B36" i="29"/>
  <c r="C36" i="29"/>
  <c r="D36" i="29"/>
  <c r="E36" i="29"/>
  <c r="F36" i="29"/>
  <c r="G36" i="29"/>
  <c r="A37" i="29"/>
  <c r="B37" i="29"/>
  <c r="C37" i="29"/>
  <c r="D37" i="29"/>
  <c r="E37" i="29"/>
  <c r="F37" i="29"/>
  <c r="G37" i="29"/>
  <c r="A38" i="29"/>
  <c r="B38" i="29"/>
  <c r="C38" i="29"/>
  <c r="D38" i="29"/>
  <c r="E38" i="29"/>
  <c r="F38" i="29"/>
  <c r="G38" i="29"/>
  <c r="A39" i="29"/>
  <c r="B39" i="29"/>
  <c r="C39" i="29"/>
  <c r="D39" i="29"/>
  <c r="E39" i="29"/>
  <c r="F39" i="29"/>
  <c r="G39" i="29"/>
  <c r="A40" i="29"/>
  <c r="B40" i="29"/>
  <c r="C40" i="29"/>
  <c r="D40" i="29"/>
  <c r="E40" i="29"/>
  <c r="F40" i="29"/>
  <c r="G40" i="29"/>
  <c r="A41" i="29"/>
  <c r="B41" i="29"/>
  <c r="C41" i="29"/>
  <c r="D41" i="29"/>
  <c r="E41" i="29"/>
  <c r="F41" i="29"/>
  <c r="G41" i="29"/>
  <c r="A42" i="29"/>
  <c r="B42" i="29"/>
  <c r="C42" i="29"/>
  <c r="D42" i="29"/>
  <c r="E42" i="29"/>
  <c r="F42" i="29"/>
  <c r="G42" i="29"/>
  <c r="A43" i="29"/>
  <c r="B43" i="29"/>
  <c r="C43" i="29"/>
  <c r="D43" i="29"/>
  <c r="E43" i="29"/>
  <c r="F43" i="29"/>
  <c r="G43" i="29"/>
  <c r="A44" i="29"/>
  <c r="B44" i="29"/>
  <c r="C44" i="29"/>
  <c r="D44" i="29"/>
  <c r="E44" i="29"/>
  <c r="F44" i="29"/>
  <c r="G44" i="29"/>
  <c r="A45" i="29"/>
  <c r="B45" i="29"/>
  <c r="C45" i="29"/>
  <c r="D45" i="29"/>
  <c r="E45" i="29"/>
  <c r="F45" i="29"/>
  <c r="G45" i="29"/>
  <c r="A46" i="29"/>
  <c r="B46" i="29"/>
  <c r="C46" i="29"/>
  <c r="D46" i="29"/>
  <c r="E46" i="29"/>
  <c r="F46" i="29"/>
  <c r="G46" i="29"/>
  <c r="A47" i="29"/>
  <c r="B47" i="29"/>
  <c r="C47" i="29"/>
  <c r="D47" i="29"/>
  <c r="E47" i="29"/>
  <c r="F47" i="29"/>
  <c r="G47" i="29"/>
  <c r="A48" i="29"/>
  <c r="B48" i="29"/>
  <c r="C48" i="29"/>
  <c r="D48" i="29"/>
  <c r="E48" i="29"/>
  <c r="F48" i="29"/>
  <c r="G48" i="29"/>
  <c r="A49" i="29"/>
  <c r="B49" i="29"/>
  <c r="C49" i="29"/>
  <c r="D49" i="29"/>
  <c r="E49" i="29"/>
  <c r="F49" i="29"/>
  <c r="G49" i="29"/>
  <c r="A50" i="29"/>
  <c r="B50" i="29"/>
  <c r="C50" i="29"/>
  <c r="D50" i="29"/>
  <c r="E50" i="29"/>
  <c r="F50" i="29"/>
  <c r="G50" i="29"/>
  <c r="A51" i="29"/>
  <c r="B51" i="29"/>
  <c r="C51" i="29"/>
  <c r="D51" i="29"/>
  <c r="E51" i="29"/>
  <c r="F51" i="29"/>
  <c r="G51" i="29"/>
  <c r="A52" i="29"/>
  <c r="B52" i="29"/>
  <c r="C52" i="29"/>
  <c r="D52" i="29"/>
  <c r="E52" i="29"/>
  <c r="F52" i="29"/>
  <c r="G52" i="29"/>
  <c r="A53" i="29"/>
  <c r="B53" i="29"/>
  <c r="C53" i="29"/>
  <c r="D53" i="29"/>
  <c r="E53" i="29"/>
  <c r="F53" i="29"/>
  <c r="G53" i="29"/>
  <c r="A54" i="29"/>
  <c r="B54" i="29"/>
  <c r="C54" i="29"/>
  <c r="D54" i="29"/>
  <c r="E54" i="29"/>
  <c r="F54" i="29"/>
  <c r="G54" i="29"/>
  <c r="A55" i="29"/>
  <c r="B55" i="29"/>
  <c r="C55" i="29"/>
  <c r="D55" i="29"/>
  <c r="E55" i="29"/>
  <c r="F55" i="29"/>
  <c r="G55" i="29"/>
  <c r="A56" i="29"/>
  <c r="B56" i="29"/>
  <c r="C56" i="29"/>
  <c r="D56" i="29"/>
  <c r="E56" i="29"/>
  <c r="F56" i="29"/>
  <c r="G56" i="29"/>
  <c r="A57" i="29"/>
  <c r="B57" i="29"/>
  <c r="C57" i="29"/>
  <c r="D57" i="29"/>
  <c r="E57" i="29"/>
  <c r="F57" i="29"/>
  <c r="G57" i="29"/>
  <c r="A58" i="29"/>
  <c r="B58" i="29"/>
  <c r="C58" i="29"/>
  <c r="D58" i="29"/>
  <c r="E58" i="29"/>
  <c r="F58" i="29"/>
  <c r="G58" i="29"/>
  <c r="A59" i="29"/>
  <c r="B59" i="29"/>
  <c r="C59" i="29"/>
  <c r="D59" i="29"/>
  <c r="E59" i="29"/>
  <c r="F59" i="29"/>
  <c r="G59" i="29"/>
  <c r="A60" i="29"/>
  <c r="B60" i="29"/>
  <c r="C60" i="29"/>
  <c r="D60" i="29"/>
  <c r="E60" i="29"/>
  <c r="F60" i="29"/>
  <c r="G60" i="29"/>
  <c r="A61" i="29"/>
  <c r="B61" i="29"/>
  <c r="C61" i="29"/>
  <c r="D61" i="29"/>
  <c r="E61" i="29"/>
  <c r="F61" i="29"/>
  <c r="G61" i="29"/>
  <c r="A62" i="29"/>
  <c r="B62" i="29"/>
  <c r="C62" i="29"/>
  <c r="D62" i="29"/>
  <c r="E62" i="29"/>
  <c r="F62" i="29"/>
  <c r="G62" i="29"/>
  <c r="A63" i="29"/>
  <c r="B63" i="29"/>
  <c r="C63" i="29"/>
  <c r="D63" i="29"/>
  <c r="E63" i="29"/>
  <c r="F63" i="29"/>
  <c r="G63" i="29"/>
  <c r="A64" i="29"/>
  <c r="B64" i="29"/>
  <c r="C64" i="29"/>
  <c r="D64" i="29"/>
  <c r="E64" i="29"/>
  <c r="F64" i="29"/>
  <c r="G64" i="29"/>
  <c r="A65" i="29"/>
  <c r="B65" i="29"/>
  <c r="C65" i="29"/>
  <c r="D65" i="29"/>
  <c r="E65" i="29"/>
  <c r="F65" i="29"/>
  <c r="G65" i="29"/>
  <c r="A66" i="29"/>
  <c r="B66" i="29"/>
  <c r="C66" i="29"/>
  <c r="D66" i="29"/>
  <c r="E66" i="29"/>
  <c r="F66" i="29"/>
  <c r="G66" i="29"/>
  <c r="A67" i="29"/>
  <c r="B67" i="29"/>
  <c r="C67" i="29"/>
  <c r="D67" i="29"/>
  <c r="E67" i="29"/>
  <c r="F67" i="29"/>
  <c r="G67" i="29"/>
  <c r="A68" i="29"/>
  <c r="B68" i="29"/>
  <c r="C68" i="29"/>
  <c r="D68" i="29"/>
  <c r="E68" i="29"/>
  <c r="F68" i="29"/>
  <c r="G68" i="29"/>
  <c r="A69" i="29"/>
  <c r="B69" i="29"/>
  <c r="C69" i="29"/>
  <c r="D69" i="29"/>
  <c r="E69" i="29"/>
  <c r="F69" i="29"/>
  <c r="G69" i="29"/>
  <c r="A70" i="29"/>
  <c r="B70" i="29"/>
  <c r="C70" i="29"/>
  <c r="D70" i="29"/>
  <c r="E70" i="29"/>
  <c r="F70" i="29"/>
  <c r="G70" i="29"/>
  <c r="A71" i="29"/>
  <c r="B71" i="29"/>
  <c r="C71" i="29"/>
  <c r="D71" i="29"/>
  <c r="E71" i="29"/>
  <c r="F71" i="29"/>
  <c r="G71" i="29"/>
  <c r="A72" i="29"/>
  <c r="B72" i="29"/>
  <c r="C72" i="29"/>
  <c r="D72" i="29"/>
  <c r="E72" i="29"/>
  <c r="F72" i="29"/>
  <c r="G72" i="29"/>
  <c r="A73" i="29"/>
  <c r="B73" i="29"/>
  <c r="C73" i="29"/>
  <c r="D73" i="29"/>
  <c r="E73" i="29"/>
  <c r="F73" i="29"/>
  <c r="G73" i="29"/>
  <c r="A74" i="29"/>
  <c r="B74" i="29"/>
  <c r="C74" i="29"/>
  <c r="D74" i="29"/>
  <c r="E74" i="29"/>
  <c r="F74" i="29"/>
  <c r="G74" i="29"/>
  <c r="A75" i="29"/>
  <c r="B75" i="29"/>
  <c r="C75" i="29"/>
  <c r="D75" i="29"/>
  <c r="E75" i="29"/>
  <c r="F75" i="29"/>
  <c r="G75" i="29"/>
  <c r="A76" i="29"/>
  <c r="B76" i="29"/>
  <c r="C76" i="29"/>
  <c r="D76" i="29"/>
  <c r="E76" i="29"/>
  <c r="F76" i="29"/>
  <c r="G76" i="29"/>
  <c r="A77" i="29"/>
  <c r="B77" i="29"/>
  <c r="C77" i="29"/>
  <c r="D77" i="29"/>
  <c r="E77" i="29"/>
  <c r="F77" i="29"/>
  <c r="G77" i="29"/>
  <c r="A78" i="29"/>
  <c r="B78" i="29"/>
  <c r="C78" i="29"/>
  <c r="D78" i="29"/>
  <c r="E78" i="29"/>
  <c r="F78" i="29"/>
  <c r="G78" i="29"/>
  <c r="A79" i="29"/>
  <c r="B79" i="29"/>
  <c r="C79" i="29"/>
  <c r="D79" i="29"/>
  <c r="E79" i="29"/>
  <c r="F79" i="29"/>
  <c r="G79" i="29"/>
  <c r="A80" i="29"/>
  <c r="B80" i="29"/>
  <c r="C80" i="29"/>
  <c r="D80" i="29"/>
  <c r="E80" i="29"/>
  <c r="F80" i="29"/>
  <c r="G80" i="29"/>
  <c r="A81" i="29"/>
  <c r="B81" i="29"/>
  <c r="C81" i="29"/>
  <c r="D81" i="29"/>
  <c r="E81" i="29"/>
  <c r="F81" i="29"/>
  <c r="G81" i="29"/>
  <c r="A82" i="29"/>
  <c r="B82" i="29"/>
  <c r="C82" i="29"/>
  <c r="D82" i="29"/>
  <c r="E82" i="29"/>
  <c r="F82" i="29"/>
  <c r="G82" i="29"/>
  <c r="A83" i="29"/>
  <c r="B83" i="29"/>
  <c r="C83" i="29"/>
  <c r="D83" i="29"/>
  <c r="E83" i="29"/>
  <c r="F83" i="29"/>
  <c r="G83" i="29"/>
  <c r="A84" i="29"/>
  <c r="B84" i="29"/>
  <c r="C84" i="29"/>
  <c r="D84" i="29"/>
  <c r="E84" i="29"/>
  <c r="F84" i="29"/>
  <c r="G84" i="29"/>
  <c r="A85" i="29"/>
  <c r="B85" i="29"/>
  <c r="C85" i="29"/>
  <c r="D85" i="29"/>
  <c r="E85" i="29"/>
  <c r="F85" i="29"/>
  <c r="G85" i="29"/>
  <c r="A86" i="29"/>
  <c r="B86" i="29"/>
  <c r="C86" i="29"/>
  <c r="D86" i="29"/>
  <c r="E86" i="29"/>
  <c r="F86" i="29"/>
  <c r="G86" i="29"/>
  <c r="A87" i="29"/>
  <c r="B87" i="29"/>
  <c r="C87" i="29"/>
  <c r="D87" i="29"/>
  <c r="E87" i="29"/>
  <c r="F87" i="29"/>
  <c r="G87" i="29"/>
  <c r="A88" i="29"/>
  <c r="B88" i="29"/>
  <c r="C88" i="29"/>
  <c r="D88" i="29"/>
  <c r="E88" i="29"/>
  <c r="F88" i="29"/>
  <c r="G88" i="29"/>
  <c r="A89" i="29"/>
  <c r="B89" i="29"/>
  <c r="C89" i="29"/>
  <c r="D89" i="29"/>
  <c r="E89" i="29"/>
  <c r="F89" i="29"/>
  <c r="G89" i="29"/>
  <c r="A90" i="29"/>
  <c r="B90" i="29"/>
  <c r="C90" i="29"/>
  <c r="D90" i="29"/>
  <c r="E90" i="29"/>
  <c r="F90" i="29"/>
  <c r="G90" i="29"/>
  <c r="A91" i="29"/>
  <c r="B91" i="29"/>
  <c r="C91" i="29"/>
  <c r="D91" i="29"/>
  <c r="E91" i="29"/>
  <c r="F91" i="29"/>
  <c r="G91" i="29"/>
  <c r="A92" i="29"/>
  <c r="B92" i="29"/>
  <c r="C92" i="29"/>
  <c r="D92" i="29"/>
  <c r="E92" i="29"/>
  <c r="F92" i="29"/>
  <c r="G92" i="29"/>
  <c r="A93" i="29"/>
  <c r="B93" i="29"/>
  <c r="C93" i="29"/>
  <c r="D93" i="29"/>
  <c r="E93" i="29"/>
  <c r="F93" i="29"/>
  <c r="G93" i="29"/>
  <c r="A94" i="29"/>
  <c r="B94" i="29"/>
  <c r="C94" i="29"/>
  <c r="D94" i="29"/>
  <c r="E94" i="29"/>
  <c r="F94" i="29"/>
  <c r="G94" i="29"/>
  <c r="A95" i="29"/>
  <c r="B95" i="29"/>
  <c r="C95" i="29"/>
  <c r="D95" i="29"/>
  <c r="E95" i="29"/>
  <c r="F95" i="29"/>
  <c r="G95" i="29"/>
  <c r="A96" i="29"/>
  <c r="B96" i="29"/>
  <c r="C96" i="29"/>
  <c r="D96" i="29"/>
  <c r="E96" i="29"/>
  <c r="F96" i="29"/>
  <c r="G96" i="29"/>
  <c r="A97" i="29"/>
  <c r="B97" i="29"/>
  <c r="C97" i="29"/>
  <c r="D97" i="29"/>
  <c r="E97" i="29"/>
  <c r="F97" i="29"/>
  <c r="G97" i="29"/>
  <c r="A98" i="29"/>
  <c r="B98" i="29"/>
  <c r="C98" i="29"/>
  <c r="D98" i="29"/>
  <c r="E98" i="29"/>
  <c r="F98" i="29"/>
  <c r="G98" i="29"/>
  <c r="E5" i="29"/>
  <c r="G5" i="29"/>
  <c r="F5" i="29"/>
  <c r="E4" i="29"/>
  <c r="D5" i="29"/>
  <c r="C5" i="29"/>
  <c r="B5" i="29"/>
  <c r="A5" i="29"/>
  <c r="B100" i="38" l="1"/>
  <c r="G99" i="38"/>
  <c r="F99" i="38"/>
  <c r="B100" i="37"/>
  <c r="G99" i="37"/>
  <c r="F99" i="37"/>
  <c r="B100" i="36"/>
  <c r="G99" i="36"/>
  <c r="F99" i="36"/>
  <c r="B100" i="35"/>
  <c r="G99" i="35"/>
  <c r="F99" i="35"/>
  <c r="B100" i="34"/>
  <c r="G99" i="34"/>
  <c r="F99" i="34"/>
  <c r="B100" i="33"/>
  <c r="G99" i="33"/>
  <c r="F99" i="33"/>
  <c r="B100" i="32"/>
  <c r="G99" i="32"/>
  <c r="G99" i="30"/>
  <c r="F99" i="30"/>
  <c r="B100" i="30"/>
  <c r="E9" i="41"/>
  <c r="E13" i="41"/>
  <c r="D15" i="41"/>
  <c r="D14" i="41"/>
  <c r="E12" i="41"/>
  <c r="D10" i="41"/>
  <c r="E10" i="41"/>
  <c r="D8" i="41"/>
  <c r="E14" i="41"/>
  <c r="D13" i="41"/>
  <c r="D9" i="41"/>
  <c r="D11" i="41"/>
  <c r="E15" i="41"/>
  <c r="E11" i="41"/>
  <c r="D12" i="41"/>
  <c r="E8" i="41"/>
  <c r="G8" i="41" l="1"/>
  <c r="F8" i="41"/>
  <c r="B7" i="77" s="1"/>
  <c r="H7" i="41"/>
  <c r="F14" i="41"/>
  <c r="B13" i="77" s="1"/>
  <c r="G14" i="41"/>
  <c r="G12" i="41"/>
  <c r="F12" i="41"/>
  <c r="B11" i="77" s="1"/>
  <c r="F11" i="41"/>
  <c r="B10" i="77" s="1"/>
  <c r="G11" i="41"/>
  <c r="G10" i="41"/>
  <c r="F10" i="41"/>
  <c r="B9" i="77" s="1"/>
  <c r="G9" i="41"/>
  <c r="F9" i="41"/>
  <c r="B8" i="77" s="1"/>
  <c r="G15" i="41"/>
  <c r="F15" i="41"/>
  <c r="B14" i="77" s="1"/>
  <c r="G13" i="41"/>
  <c r="F13" i="41"/>
  <c r="B12" i="77" s="1"/>
  <c r="H99" i="32"/>
  <c r="H99" i="34"/>
  <c r="H99" i="36"/>
  <c r="H99" i="38"/>
  <c r="H99" i="30"/>
  <c r="H99" i="37"/>
  <c r="H99" i="35"/>
  <c r="H99" i="33"/>
  <c r="G100" i="36" l="1"/>
  <c r="G101" i="36" s="1"/>
  <c r="F100" i="36"/>
  <c r="F101" i="36" s="1"/>
  <c r="G100" i="34"/>
  <c r="G101" i="34" s="1"/>
  <c r="F100" i="34"/>
  <c r="F101" i="34" s="1"/>
  <c r="F100" i="33"/>
  <c r="F101" i="33" s="1"/>
  <c r="G100" i="33"/>
  <c r="G101" i="33" s="1"/>
  <c r="G100" i="30"/>
  <c r="G101" i="30" s="1"/>
  <c r="F100" i="30"/>
  <c r="F101" i="30" s="1"/>
  <c r="G100" i="38"/>
  <c r="G101" i="38" s="1"/>
  <c r="F100" i="38"/>
  <c r="F101" i="38" s="1"/>
  <c r="G100" i="32"/>
  <c r="G101" i="32" s="1"/>
  <c r="F100" i="32"/>
  <c r="F101" i="32" s="1"/>
  <c r="G100" i="35"/>
  <c r="G101" i="35" s="1"/>
  <c r="F100" i="35"/>
  <c r="F101" i="35" s="1"/>
  <c r="F100" i="37"/>
  <c r="F101" i="37" s="1"/>
  <c r="G100" i="37"/>
  <c r="G101" i="37" s="1"/>
  <c r="H101" i="38" l="1"/>
  <c r="H101" i="37"/>
  <c r="H101" i="36"/>
  <c r="H101" i="34"/>
  <c r="H101" i="32"/>
  <c r="H101" i="35"/>
  <c r="H101" i="33"/>
  <c r="H101" i="30"/>
  <c r="B100" i="25"/>
  <c r="H99" i="25"/>
  <c r="G99" i="25"/>
  <c r="B100" i="43"/>
  <c r="H99" i="43"/>
  <c r="G99" i="43"/>
  <c r="B100" i="23"/>
  <c r="H99" i="23"/>
  <c r="G99" i="23"/>
  <c r="B100" i="21"/>
  <c r="H99" i="21"/>
  <c r="G99" i="21"/>
  <c r="B100" i="19"/>
  <c r="H99" i="19"/>
  <c r="G99" i="19"/>
  <c r="B100" i="18"/>
  <c r="H99" i="18"/>
  <c r="G99" i="18"/>
  <c r="B100" i="50"/>
  <c r="H99" i="50"/>
  <c r="G99" i="50"/>
  <c r="B100" i="20"/>
  <c r="H99" i="20"/>
  <c r="G99" i="20"/>
  <c r="B100" i="24"/>
  <c r="H99" i="24"/>
  <c r="G99" i="24"/>
  <c r="B100" i="17"/>
  <c r="H99" i="17"/>
  <c r="G99" i="17"/>
  <c r="H99" i="22"/>
  <c r="G99" i="22"/>
  <c r="B100" i="22"/>
  <c r="D35" i="41"/>
  <c r="E33" i="41"/>
  <c r="D28" i="41"/>
  <c r="D34" i="41"/>
  <c r="E27" i="41"/>
  <c r="E36" i="41"/>
  <c r="D27" i="41"/>
  <c r="E28" i="41"/>
  <c r="E30" i="41"/>
  <c r="E29" i="41"/>
  <c r="E34" i="41"/>
  <c r="D32" i="41"/>
  <c r="D29" i="41"/>
  <c r="E31" i="41"/>
  <c r="D33" i="41"/>
  <c r="D30" i="41"/>
  <c r="E32" i="41"/>
  <c r="D31" i="41"/>
  <c r="D26" i="41"/>
  <c r="D36" i="41"/>
  <c r="E35" i="41"/>
  <c r="E26" i="41"/>
  <c r="F30" i="41" l="1"/>
  <c r="G30" i="41"/>
  <c r="G28" i="41"/>
  <c r="C18" i="46" s="1"/>
  <c r="G18" i="46" s="1"/>
  <c r="F28" i="41"/>
  <c r="B18" i="46" s="1"/>
  <c r="F18" i="46" s="1"/>
  <c r="J7" i="57" s="1"/>
  <c r="G36" i="41"/>
  <c r="F36" i="41"/>
  <c r="G29" i="41"/>
  <c r="F29" i="41"/>
  <c r="G32" i="41"/>
  <c r="F32" i="41"/>
  <c r="F35" i="41"/>
  <c r="G35" i="41"/>
  <c r="G31" i="41"/>
  <c r="F31" i="41"/>
  <c r="G26" i="41"/>
  <c r="C16" i="46" s="1"/>
  <c r="F26" i="41"/>
  <c r="B16" i="46" s="1"/>
  <c r="F16" i="46" s="1"/>
  <c r="F27" i="41"/>
  <c r="G27" i="41"/>
  <c r="G33" i="41"/>
  <c r="F33" i="41"/>
  <c r="G34" i="41"/>
  <c r="F34" i="41"/>
  <c r="I99" i="21"/>
  <c r="I99" i="20"/>
  <c r="I99" i="17"/>
  <c r="I99" i="43"/>
  <c r="I99" i="22"/>
  <c r="I99" i="19"/>
  <c r="I99" i="50"/>
  <c r="I99" i="25"/>
  <c r="I99" i="23"/>
  <c r="I99" i="24"/>
  <c r="I99" i="18"/>
  <c r="D16" i="54" l="1"/>
  <c r="J4" i="57"/>
  <c r="D19" i="54"/>
  <c r="H100" i="25"/>
  <c r="H101" i="25" s="1"/>
  <c r="G100" i="25"/>
  <c r="G101" i="25" s="1"/>
  <c r="G100" i="43"/>
  <c r="G101" i="43" s="1"/>
  <c r="H100" i="43"/>
  <c r="H101" i="43" s="1"/>
  <c r="H100" i="23"/>
  <c r="H101" i="23" s="1"/>
  <c r="G100" i="23"/>
  <c r="G101" i="23" s="1"/>
  <c r="H100" i="21"/>
  <c r="H101" i="21" s="1"/>
  <c r="G100" i="21"/>
  <c r="G101" i="21" s="1"/>
  <c r="G100" i="19"/>
  <c r="G101" i="19" s="1"/>
  <c r="H100" i="19"/>
  <c r="H101" i="19" s="1"/>
  <c r="H100" i="18"/>
  <c r="H101" i="18" s="1"/>
  <c r="G100" i="18"/>
  <c r="G101" i="18" s="1"/>
  <c r="G100" i="50"/>
  <c r="G101" i="50" s="1"/>
  <c r="H100" i="50"/>
  <c r="H101" i="50" s="1"/>
  <c r="H100" i="20"/>
  <c r="H101" i="20" s="1"/>
  <c r="G100" i="20"/>
  <c r="G101" i="20" s="1"/>
  <c r="G100" i="24"/>
  <c r="G101" i="24" s="1"/>
  <c r="H100" i="24"/>
  <c r="H101" i="24" s="1"/>
  <c r="G100" i="17"/>
  <c r="G101" i="17" s="1"/>
  <c r="H100" i="17"/>
  <c r="H101" i="17" s="1"/>
  <c r="H100" i="22"/>
  <c r="H101" i="22" s="1"/>
  <c r="G100" i="22"/>
  <c r="G101" i="22" s="1"/>
  <c r="C29" i="46"/>
  <c r="B17" i="46"/>
  <c r="F17" i="46" s="1"/>
  <c r="B19" i="46"/>
  <c r="F19" i="46" s="1"/>
  <c r="J10" i="57" s="1"/>
  <c r="B29" i="46"/>
  <c r="C17" i="46"/>
  <c r="G17" i="46" s="1"/>
  <c r="C19" i="46"/>
  <c r="G19" i="46" s="1"/>
  <c r="I101" i="25" l="1"/>
  <c r="D17" i="54"/>
  <c r="J5" i="57"/>
  <c r="H4" i="54"/>
  <c r="I101" i="21"/>
  <c r="I101" i="19"/>
  <c r="I101" i="20"/>
  <c r="I101" i="24"/>
  <c r="I101" i="18"/>
  <c r="I101" i="43"/>
  <c r="I101" i="23"/>
  <c r="I101" i="50"/>
  <c r="I101" i="17"/>
  <c r="I101" i="22"/>
  <c r="I5" i="22"/>
  <c r="H99" i="44"/>
  <c r="G99" i="44"/>
  <c r="B100" i="44"/>
  <c r="H206" i="14"/>
  <c r="G206" i="14"/>
  <c r="B207" i="14"/>
  <c r="D25" i="41"/>
  <c r="D24" i="41"/>
  <c r="E24" i="41"/>
  <c r="E25" i="41"/>
  <c r="I12" i="41" l="1"/>
  <c r="G24" i="41"/>
  <c r="F24" i="41"/>
  <c r="F25" i="41"/>
  <c r="G25" i="41"/>
  <c r="I99" i="44"/>
  <c r="I206" i="14"/>
  <c r="H100" i="44" l="1"/>
  <c r="H101" i="44" s="1"/>
  <c r="G100" i="44"/>
  <c r="G101" i="44" s="1"/>
  <c r="I101" i="44" s="1"/>
  <c r="H207" i="14"/>
  <c r="H208" i="14" s="1"/>
  <c r="G207" i="14"/>
  <c r="G208" i="14" s="1"/>
  <c r="C14" i="46"/>
  <c r="G14" i="46" s="1"/>
  <c r="C26" i="46"/>
  <c r="G26" i="46" s="1"/>
  <c r="B15" i="46"/>
  <c r="B27" i="46"/>
  <c r="F27" i="46" s="1"/>
  <c r="B14" i="46"/>
  <c r="B26" i="46"/>
  <c r="F26" i="46" s="1"/>
  <c r="E20" i="57" s="1"/>
  <c r="C15" i="46"/>
  <c r="C27" i="46"/>
  <c r="G27" i="46" s="1"/>
  <c r="D13" i="54" l="1"/>
  <c r="G15" i="46"/>
  <c r="B18" i="53" s="1"/>
  <c r="B19" i="53" s="1"/>
  <c r="I208" i="14"/>
  <c r="I96" i="12"/>
  <c r="B100" i="15"/>
  <c r="B100" i="12"/>
  <c r="E4" i="57" l="1"/>
  <c r="E7" i="57" s="1"/>
  <c r="E13" i="57" s="1"/>
  <c r="D4" i="54"/>
  <c r="D11" i="54" s="1"/>
  <c r="B99" i="59"/>
  <c r="E99" i="59"/>
  <c r="E100" i="59"/>
  <c r="H100" i="59"/>
  <c r="B100" i="11"/>
  <c r="B100" i="16"/>
  <c r="B100" i="10"/>
  <c r="B100" i="29" s="1"/>
  <c r="I98" i="7" l="1"/>
  <c r="B100" i="7"/>
  <c r="B100" i="59" s="1"/>
  <c r="I75" i="25" l="1"/>
  <c r="I76" i="25"/>
  <c r="I77" i="25"/>
  <c r="I78" i="25"/>
  <c r="I79" i="25"/>
  <c r="I80" i="25"/>
  <c r="I81" i="25"/>
  <c r="I82" i="25"/>
  <c r="I83" i="25"/>
  <c r="I84" i="25"/>
  <c r="I85" i="25"/>
  <c r="I86" i="25"/>
  <c r="I87" i="25"/>
  <c r="I88" i="25"/>
  <c r="I89" i="25"/>
  <c r="I90" i="25"/>
  <c r="I91" i="25"/>
  <c r="I92" i="25"/>
  <c r="I93" i="25"/>
  <c r="I94" i="25"/>
  <c r="I95" i="25"/>
  <c r="I96" i="25"/>
  <c r="I97" i="25"/>
  <c r="I98"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5" i="25"/>
  <c r="I6" i="25"/>
  <c r="I7" i="25"/>
  <c r="I8" i="25"/>
  <c r="I9" i="25"/>
  <c r="I10" i="25"/>
  <c r="I11" i="25"/>
  <c r="I12" i="25"/>
  <c r="I75" i="43"/>
  <c r="I76" i="43"/>
  <c r="I77" i="43"/>
  <c r="I78" i="43"/>
  <c r="I79" i="43"/>
  <c r="I80" i="43"/>
  <c r="I81" i="43"/>
  <c r="I82" i="43"/>
  <c r="I83" i="43"/>
  <c r="I84" i="43"/>
  <c r="I85" i="43"/>
  <c r="I86" i="43"/>
  <c r="I87" i="43"/>
  <c r="I88" i="43"/>
  <c r="I89" i="43"/>
  <c r="I90" i="43"/>
  <c r="I91" i="43"/>
  <c r="I92" i="43"/>
  <c r="I93" i="43"/>
  <c r="I94" i="43"/>
  <c r="I95" i="43"/>
  <c r="I96" i="43"/>
  <c r="I97" i="43"/>
  <c r="I98" i="43"/>
  <c r="I40" i="43"/>
  <c r="I41" i="43"/>
  <c r="I42" i="43"/>
  <c r="I43" i="43"/>
  <c r="I44" i="43"/>
  <c r="I45" i="43"/>
  <c r="I46" i="43"/>
  <c r="I47" i="43"/>
  <c r="I48" i="43"/>
  <c r="I49" i="43"/>
  <c r="I50" i="43"/>
  <c r="I51" i="43"/>
  <c r="I52" i="43"/>
  <c r="I53" i="43"/>
  <c r="I54" i="43"/>
  <c r="I55" i="43"/>
  <c r="I56" i="43"/>
  <c r="I57" i="43"/>
  <c r="I58" i="43"/>
  <c r="I59" i="43"/>
  <c r="I60" i="43"/>
  <c r="I61" i="43"/>
  <c r="I62" i="43"/>
  <c r="I63" i="43"/>
  <c r="I64" i="43"/>
  <c r="I65" i="43"/>
  <c r="I66" i="43"/>
  <c r="I67" i="43"/>
  <c r="I68" i="43"/>
  <c r="I69" i="43"/>
  <c r="I70" i="43"/>
  <c r="I71" i="43"/>
  <c r="I72" i="43"/>
  <c r="I73" i="43"/>
  <c r="I74" i="43"/>
  <c r="I75" i="23"/>
  <c r="I76" i="23"/>
  <c r="I77" i="23"/>
  <c r="I78" i="23"/>
  <c r="I79" i="23"/>
  <c r="I80" i="23"/>
  <c r="I81" i="23"/>
  <c r="I82" i="23"/>
  <c r="I83" i="23"/>
  <c r="I84" i="23"/>
  <c r="I85" i="23"/>
  <c r="I86" i="23"/>
  <c r="I87" i="23"/>
  <c r="I88" i="23"/>
  <c r="I89" i="23"/>
  <c r="I90" i="23"/>
  <c r="I91" i="23"/>
  <c r="I92" i="23"/>
  <c r="I93" i="23"/>
  <c r="I94" i="23"/>
  <c r="I95" i="23"/>
  <c r="I96" i="23"/>
  <c r="I97" i="23"/>
  <c r="I98"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1"/>
  <c r="I76" i="21"/>
  <c r="I77" i="21"/>
  <c r="I78" i="21"/>
  <c r="I79" i="21"/>
  <c r="I80" i="21"/>
  <c r="I81" i="21"/>
  <c r="I82" i="21"/>
  <c r="I83" i="21"/>
  <c r="I84" i="21"/>
  <c r="I85" i="21"/>
  <c r="I86" i="21"/>
  <c r="I87" i="21"/>
  <c r="I88" i="21"/>
  <c r="I89" i="21"/>
  <c r="I90" i="21"/>
  <c r="I91" i="21"/>
  <c r="I92" i="21"/>
  <c r="I93" i="21"/>
  <c r="I94" i="21"/>
  <c r="I95" i="21"/>
  <c r="I96" i="21"/>
  <c r="I97" i="21"/>
  <c r="I98"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19"/>
  <c r="I76" i="19"/>
  <c r="I77" i="19"/>
  <c r="I78" i="19"/>
  <c r="I79" i="19"/>
  <c r="I80" i="19"/>
  <c r="I81" i="19"/>
  <c r="I82" i="19"/>
  <c r="I83" i="19"/>
  <c r="I84" i="19"/>
  <c r="I85" i="19"/>
  <c r="I86" i="19"/>
  <c r="I87" i="19"/>
  <c r="I88" i="19"/>
  <c r="I89" i="19"/>
  <c r="I90" i="19"/>
  <c r="I91" i="19"/>
  <c r="I92" i="19"/>
  <c r="I93" i="19"/>
  <c r="I94" i="19"/>
  <c r="I95" i="19"/>
  <c r="I96" i="19"/>
  <c r="I97" i="19"/>
  <c r="I98" i="19"/>
  <c r="I40" i="19"/>
  <c r="I41" i="19"/>
  <c r="I42" i="19"/>
  <c r="I43" i="19"/>
  <c r="I44" i="19"/>
  <c r="I45" i="19"/>
  <c r="I46" i="19"/>
  <c r="I47" i="19"/>
  <c r="I48" i="19"/>
  <c r="I49" i="19"/>
  <c r="I50" i="19"/>
  <c r="I51" i="19"/>
  <c r="I52" i="19"/>
  <c r="I53" i="19"/>
  <c r="I54" i="19"/>
  <c r="I55" i="19"/>
  <c r="I56" i="19"/>
  <c r="I57" i="19"/>
  <c r="I58" i="19"/>
  <c r="I59" i="19"/>
  <c r="I60" i="19"/>
  <c r="I61" i="19"/>
  <c r="I62" i="19"/>
  <c r="I63" i="19"/>
  <c r="I64" i="19"/>
  <c r="I65" i="19"/>
  <c r="I66" i="19"/>
  <c r="I67" i="19"/>
  <c r="I68" i="19"/>
  <c r="I69" i="19"/>
  <c r="I70" i="19"/>
  <c r="I71" i="19"/>
  <c r="I72" i="19"/>
  <c r="I73" i="19"/>
  <c r="I74" i="19"/>
  <c r="I75" i="18"/>
  <c r="I76" i="18"/>
  <c r="I77" i="18"/>
  <c r="I78" i="18"/>
  <c r="I79" i="18"/>
  <c r="I80" i="18"/>
  <c r="I81" i="18"/>
  <c r="I82" i="18"/>
  <c r="I83" i="18"/>
  <c r="I84" i="18"/>
  <c r="I85" i="18"/>
  <c r="I86" i="18"/>
  <c r="I87" i="18"/>
  <c r="I88" i="18"/>
  <c r="I89" i="18"/>
  <c r="I90" i="18"/>
  <c r="I91" i="18"/>
  <c r="I92" i="18"/>
  <c r="I93" i="18"/>
  <c r="I94" i="18"/>
  <c r="I95" i="18"/>
  <c r="I96" i="18"/>
  <c r="I97" i="18"/>
  <c r="I98" i="18"/>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74" i="18"/>
  <c r="I4" i="18"/>
  <c r="I5" i="18" s="1"/>
  <c r="I6" i="18"/>
  <c r="I7" i="18" s="1"/>
  <c r="I75" i="50"/>
  <c r="I76" i="50"/>
  <c r="I77" i="50"/>
  <c r="I78" i="50"/>
  <c r="I79" i="50"/>
  <c r="I80" i="50"/>
  <c r="I81" i="50"/>
  <c r="I82" i="50"/>
  <c r="I83" i="50"/>
  <c r="I84" i="50"/>
  <c r="I85" i="50"/>
  <c r="I86" i="50"/>
  <c r="I87" i="50"/>
  <c r="I88" i="50"/>
  <c r="I89" i="50"/>
  <c r="I90" i="50"/>
  <c r="I91" i="50"/>
  <c r="I92" i="50"/>
  <c r="I93" i="50"/>
  <c r="I94" i="50"/>
  <c r="I95" i="50"/>
  <c r="I96" i="50"/>
  <c r="I97" i="50"/>
  <c r="I98"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20"/>
  <c r="I76" i="20"/>
  <c r="I77" i="20"/>
  <c r="I78" i="20"/>
  <c r="I79" i="20"/>
  <c r="I80" i="20"/>
  <c r="I81" i="20"/>
  <c r="I82" i="20"/>
  <c r="I83" i="20"/>
  <c r="I84" i="20"/>
  <c r="I85" i="20"/>
  <c r="I86" i="20"/>
  <c r="I87" i="20"/>
  <c r="I88" i="20"/>
  <c r="I89" i="20"/>
  <c r="I90" i="20"/>
  <c r="I91" i="20"/>
  <c r="I92" i="20"/>
  <c r="I93" i="20"/>
  <c r="I94" i="20"/>
  <c r="I95" i="20"/>
  <c r="I96" i="20"/>
  <c r="I97" i="20"/>
  <c r="I98"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4" i="24"/>
  <c r="I75" i="24"/>
  <c r="I76" i="24"/>
  <c r="I77" i="24"/>
  <c r="I78" i="24"/>
  <c r="I79" i="24"/>
  <c r="I80" i="24"/>
  <c r="I81" i="24"/>
  <c r="I82" i="24"/>
  <c r="I83" i="24"/>
  <c r="I84" i="24"/>
  <c r="I85" i="24"/>
  <c r="I86" i="24"/>
  <c r="I87" i="24"/>
  <c r="I88" i="24"/>
  <c r="I89" i="24"/>
  <c r="I90" i="24"/>
  <c r="I91" i="24"/>
  <c r="I92" i="24"/>
  <c r="I93" i="24"/>
  <c r="I94" i="24"/>
  <c r="I95" i="24"/>
  <c r="I96" i="24"/>
  <c r="I97" i="24"/>
  <c r="I98" i="24"/>
  <c r="I39" i="24"/>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74" i="17" l="1"/>
  <c r="I75" i="17"/>
  <c r="I76" i="17"/>
  <c r="I77" i="17"/>
  <c r="I78" i="17"/>
  <c r="I79" i="17"/>
  <c r="I80" i="17"/>
  <c r="I81" i="17"/>
  <c r="I82" i="17"/>
  <c r="I83" i="17"/>
  <c r="I84" i="17"/>
  <c r="I85" i="17"/>
  <c r="I86" i="17"/>
  <c r="I87" i="17"/>
  <c r="I88" i="17"/>
  <c r="I89" i="17"/>
  <c r="I90" i="17"/>
  <c r="I91" i="17"/>
  <c r="I92" i="17"/>
  <c r="I93" i="17"/>
  <c r="I94" i="17"/>
  <c r="I95" i="17"/>
  <c r="I96" i="17"/>
  <c r="I97" i="17"/>
  <c r="I98"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5" i="22"/>
  <c r="I76" i="22"/>
  <c r="I77" i="22"/>
  <c r="I78" i="22"/>
  <c r="I79" i="22"/>
  <c r="I80" i="22"/>
  <c r="I81" i="22"/>
  <c r="I82" i="22"/>
  <c r="I83" i="22"/>
  <c r="I84" i="22"/>
  <c r="I85" i="22"/>
  <c r="I86" i="22"/>
  <c r="I87" i="22"/>
  <c r="I88" i="22"/>
  <c r="I89" i="22"/>
  <c r="I90" i="22"/>
  <c r="I91" i="22"/>
  <c r="I92" i="22"/>
  <c r="I93" i="22"/>
  <c r="I94" i="22"/>
  <c r="I95" i="22"/>
  <c r="I96" i="22"/>
  <c r="I97" i="22"/>
  <c r="I98"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4" i="45"/>
  <c r="I75" i="45"/>
  <c r="I76" i="45"/>
  <c r="I77" i="45"/>
  <c r="I78" i="45"/>
  <c r="I79" i="45"/>
  <c r="I80" i="45"/>
  <c r="I81" i="45"/>
  <c r="I82" i="45"/>
  <c r="I83" i="45"/>
  <c r="I84" i="45"/>
  <c r="I85" i="45"/>
  <c r="I86" i="45"/>
  <c r="I87" i="45"/>
  <c r="I88" i="45"/>
  <c r="I89" i="45"/>
  <c r="I90" i="45"/>
  <c r="I91" i="45"/>
  <c r="I92" i="45"/>
  <c r="I93" i="45"/>
  <c r="I94" i="45"/>
  <c r="I95" i="45"/>
  <c r="I96" i="45"/>
  <c r="I97" i="45"/>
  <c r="I98" i="45"/>
  <c r="I73" i="45"/>
  <c r="I38" i="45"/>
  <c r="I39" i="45"/>
  <c r="I40" i="45"/>
  <c r="I41" i="45"/>
  <c r="I42" i="45"/>
  <c r="I43" i="45"/>
  <c r="I44" i="45"/>
  <c r="I45" i="45"/>
  <c r="I46" i="45"/>
  <c r="I47" i="45"/>
  <c r="I48" i="45"/>
  <c r="I49" i="45"/>
  <c r="I50" i="45"/>
  <c r="I51" i="45"/>
  <c r="I52" i="45"/>
  <c r="I53" i="45"/>
  <c r="I54" i="45"/>
  <c r="I55" i="45"/>
  <c r="I56" i="45"/>
  <c r="I57" i="45"/>
  <c r="I58" i="45"/>
  <c r="I59" i="45"/>
  <c r="I60" i="45"/>
  <c r="I61" i="45"/>
  <c r="I62" i="45"/>
  <c r="I63" i="45"/>
  <c r="I64" i="45"/>
  <c r="I65" i="45"/>
  <c r="I66" i="45"/>
  <c r="I67" i="45"/>
  <c r="I68" i="45"/>
  <c r="I69" i="45"/>
  <c r="I70" i="45"/>
  <c r="I71" i="45"/>
  <c r="I72" i="45"/>
  <c r="I7" i="45"/>
  <c r="I8" i="45"/>
  <c r="I9" i="45"/>
  <c r="I10" i="45"/>
  <c r="I11" i="45"/>
  <c r="I12" i="45"/>
  <c r="I13" i="45"/>
  <c r="I14" i="45"/>
  <c r="I74" i="44"/>
  <c r="I75" i="44"/>
  <c r="I76" i="44"/>
  <c r="I77" i="44"/>
  <c r="I78" i="44"/>
  <c r="I79" i="44"/>
  <c r="I80" i="44"/>
  <c r="I81" i="44"/>
  <c r="I82" i="44"/>
  <c r="I83" i="44"/>
  <c r="I84" i="44"/>
  <c r="I85" i="44"/>
  <c r="I86" i="44"/>
  <c r="I87" i="44"/>
  <c r="I88" i="44"/>
  <c r="I89" i="44"/>
  <c r="I90" i="44"/>
  <c r="I91" i="44"/>
  <c r="I92" i="44"/>
  <c r="I93" i="44"/>
  <c r="I94" i="44"/>
  <c r="I95" i="44"/>
  <c r="I96" i="44"/>
  <c r="I97" i="44"/>
  <c r="I98" i="44"/>
  <c r="I37" i="44"/>
  <c r="I38" i="44"/>
  <c r="I39" i="44"/>
  <c r="I40" i="44"/>
  <c r="I41" i="44"/>
  <c r="I42" i="44"/>
  <c r="I43" i="44"/>
  <c r="I44" i="44"/>
  <c r="I45" i="44"/>
  <c r="I46" i="44"/>
  <c r="I47" i="44"/>
  <c r="I48" i="44"/>
  <c r="I49" i="44"/>
  <c r="I50" i="44"/>
  <c r="I51" i="44"/>
  <c r="I52" i="44"/>
  <c r="I53" i="44"/>
  <c r="I54" i="44"/>
  <c r="I55" i="44"/>
  <c r="I56" i="44"/>
  <c r="I57" i="44"/>
  <c r="I58" i="44"/>
  <c r="I59" i="44"/>
  <c r="I60" i="44"/>
  <c r="I61" i="44"/>
  <c r="I62" i="44"/>
  <c r="I63" i="44"/>
  <c r="I64" i="44"/>
  <c r="I65" i="44"/>
  <c r="I66" i="44"/>
  <c r="I67" i="44"/>
  <c r="I68" i="44"/>
  <c r="I69" i="44"/>
  <c r="I70" i="44"/>
  <c r="I71" i="44"/>
  <c r="I72" i="44"/>
  <c r="I73" i="44"/>
  <c r="I4" i="14" l="1"/>
  <c r="I5" i="14" s="1"/>
  <c r="I6" i="14" s="1"/>
  <c r="I79" i="15"/>
  <c r="I80" i="15"/>
  <c r="I81" i="15"/>
  <c r="I82" i="15"/>
  <c r="I83" i="15"/>
  <c r="I84" i="15"/>
  <c r="I85" i="15"/>
  <c r="I86" i="15"/>
  <c r="I87" i="15"/>
  <c r="I88" i="15"/>
  <c r="I89" i="15"/>
  <c r="I90" i="15"/>
  <c r="I91" i="15"/>
  <c r="I92" i="15"/>
  <c r="I93" i="15"/>
  <c r="I94" i="15"/>
  <c r="I95" i="15"/>
  <c r="I96" i="15"/>
  <c r="I97" i="15"/>
  <c r="I98" i="15"/>
  <c r="I73" i="12"/>
  <c r="I74" i="12"/>
  <c r="I75" i="12"/>
  <c r="I76" i="12"/>
  <c r="I77" i="12"/>
  <c r="I78" i="12"/>
  <c r="I79" i="12"/>
  <c r="I80" i="12"/>
  <c r="I81" i="12"/>
  <c r="I82" i="12"/>
  <c r="I83" i="12"/>
  <c r="I84" i="12"/>
  <c r="I85" i="12"/>
  <c r="I86" i="12"/>
  <c r="I87" i="12"/>
  <c r="I88" i="12"/>
  <c r="I89" i="12"/>
  <c r="I90" i="12"/>
  <c r="I91" i="12"/>
  <c r="I92" i="12"/>
  <c r="I93" i="12"/>
  <c r="I94" i="12"/>
  <c r="I95" i="12"/>
  <c r="I97" i="12"/>
  <c r="I98" i="12"/>
  <c r="I56" i="12"/>
  <c r="I57" i="12"/>
  <c r="I58" i="12"/>
  <c r="I59" i="12"/>
  <c r="I60" i="12"/>
  <c r="I61" i="12"/>
  <c r="I62" i="12"/>
  <c r="I63" i="12"/>
  <c r="I64" i="12"/>
  <c r="I65" i="12"/>
  <c r="I66" i="12"/>
  <c r="I67" i="12"/>
  <c r="I68" i="12"/>
  <c r="I69" i="12"/>
  <c r="I70" i="12"/>
  <c r="I71" i="12"/>
  <c r="I72" i="12"/>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39" i="11"/>
  <c r="I40" i="11"/>
  <c r="I41" i="11"/>
  <c r="I42" i="11"/>
  <c r="I43" i="11"/>
  <c r="I44" i="11"/>
  <c r="I45" i="11"/>
  <c r="I46" i="11"/>
  <c r="I47" i="11"/>
  <c r="I48" i="11"/>
  <c r="I74" i="16" l="1"/>
  <c r="I75" i="16"/>
  <c r="I76" i="16"/>
  <c r="I77" i="16"/>
  <c r="I78" i="16"/>
  <c r="I79" i="16"/>
  <c r="I80" i="16"/>
  <c r="I81" i="16"/>
  <c r="I82" i="16"/>
  <c r="I83" i="16"/>
  <c r="I84" i="16"/>
  <c r="I85" i="16"/>
  <c r="I86" i="16"/>
  <c r="I87" i="16"/>
  <c r="I88" i="16"/>
  <c r="I89" i="16"/>
  <c r="I90" i="16"/>
  <c r="I91" i="16"/>
  <c r="I92" i="16"/>
  <c r="I93" i="16"/>
  <c r="I94" i="16"/>
  <c r="I95" i="16"/>
  <c r="I96" i="16"/>
  <c r="I97" i="16"/>
  <c r="I98"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A99" i="29" l="1"/>
  <c r="B99" i="29"/>
  <c r="E99" i="29"/>
  <c r="A100" i="29"/>
  <c r="E100" i="29"/>
  <c r="H100" i="29"/>
  <c r="B4" i="29"/>
  <c r="A11" i="59"/>
  <c r="B11" i="59"/>
  <c r="C11" i="59"/>
  <c r="D11" i="59"/>
  <c r="E11" i="59"/>
  <c r="F11" i="59"/>
  <c r="G11" i="59"/>
  <c r="A12" i="59"/>
  <c r="B12" i="59"/>
  <c r="C12" i="59"/>
  <c r="D12" i="59"/>
  <c r="E12" i="59"/>
  <c r="F12" i="59"/>
  <c r="G12" i="59"/>
  <c r="A13" i="59"/>
  <c r="B13" i="59"/>
  <c r="C13" i="59"/>
  <c r="D13" i="59"/>
  <c r="E13" i="59"/>
  <c r="F13" i="59"/>
  <c r="G13" i="59"/>
  <c r="A14" i="59"/>
  <c r="B14" i="59"/>
  <c r="C14" i="59"/>
  <c r="D14" i="59"/>
  <c r="E14" i="59"/>
  <c r="F14" i="59"/>
  <c r="G14" i="59"/>
  <c r="A15" i="59"/>
  <c r="B15" i="59"/>
  <c r="C15" i="59"/>
  <c r="D15" i="59"/>
  <c r="E15" i="59"/>
  <c r="F15" i="59"/>
  <c r="G15" i="59"/>
  <c r="A16" i="59"/>
  <c r="B16" i="59"/>
  <c r="C16" i="59"/>
  <c r="D16" i="59"/>
  <c r="E16" i="59"/>
  <c r="F16" i="59"/>
  <c r="G16" i="59"/>
  <c r="A17" i="59"/>
  <c r="B17" i="59"/>
  <c r="C17" i="59"/>
  <c r="D17" i="59"/>
  <c r="E17" i="59"/>
  <c r="F17" i="59"/>
  <c r="G17" i="59"/>
  <c r="A18" i="59"/>
  <c r="B18" i="59"/>
  <c r="C18" i="59"/>
  <c r="D18" i="59"/>
  <c r="E18" i="59"/>
  <c r="F18" i="59"/>
  <c r="G18" i="59"/>
  <c r="A19" i="59"/>
  <c r="B19" i="59"/>
  <c r="C19" i="59"/>
  <c r="D19" i="59"/>
  <c r="E19" i="59"/>
  <c r="F19" i="59"/>
  <c r="G19" i="59"/>
  <c r="A20" i="59"/>
  <c r="B20" i="59"/>
  <c r="C20" i="59"/>
  <c r="D20" i="59"/>
  <c r="E20" i="59"/>
  <c r="F20" i="59"/>
  <c r="G20" i="59"/>
  <c r="A21" i="59"/>
  <c r="B21" i="59"/>
  <c r="C21" i="59"/>
  <c r="D21" i="59"/>
  <c r="E21" i="59"/>
  <c r="F21" i="59"/>
  <c r="G21" i="59"/>
  <c r="A22" i="59"/>
  <c r="B22" i="59"/>
  <c r="C22" i="59"/>
  <c r="D22" i="59"/>
  <c r="E22" i="59"/>
  <c r="F22" i="59"/>
  <c r="G22" i="59"/>
  <c r="A23" i="59"/>
  <c r="B23" i="59"/>
  <c r="C23" i="59"/>
  <c r="D23" i="59"/>
  <c r="E23" i="59"/>
  <c r="F23" i="59"/>
  <c r="G23" i="59"/>
  <c r="A24" i="59"/>
  <c r="B24" i="59"/>
  <c r="C24" i="59"/>
  <c r="D24" i="59"/>
  <c r="E24" i="59"/>
  <c r="F24" i="59"/>
  <c r="G24" i="59"/>
  <c r="A25" i="59"/>
  <c r="B25" i="59"/>
  <c r="C25" i="59"/>
  <c r="D25" i="59"/>
  <c r="E25" i="59"/>
  <c r="F25" i="59"/>
  <c r="G25" i="59"/>
  <c r="A26" i="59"/>
  <c r="B26" i="59"/>
  <c r="C26" i="59"/>
  <c r="D26" i="59"/>
  <c r="E26" i="59"/>
  <c r="F26" i="59"/>
  <c r="G26" i="59"/>
  <c r="A27" i="59"/>
  <c r="B27" i="59"/>
  <c r="C27" i="59"/>
  <c r="D27" i="59"/>
  <c r="E27" i="59"/>
  <c r="F27" i="59"/>
  <c r="G27" i="59"/>
  <c r="A28" i="59"/>
  <c r="B28" i="59"/>
  <c r="C28" i="59"/>
  <c r="D28" i="59"/>
  <c r="E28" i="59"/>
  <c r="F28" i="59"/>
  <c r="G28" i="59"/>
  <c r="A29" i="59"/>
  <c r="B29" i="59"/>
  <c r="C29" i="59"/>
  <c r="D29" i="59"/>
  <c r="E29" i="59"/>
  <c r="F29" i="59"/>
  <c r="G29" i="59"/>
  <c r="A30" i="59"/>
  <c r="B30" i="59"/>
  <c r="C30" i="59"/>
  <c r="D30" i="59"/>
  <c r="E30" i="59"/>
  <c r="F30" i="59"/>
  <c r="G30" i="59"/>
  <c r="A31" i="59"/>
  <c r="B31" i="59"/>
  <c r="C31" i="59"/>
  <c r="D31" i="59"/>
  <c r="E31" i="59"/>
  <c r="F31" i="59"/>
  <c r="G31" i="59"/>
  <c r="A32" i="59"/>
  <c r="B32" i="59"/>
  <c r="C32" i="59"/>
  <c r="D32" i="59"/>
  <c r="E32" i="59"/>
  <c r="F32" i="59"/>
  <c r="G32" i="59"/>
  <c r="A33" i="59"/>
  <c r="B33" i="59"/>
  <c r="C33" i="59"/>
  <c r="D33" i="59"/>
  <c r="E33" i="59"/>
  <c r="F33" i="59"/>
  <c r="G33" i="59"/>
  <c r="A34" i="59"/>
  <c r="B34" i="59"/>
  <c r="C34" i="59"/>
  <c r="D34" i="59"/>
  <c r="E34" i="59"/>
  <c r="F34" i="59"/>
  <c r="G34" i="59"/>
  <c r="A35" i="59"/>
  <c r="B35" i="59"/>
  <c r="C35" i="59"/>
  <c r="D35" i="59"/>
  <c r="E35" i="59"/>
  <c r="F35" i="59"/>
  <c r="G35" i="59"/>
  <c r="A36" i="59"/>
  <c r="B36" i="59"/>
  <c r="C36" i="59"/>
  <c r="D36" i="59"/>
  <c r="E36" i="59"/>
  <c r="F36" i="59"/>
  <c r="G36" i="59"/>
  <c r="A37" i="59"/>
  <c r="B37" i="59"/>
  <c r="C37" i="59"/>
  <c r="D37" i="59"/>
  <c r="E37" i="59"/>
  <c r="F37" i="59"/>
  <c r="G37" i="59"/>
  <c r="A38" i="59"/>
  <c r="B38" i="59"/>
  <c r="C38" i="59"/>
  <c r="D38" i="59"/>
  <c r="E38" i="59"/>
  <c r="F38" i="59"/>
  <c r="G38" i="59"/>
  <c r="A39" i="59"/>
  <c r="B39" i="59"/>
  <c r="C39" i="59"/>
  <c r="D39" i="59"/>
  <c r="E39" i="59"/>
  <c r="F39" i="59"/>
  <c r="G39" i="59"/>
  <c r="A40" i="59"/>
  <c r="B40" i="59"/>
  <c r="C40" i="59"/>
  <c r="D40" i="59"/>
  <c r="E40" i="59"/>
  <c r="F40" i="59"/>
  <c r="G40" i="59"/>
  <c r="A41" i="59"/>
  <c r="B41" i="59"/>
  <c r="C41" i="59"/>
  <c r="D41" i="59"/>
  <c r="E41" i="59"/>
  <c r="F41" i="59"/>
  <c r="G41" i="59"/>
  <c r="A42" i="59"/>
  <c r="B42" i="59"/>
  <c r="C42" i="59"/>
  <c r="D42" i="59"/>
  <c r="E42" i="59"/>
  <c r="F42" i="59"/>
  <c r="G42" i="59"/>
  <c r="A43" i="59"/>
  <c r="B43" i="59"/>
  <c r="C43" i="59"/>
  <c r="D43" i="59"/>
  <c r="E43" i="59"/>
  <c r="F43" i="59"/>
  <c r="G43" i="59"/>
  <c r="A44" i="59"/>
  <c r="B44" i="59"/>
  <c r="C44" i="59"/>
  <c r="D44" i="59"/>
  <c r="E44" i="59"/>
  <c r="F44" i="59"/>
  <c r="G44" i="59"/>
  <c r="A45" i="59"/>
  <c r="B45" i="59"/>
  <c r="C45" i="59"/>
  <c r="D45" i="59"/>
  <c r="E45" i="59"/>
  <c r="F45" i="59"/>
  <c r="G45" i="59"/>
  <c r="A46" i="59"/>
  <c r="B46" i="59"/>
  <c r="C46" i="59"/>
  <c r="D46" i="59"/>
  <c r="E46" i="59"/>
  <c r="F46" i="59"/>
  <c r="G46" i="59"/>
  <c r="A47" i="59"/>
  <c r="B47" i="59"/>
  <c r="C47" i="59"/>
  <c r="D47" i="59"/>
  <c r="E47" i="59"/>
  <c r="F47" i="59"/>
  <c r="G47" i="59"/>
  <c r="A48" i="59"/>
  <c r="B48" i="59"/>
  <c r="C48" i="59"/>
  <c r="D48" i="59"/>
  <c r="E48" i="59"/>
  <c r="F48" i="59"/>
  <c r="G48" i="59"/>
  <c r="A49" i="59"/>
  <c r="B49" i="59"/>
  <c r="C49" i="59"/>
  <c r="D49" i="59"/>
  <c r="E49" i="59"/>
  <c r="F49" i="59"/>
  <c r="G49" i="59"/>
  <c r="A50" i="59"/>
  <c r="B50" i="59"/>
  <c r="C50" i="59"/>
  <c r="D50" i="59"/>
  <c r="E50" i="59"/>
  <c r="F50" i="59"/>
  <c r="G50" i="59"/>
  <c r="A51" i="59"/>
  <c r="B51" i="59"/>
  <c r="C51" i="59"/>
  <c r="D51" i="59"/>
  <c r="E51" i="59"/>
  <c r="F51" i="59"/>
  <c r="G51" i="59"/>
  <c r="A52" i="59"/>
  <c r="B52" i="59"/>
  <c r="C52" i="59"/>
  <c r="D52" i="59"/>
  <c r="E52" i="59"/>
  <c r="F52" i="59"/>
  <c r="G52" i="59"/>
  <c r="A53" i="59"/>
  <c r="B53" i="59"/>
  <c r="C53" i="59"/>
  <c r="D53" i="59"/>
  <c r="E53" i="59"/>
  <c r="F53" i="59"/>
  <c r="G53" i="59"/>
  <c r="A54" i="59"/>
  <c r="B54" i="59"/>
  <c r="C54" i="59"/>
  <c r="D54" i="59"/>
  <c r="E54" i="59"/>
  <c r="F54" i="59"/>
  <c r="G54" i="59"/>
  <c r="A55" i="59"/>
  <c r="B55" i="59"/>
  <c r="C55" i="59"/>
  <c r="D55" i="59"/>
  <c r="E55" i="59"/>
  <c r="F55" i="59"/>
  <c r="G55" i="59"/>
  <c r="A56" i="59"/>
  <c r="B56" i="59"/>
  <c r="C56" i="59"/>
  <c r="D56" i="59"/>
  <c r="E56" i="59"/>
  <c r="F56" i="59"/>
  <c r="G56" i="59"/>
  <c r="A57" i="59"/>
  <c r="B57" i="59"/>
  <c r="C57" i="59"/>
  <c r="D57" i="59"/>
  <c r="E57" i="59"/>
  <c r="F57" i="59"/>
  <c r="G57" i="59"/>
  <c r="A58" i="59"/>
  <c r="B58" i="59"/>
  <c r="C58" i="59"/>
  <c r="D58" i="59"/>
  <c r="E58" i="59"/>
  <c r="F58" i="59"/>
  <c r="G58" i="59"/>
  <c r="A59" i="59"/>
  <c r="B59" i="59"/>
  <c r="C59" i="59"/>
  <c r="D59" i="59"/>
  <c r="E59" i="59"/>
  <c r="F59" i="59"/>
  <c r="G59" i="59"/>
  <c r="A60" i="59"/>
  <c r="B60" i="59"/>
  <c r="C60" i="59"/>
  <c r="D60" i="59"/>
  <c r="E60" i="59"/>
  <c r="F60" i="59"/>
  <c r="G60" i="59"/>
  <c r="A61" i="59"/>
  <c r="B61" i="59"/>
  <c r="C61" i="59"/>
  <c r="D61" i="59"/>
  <c r="E61" i="59"/>
  <c r="F61" i="59"/>
  <c r="G61" i="59"/>
  <c r="A62" i="59"/>
  <c r="B62" i="59"/>
  <c r="C62" i="59"/>
  <c r="D62" i="59"/>
  <c r="E62" i="59"/>
  <c r="F62" i="59"/>
  <c r="G62" i="59"/>
  <c r="A63" i="59"/>
  <c r="B63" i="59"/>
  <c r="C63" i="59"/>
  <c r="D63" i="59"/>
  <c r="E63" i="59"/>
  <c r="F63" i="59"/>
  <c r="G63" i="59"/>
  <c r="A64" i="59"/>
  <c r="B64" i="59"/>
  <c r="C64" i="59"/>
  <c r="D64" i="59"/>
  <c r="E64" i="59"/>
  <c r="F64" i="59"/>
  <c r="G64" i="59"/>
  <c r="A65" i="59"/>
  <c r="B65" i="59"/>
  <c r="C65" i="59"/>
  <c r="D65" i="59"/>
  <c r="E65" i="59"/>
  <c r="F65" i="59"/>
  <c r="G65" i="59"/>
  <c r="A66" i="59"/>
  <c r="B66" i="59"/>
  <c r="C66" i="59"/>
  <c r="D66" i="59"/>
  <c r="E66" i="59"/>
  <c r="F66" i="59"/>
  <c r="G66" i="59"/>
  <c r="A67" i="59"/>
  <c r="B67" i="59"/>
  <c r="C67" i="59"/>
  <c r="D67" i="59"/>
  <c r="E67" i="59"/>
  <c r="F67" i="59"/>
  <c r="G67" i="59"/>
  <c r="A68" i="59"/>
  <c r="B68" i="59"/>
  <c r="C68" i="59"/>
  <c r="D68" i="59"/>
  <c r="E68" i="59"/>
  <c r="F68" i="59"/>
  <c r="G68" i="59"/>
  <c r="A69" i="59"/>
  <c r="B69" i="59"/>
  <c r="C69" i="59"/>
  <c r="D69" i="59"/>
  <c r="E69" i="59"/>
  <c r="F69" i="59"/>
  <c r="G69" i="59"/>
  <c r="A70" i="59"/>
  <c r="B70" i="59"/>
  <c r="C70" i="59"/>
  <c r="D70" i="59"/>
  <c r="E70" i="59"/>
  <c r="F70" i="59"/>
  <c r="G70" i="59"/>
  <c r="A71" i="59"/>
  <c r="B71" i="59"/>
  <c r="C71" i="59"/>
  <c r="D71" i="59"/>
  <c r="E71" i="59"/>
  <c r="F71" i="59"/>
  <c r="G71" i="59"/>
  <c r="A72" i="59"/>
  <c r="B72" i="59"/>
  <c r="C72" i="59"/>
  <c r="D72" i="59"/>
  <c r="E72" i="59"/>
  <c r="F72" i="59"/>
  <c r="G72" i="59"/>
  <c r="A73" i="59"/>
  <c r="B73" i="59"/>
  <c r="C73" i="59"/>
  <c r="D73" i="59"/>
  <c r="E73" i="59"/>
  <c r="F73" i="59"/>
  <c r="G73" i="59"/>
  <c r="A74" i="59"/>
  <c r="B74" i="59"/>
  <c r="C74" i="59"/>
  <c r="D74" i="59"/>
  <c r="E74" i="59"/>
  <c r="F74" i="59"/>
  <c r="G74" i="59"/>
  <c r="A75" i="59"/>
  <c r="B75" i="59"/>
  <c r="C75" i="59"/>
  <c r="D75" i="59"/>
  <c r="E75" i="59"/>
  <c r="F75" i="59"/>
  <c r="G75" i="59"/>
  <c r="A76" i="59"/>
  <c r="B76" i="59"/>
  <c r="C76" i="59"/>
  <c r="D76" i="59"/>
  <c r="E76" i="59"/>
  <c r="F76" i="59"/>
  <c r="G76" i="59"/>
  <c r="A77" i="59"/>
  <c r="B77" i="59"/>
  <c r="C77" i="59"/>
  <c r="D77" i="59"/>
  <c r="E77" i="59"/>
  <c r="F77" i="59"/>
  <c r="G77" i="59"/>
  <c r="A78" i="59"/>
  <c r="B78" i="59"/>
  <c r="C78" i="59"/>
  <c r="D78" i="59"/>
  <c r="E78" i="59"/>
  <c r="F78" i="59"/>
  <c r="G78" i="59"/>
  <c r="A79" i="59"/>
  <c r="B79" i="59"/>
  <c r="C79" i="59"/>
  <c r="D79" i="59"/>
  <c r="E79" i="59"/>
  <c r="F79" i="59"/>
  <c r="G79" i="59"/>
  <c r="A80" i="59"/>
  <c r="B80" i="59"/>
  <c r="C80" i="59"/>
  <c r="D80" i="59"/>
  <c r="E80" i="59"/>
  <c r="F80" i="59"/>
  <c r="G80" i="59"/>
  <c r="A81" i="59"/>
  <c r="B81" i="59"/>
  <c r="C81" i="59"/>
  <c r="D81" i="59"/>
  <c r="E81" i="59"/>
  <c r="F81" i="59"/>
  <c r="G81" i="59"/>
  <c r="A82" i="59"/>
  <c r="B82" i="59"/>
  <c r="C82" i="59"/>
  <c r="D82" i="59"/>
  <c r="E82" i="59"/>
  <c r="F82" i="59"/>
  <c r="G82" i="59"/>
  <c r="A83" i="59"/>
  <c r="B83" i="59"/>
  <c r="C83" i="59"/>
  <c r="D83" i="59"/>
  <c r="E83" i="59"/>
  <c r="F83" i="59"/>
  <c r="G83" i="59"/>
  <c r="A84" i="59"/>
  <c r="B84" i="59"/>
  <c r="C84" i="59"/>
  <c r="D84" i="59"/>
  <c r="E84" i="59"/>
  <c r="F84" i="59"/>
  <c r="G84" i="59"/>
  <c r="A85" i="59"/>
  <c r="B85" i="59"/>
  <c r="C85" i="59"/>
  <c r="D85" i="59"/>
  <c r="E85" i="59"/>
  <c r="F85" i="59"/>
  <c r="G85" i="59"/>
  <c r="A86" i="59"/>
  <c r="B86" i="59"/>
  <c r="C86" i="59"/>
  <c r="D86" i="59"/>
  <c r="E86" i="59"/>
  <c r="F86" i="59"/>
  <c r="G86" i="59"/>
  <c r="A87" i="59"/>
  <c r="B87" i="59"/>
  <c r="C87" i="59"/>
  <c r="D87" i="59"/>
  <c r="E87" i="59"/>
  <c r="F87" i="59"/>
  <c r="G87" i="59"/>
  <c r="A88" i="59"/>
  <c r="B88" i="59"/>
  <c r="C88" i="59"/>
  <c r="D88" i="59"/>
  <c r="E88" i="59"/>
  <c r="F88" i="59"/>
  <c r="G88" i="59"/>
  <c r="A89" i="59"/>
  <c r="B89" i="59"/>
  <c r="C89" i="59"/>
  <c r="D89" i="59"/>
  <c r="E89" i="59"/>
  <c r="F89" i="59"/>
  <c r="G89" i="59"/>
  <c r="A90" i="59"/>
  <c r="B90" i="59"/>
  <c r="C90" i="59"/>
  <c r="D90" i="59"/>
  <c r="E90" i="59"/>
  <c r="F90" i="59"/>
  <c r="G90" i="59"/>
  <c r="A91" i="59"/>
  <c r="B91" i="59"/>
  <c r="C91" i="59"/>
  <c r="D91" i="59"/>
  <c r="E91" i="59"/>
  <c r="F91" i="59"/>
  <c r="G91" i="59"/>
  <c r="A92" i="59"/>
  <c r="B92" i="59"/>
  <c r="C92" i="59"/>
  <c r="D92" i="59"/>
  <c r="E92" i="59"/>
  <c r="F92" i="59"/>
  <c r="G92" i="59"/>
  <c r="A93" i="59"/>
  <c r="B93" i="59"/>
  <c r="C93" i="59"/>
  <c r="D93" i="59"/>
  <c r="E93" i="59"/>
  <c r="F93" i="59"/>
  <c r="G93" i="59"/>
  <c r="A94" i="59"/>
  <c r="B94" i="59"/>
  <c r="C94" i="59"/>
  <c r="D94" i="59"/>
  <c r="E94" i="59"/>
  <c r="F94" i="59"/>
  <c r="G94" i="59"/>
  <c r="A95" i="59"/>
  <c r="B95" i="59"/>
  <c r="C95" i="59"/>
  <c r="D95" i="59"/>
  <c r="E95" i="59"/>
  <c r="F95" i="59"/>
  <c r="G95" i="59"/>
  <c r="A96" i="59"/>
  <c r="B96" i="59"/>
  <c r="C96" i="59"/>
  <c r="D96" i="59"/>
  <c r="E96" i="59"/>
  <c r="F96" i="59"/>
  <c r="G96" i="59"/>
  <c r="A97" i="59"/>
  <c r="B97" i="59"/>
  <c r="C97" i="59"/>
  <c r="D97" i="59"/>
  <c r="E97" i="59"/>
  <c r="F97" i="59"/>
  <c r="G97" i="59"/>
  <c r="A98" i="59"/>
  <c r="B98" i="59"/>
  <c r="C98" i="59"/>
  <c r="D98" i="59"/>
  <c r="E98" i="59"/>
  <c r="F98" i="59"/>
  <c r="G98" i="59"/>
  <c r="A99" i="59"/>
  <c r="A6" i="59"/>
  <c r="B6" i="59"/>
  <c r="C6" i="59"/>
  <c r="D6" i="59"/>
  <c r="E6" i="59"/>
  <c r="F6" i="59"/>
  <c r="G6" i="59"/>
  <c r="A7" i="59"/>
  <c r="B7" i="59"/>
  <c r="C7" i="59"/>
  <c r="D7" i="59"/>
  <c r="E7" i="59"/>
  <c r="F7" i="59"/>
  <c r="G7" i="59"/>
  <c r="A8" i="59"/>
  <c r="B8" i="59"/>
  <c r="C8" i="59"/>
  <c r="D8" i="59"/>
  <c r="E8" i="59"/>
  <c r="F8" i="59"/>
  <c r="G8" i="59"/>
  <c r="A9" i="59"/>
  <c r="B9" i="59"/>
  <c r="C9" i="59"/>
  <c r="D9" i="59"/>
  <c r="E9" i="59"/>
  <c r="F9" i="59"/>
  <c r="G9" i="59"/>
  <c r="A10" i="59"/>
  <c r="B10" i="59"/>
  <c r="C10" i="59"/>
  <c r="D10" i="59"/>
  <c r="E10" i="59"/>
  <c r="F10" i="59"/>
  <c r="G10" i="59"/>
  <c r="G5" i="59"/>
  <c r="F5" i="59"/>
  <c r="E5" i="59"/>
  <c r="D5" i="59"/>
  <c r="C5" i="59"/>
  <c r="B5" i="59"/>
  <c r="A5" i="59"/>
  <c r="E4" i="59"/>
  <c r="B4" i="59"/>
  <c r="I74" i="7" l="1"/>
  <c r="H74" i="59" s="1"/>
  <c r="I75" i="7"/>
  <c r="H75" i="59" s="1"/>
  <c r="I76" i="7"/>
  <c r="H76" i="59" s="1"/>
  <c r="I77" i="7"/>
  <c r="H77" i="59" s="1"/>
  <c r="I78" i="7"/>
  <c r="H78" i="59" s="1"/>
  <c r="I79" i="7"/>
  <c r="H79" i="59" s="1"/>
  <c r="I80" i="7"/>
  <c r="H80" i="59" s="1"/>
  <c r="I81" i="7"/>
  <c r="H81" i="59" s="1"/>
  <c r="I82" i="7"/>
  <c r="H82" i="59" s="1"/>
  <c r="I83" i="7"/>
  <c r="H83" i="59" s="1"/>
  <c r="I84" i="7"/>
  <c r="H84" i="59" s="1"/>
  <c r="I85" i="7"/>
  <c r="H85" i="59" s="1"/>
  <c r="I86" i="7"/>
  <c r="H86" i="59" s="1"/>
  <c r="I87" i="7"/>
  <c r="H87" i="59" s="1"/>
  <c r="I88" i="7"/>
  <c r="H88" i="59" s="1"/>
  <c r="I89" i="7"/>
  <c r="H89" i="59" s="1"/>
  <c r="I90" i="7"/>
  <c r="H90" i="59" s="1"/>
  <c r="I91" i="7"/>
  <c r="H91" i="59" s="1"/>
  <c r="I92" i="7"/>
  <c r="H92" i="59" s="1"/>
  <c r="I93" i="7"/>
  <c r="H93" i="59" s="1"/>
  <c r="I94" i="7"/>
  <c r="H94" i="59" s="1"/>
  <c r="I95" i="7"/>
  <c r="H95" i="59" s="1"/>
  <c r="I96" i="7"/>
  <c r="H96" i="59" s="1"/>
  <c r="I97" i="7"/>
  <c r="H97" i="59" s="1"/>
  <c r="H98" i="59"/>
  <c r="I39" i="7"/>
  <c r="H39" i="59" s="1"/>
  <c r="I40" i="7"/>
  <c r="H40" i="59" s="1"/>
  <c r="I41" i="7"/>
  <c r="H41" i="59" s="1"/>
  <c r="I42" i="7"/>
  <c r="H42" i="59" s="1"/>
  <c r="I43" i="7"/>
  <c r="H43" i="59" s="1"/>
  <c r="I44" i="7"/>
  <c r="H44" i="59" s="1"/>
  <c r="I45" i="7"/>
  <c r="H45" i="59" s="1"/>
  <c r="I46" i="7"/>
  <c r="H46" i="59" s="1"/>
  <c r="I47" i="7"/>
  <c r="H47" i="59" s="1"/>
  <c r="I48" i="7"/>
  <c r="H48" i="59" s="1"/>
  <c r="I49" i="7"/>
  <c r="H49" i="59" s="1"/>
  <c r="I50" i="7"/>
  <c r="H50" i="59" s="1"/>
  <c r="I51" i="7"/>
  <c r="H51" i="59" s="1"/>
  <c r="I52" i="7"/>
  <c r="H52" i="59" s="1"/>
  <c r="I53" i="7"/>
  <c r="H53" i="59" s="1"/>
  <c r="I54" i="7"/>
  <c r="H54" i="59" s="1"/>
  <c r="I55" i="7"/>
  <c r="H55" i="59" s="1"/>
  <c r="I56" i="7"/>
  <c r="H56" i="59" s="1"/>
  <c r="I57" i="7"/>
  <c r="H57" i="59" s="1"/>
  <c r="I58" i="7"/>
  <c r="H58" i="59" s="1"/>
  <c r="I59" i="7"/>
  <c r="H59" i="59" s="1"/>
  <c r="I60" i="7"/>
  <c r="H60" i="59" s="1"/>
  <c r="I61" i="7"/>
  <c r="H61" i="59" s="1"/>
  <c r="I62" i="7"/>
  <c r="H62" i="59" s="1"/>
  <c r="I63" i="7"/>
  <c r="H63" i="59" s="1"/>
  <c r="I64" i="7"/>
  <c r="H64" i="59" s="1"/>
  <c r="I65" i="7"/>
  <c r="H65" i="59" s="1"/>
  <c r="I66" i="7"/>
  <c r="H66" i="59" s="1"/>
  <c r="I67" i="7"/>
  <c r="H67" i="59" s="1"/>
  <c r="I68" i="7"/>
  <c r="H68" i="59" s="1"/>
  <c r="I69" i="7"/>
  <c r="H69" i="59" s="1"/>
  <c r="I70" i="7"/>
  <c r="H70" i="59" s="1"/>
  <c r="I71" i="7"/>
  <c r="H71" i="59" s="1"/>
  <c r="I72" i="7"/>
  <c r="H72" i="59" s="1"/>
  <c r="I73" i="7"/>
  <c r="H73" i="59" s="1"/>
  <c r="I71" i="10"/>
  <c r="H71" i="29" s="1"/>
  <c r="I72" i="10"/>
  <c r="H72" i="29" s="1"/>
  <c r="I73" i="10"/>
  <c r="H73" i="29" s="1"/>
  <c r="I74" i="10"/>
  <c r="H74" i="29" s="1"/>
  <c r="I75" i="10"/>
  <c r="H75" i="29" s="1"/>
  <c r="I76" i="10"/>
  <c r="H76" i="29" s="1"/>
  <c r="I77" i="10"/>
  <c r="H77" i="29" s="1"/>
  <c r="I78" i="10"/>
  <c r="H78" i="29" s="1"/>
  <c r="I79" i="10"/>
  <c r="H79" i="29" s="1"/>
  <c r="I80" i="10"/>
  <c r="H80" i="29" s="1"/>
  <c r="I81" i="10"/>
  <c r="H81" i="29" s="1"/>
  <c r="I82" i="10"/>
  <c r="H82" i="29" s="1"/>
  <c r="I83" i="10"/>
  <c r="H83" i="29" s="1"/>
  <c r="I84" i="10"/>
  <c r="H84" i="29" s="1"/>
  <c r="I85" i="10"/>
  <c r="H85" i="29" s="1"/>
  <c r="I86" i="10"/>
  <c r="H86" i="29" s="1"/>
  <c r="I87" i="10"/>
  <c r="H87" i="29" s="1"/>
  <c r="I88" i="10"/>
  <c r="H88" i="29" s="1"/>
  <c r="I89" i="10"/>
  <c r="H89" i="29" s="1"/>
  <c r="I90" i="10"/>
  <c r="H90" i="29" s="1"/>
  <c r="I91" i="10"/>
  <c r="H91" i="29" s="1"/>
  <c r="I92" i="10"/>
  <c r="H92" i="29" s="1"/>
  <c r="I93" i="10"/>
  <c r="H93" i="29" s="1"/>
  <c r="I94" i="10"/>
  <c r="H94" i="29" s="1"/>
  <c r="I95" i="10"/>
  <c r="H95" i="29" s="1"/>
  <c r="I96" i="10"/>
  <c r="H96" i="29" s="1"/>
  <c r="I97" i="10"/>
  <c r="H97" i="29" s="1"/>
  <c r="I98" i="10"/>
  <c r="H98" i="29" s="1"/>
  <c r="I49" i="10"/>
  <c r="H49" i="29" s="1"/>
  <c r="I50" i="10"/>
  <c r="H50" i="29" s="1"/>
  <c r="I51" i="10"/>
  <c r="H51" i="29" s="1"/>
  <c r="I52" i="10"/>
  <c r="H52" i="29" s="1"/>
  <c r="I53" i="10"/>
  <c r="H53" i="29" s="1"/>
  <c r="I54" i="10"/>
  <c r="H54" i="29" s="1"/>
  <c r="I55" i="10"/>
  <c r="H55" i="29" s="1"/>
  <c r="I56" i="10"/>
  <c r="H56" i="29" s="1"/>
  <c r="I57" i="10"/>
  <c r="H57" i="29" s="1"/>
  <c r="I58" i="10"/>
  <c r="H58" i="29" s="1"/>
  <c r="I59" i="10"/>
  <c r="H59" i="29" s="1"/>
  <c r="I60" i="10"/>
  <c r="H60" i="29" s="1"/>
  <c r="I61" i="10"/>
  <c r="H61" i="29" s="1"/>
  <c r="I62" i="10"/>
  <c r="H62" i="29" s="1"/>
  <c r="I63" i="10"/>
  <c r="H63" i="29" s="1"/>
  <c r="I64" i="10"/>
  <c r="H64" i="29" s="1"/>
  <c r="I65" i="10"/>
  <c r="H65" i="29" s="1"/>
  <c r="I66" i="10"/>
  <c r="H66" i="29" s="1"/>
  <c r="I67" i="10"/>
  <c r="H67" i="29" s="1"/>
  <c r="I68" i="10"/>
  <c r="H68" i="29" s="1"/>
  <c r="I69" i="10"/>
  <c r="H69" i="29" s="1"/>
  <c r="I70" i="10"/>
  <c r="H70" i="29" s="1"/>
  <c r="M4" i="61" l="1"/>
  <c r="I38" i="25" l="1"/>
  <c r="I39" i="25" s="1"/>
  <c r="I36" i="25"/>
  <c r="I37" i="25"/>
  <c r="I9" i="7"/>
  <c r="H9" i="59" s="1"/>
  <c r="I39" i="50" l="1"/>
  <c r="I38" i="50"/>
  <c r="I37" i="50"/>
  <c r="I36" i="50"/>
  <c r="I35" i="50"/>
  <c r="I34" i="50"/>
  <c r="I33" i="50"/>
  <c r="I32" i="50"/>
  <c r="I31" i="50"/>
  <c r="I30" i="50"/>
  <c r="I29" i="50"/>
  <c r="I28" i="50"/>
  <c r="I27" i="50"/>
  <c r="I26" i="50"/>
  <c r="I25" i="50"/>
  <c r="I24" i="50"/>
  <c r="I23" i="50"/>
  <c r="I4" i="50"/>
  <c r="I5" i="50" s="1"/>
  <c r="I6" i="50" s="1"/>
  <c r="I7" i="50" s="1"/>
  <c r="I8" i="50" s="1"/>
  <c r="I9" i="50" s="1"/>
  <c r="I10" i="50" s="1"/>
  <c r="I11" i="50" s="1"/>
  <c r="I12" i="50" s="1"/>
  <c r="I13" i="50" s="1"/>
  <c r="I14" i="50" s="1"/>
  <c r="I15" i="50" s="1"/>
  <c r="I16" i="50" s="1"/>
  <c r="I17" i="50" s="1"/>
  <c r="I18" i="50" s="1"/>
  <c r="I19" i="50" s="1"/>
  <c r="I20" i="50" s="1"/>
  <c r="I21" i="50" s="1"/>
  <c r="I22" i="50" s="1"/>
  <c r="I2" i="50"/>
  <c r="B12" i="40" l="1"/>
  <c r="B6" i="40"/>
  <c r="B7" i="40"/>
  <c r="B8" i="40"/>
  <c r="B9" i="40"/>
  <c r="B10" i="40"/>
  <c r="B11" i="40"/>
  <c r="B5" i="40"/>
  <c r="B4" i="40"/>
  <c r="B17" i="40"/>
  <c r="B18" i="40"/>
  <c r="B19" i="40"/>
  <c r="B20" i="40"/>
  <c r="B21" i="40"/>
  <c r="B22" i="40"/>
  <c r="B23" i="40"/>
  <c r="B24" i="40"/>
  <c r="B16" i="40"/>
  <c r="B15" i="40"/>
  <c r="H4" i="30" l="1"/>
  <c r="H5" i="30" s="1"/>
  <c r="H6" i="30" s="1"/>
  <c r="H7" i="30" s="1"/>
  <c r="H8" i="30" s="1"/>
  <c r="H9" i="30" s="1"/>
  <c r="H10" i="30" s="1"/>
  <c r="H11" i="30" s="1"/>
  <c r="H12" i="30" s="1"/>
  <c r="H13" i="30" s="1"/>
  <c r="H14" i="30" s="1"/>
  <c r="H15" i="30" s="1"/>
  <c r="H16" i="30" s="1"/>
  <c r="H17" i="30" s="1"/>
  <c r="H18" i="30" s="1"/>
  <c r="H19" i="30" s="1"/>
  <c r="H20" i="30" s="1"/>
  <c r="H21" i="30" s="1"/>
  <c r="H22" i="30" s="1"/>
  <c r="H23" i="30" s="1"/>
  <c r="H24" i="30" s="1"/>
  <c r="H25" i="30" s="1"/>
  <c r="H26" i="30" s="1"/>
  <c r="H27" i="30" s="1"/>
  <c r="I4" i="19" l="1"/>
  <c r="I4" i="25"/>
  <c r="I4" i="43"/>
  <c r="I4" i="24"/>
  <c r="I4" i="23"/>
  <c r="I4" i="22"/>
  <c r="I4" i="21"/>
  <c r="I4" i="20"/>
  <c r="I4" i="17"/>
  <c r="I5" i="17" s="1"/>
  <c r="I4" i="44"/>
  <c r="I6" i="17" l="1"/>
  <c r="I7" i="17" s="1"/>
  <c r="I8" i="17" s="1"/>
  <c r="I6" i="44" l="1"/>
  <c r="I7" i="44"/>
  <c r="I8" i="44"/>
  <c r="I9" i="44"/>
  <c r="I10" i="44"/>
  <c r="I11" i="44"/>
  <c r="I12" i="44"/>
  <c r="I13" i="44"/>
  <c r="I14" i="44"/>
  <c r="I15" i="44"/>
  <c r="I16" i="44"/>
  <c r="I17" i="44"/>
  <c r="I18" i="44"/>
  <c r="I19" i="44"/>
  <c r="I20" i="44"/>
  <c r="I21" i="44"/>
  <c r="I22" i="44"/>
  <c r="I23" i="44"/>
  <c r="I24" i="44"/>
  <c r="I25" i="44"/>
  <c r="I26" i="44"/>
  <c r="I27" i="44"/>
  <c r="I28" i="44"/>
  <c r="I29" i="44"/>
  <c r="I30" i="44"/>
  <c r="I31" i="44"/>
  <c r="I32" i="44"/>
  <c r="I33" i="44"/>
  <c r="I34" i="44"/>
  <c r="I35" i="44"/>
  <c r="I36" i="44"/>
  <c r="I5" i="44"/>
  <c r="I37" i="45" l="1"/>
  <c r="I36" i="45"/>
  <c r="I35" i="45"/>
  <c r="I34" i="45"/>
  <c r="I33" i="45"/>
  <c r="I32" i="45"/>
  <c r="I31" i="45"/>
  <c r="I30" i="45"/>
  <c r="I29" i="45"/>
  <c r="I28" i="45"/>
  <c r="I27" i="45"/>
  <c r="I26" i="45"/>
  <c r="I25" i="45"/>
  <c r="I24" i="45"/>
  <c r="I23" i="45"/>
  <c r="I22" i="45"/>
  <c r="I21" i="45"/>
  <c r="I20" i="45"/>
  <c r="I19" i="45"/>
  <c r="I18" i="45"/>
  <c r="I17" i="45"/>
  <c r="I16" i="45"/>
  <c r="I15" i="45"/>
  <c r="I2" i="45"/>
  <c r="I2" i="44"/>
  <c r="I2" i="25"/>
  <c r="I39" i="43"/>
  <c r="I38" i="43"/>
  <c r="I37" i="43"/>
  <c r="I36" i="43"/>
  <c r="I35" i="43"/>
  <c r="I34" i="43"/>
  <c r="I33" i="43"/>
  <c r="I32" i="43"/>
  <c r="I31" i="43"/>
  <c r="I30" i="43"/>
  <c r="I29" i="43"/>
  <c r="I28" i="43"/>
  <c r="I27" i="43"/>
  <c r="I26" i="43"/>
  <c r="I25" i="43"/>
  <c r="I24" i="43"/>
  <c r="I23" i="43"/>
  <c r="I22" i="43"/>
  <c r="I21" i="43"/>
  <c r="I20" i="43"/>
  <c r="I19" i="43"/>
  <c r="I18" i="43"/>
  <c r="I17" i="43"/>
  <c r="I16" i="43"/>
  <c r="I15" i="43"/>
  <c r="I14" i="43"/>
  <c r="I13" i="43"/>
  <c r="I12" i="43"/>
  <c r="I11" i="43"/>
  <c r="I10" i="43"/>
  <c r="I9" i="43"/>
  <c r="I8" i="43"/>
  <c r="I7" i="43"/>
  <c r="I6" i="43"/>
  <c r="I5" i="43"/>
  <c r="I2" i="43"/>
  <c r="I2" i="10"/>
  <c r="I2" i="16"/>
  <c r="I2" i="11"/>
  <c r="I2" i="12"/>
  <c r="I2" i="15"/>
  <c r="I2" i="14"/>
  <c r="I2" i="17"/>
  <c r="I2" i="18"/>
  <c r="I2" i="19"/>
  <c r="I2" i="20"/>
  <c r="I2" i="21"/>
  <c r="I2" i="22"/>
  <c r="I2" i="23"/>
  <c r="I2" i="24"/>
  <c r="I15" i="24" l="1"/>
  <c r="I14" i="24"/>
  <c r="I13" i="24"/>
  <c r="I12" i="24"/>
  <c r="I11" i="24"/>
  <c r="I10" i="24"/>
  <c r="I9" i="24"/>
  <c r="I8" i="24"/>
  <c r="I7" i="24"/>
  <c r="I6" i="24"/>
  <c r="I5" i="24"/>
  <c r="I15" i="23"/>
  <c r="I14" i="23"/>
  <c r="I13" i="23"/>
  <c r="I12" i="23"/>
  <c r="I11" i="23"/>
  <c r="I10" i="23"/>
  <c r="I9" i="23"/>
  <c r="I8" i="23"/>
  <c r="I7" i="23"/>
  <c r="I6" i="23"/>
  <c r="I5" i="23"/>
  <c r="I15" i="22"/>
  <c r="I14" i="22"/>
  <c r="I13" i="22"/>
  <c r="I12" i="22"/>
  <c r="I11" i="22"/>
  <c r="I10" i="22"/>
  <c r="I9" i="22"/>
  <c r="I8" i="22"/>
  <c r="I7" i="22"/>
  <c r="I6" i="22"/>
  <c r="I15" i="21"/>
  <c r="I14" i="21"/>
  <c r="I5" i="21"/>
  <c r="I6" i="21" s="1"/>
  <c r="I7" i="21" s="1"/>
  <c r="I8" i="21" s="1"/>
  <c r="I9" i="21" s="1"/>
  <c r="I10" i="21" s="1"/>
  <c r="I11" i="21" s="1"/>
  <c r="I12" i="21" s="1"/>
  <c r="I13" i="21" s="1"/>
  <c r="I5" i="20"/>
  <c r="I6" i="20" s="1"/>
  <c r="I7" i="20" s="1"/>
  <c r="I8" i="20" s="1"/>
  <c r="I9" i="20" s="1"/>
  <c r="I10" i="20" s="1"/>
  <c r="I11" i="20" s="1"/>
  <c r="I12" i="20" s="1"/>
  <c r="I13" i="20" s="1"/>
  <c r="I14" i="20" s="1"/>
  <c r="I15" i="20" s="1"/>
  <c r="I5" i="19"/>
  <c r="I6" i="19" s="1"/>
  <c r="I7" i="19" s="1"/>
  <c r="I8" i="19" s="1"/>
  <c r="I9" i="19" s="1"/>
  <c r="I10" i="19" s="1"/>
  <c r="I11" i="19" s="1"/>
  <c r="I12" i="19" s="1"/>
  <c r="I13" i="19" s="1"/>
  <c r="I14" i="19" s="1"/>
  <c r="I15" i="19" s="1"/>
  <c r="I15" i="18"/>
  <c r="I14" i="18"/>
  <c r="I13" i="18"/>
  <c r="I12" i="18"/>
  <c r="I11" i="18"/>
  <c r="I10" i="18"/>
  <c r="I9" i="18"/>
  <c r="I8" i="18"/>
  <c r="I9" i="17"/>
  <c r="I10" i="17" s="1"/>
  <c r="I11" i="17" s="1"/>
  <c r="I12" i="17" s="1"/>
  <c r="I13" i="17" s="1"/>
  <c r="I14" i="17" s="1"/>
  <c r="I15" i="17" s="1"/>
  <c r="I15" i="16"/>
  <c r="I14" i="16"/>
  <c r="I13" i="16"/>
  <c r="I12" i="16"/>
  <c r="I11" i="16"/>
  <c r="I10" i="16"/>
  <c r="I9" i="16"/>
  <c r="I8" i="16"/>
  <c r="I7" i="16"/>
  <c r="I6" i="16"/>
  <c r="I6" i="7"/>
  <c r="H6" i="59" s="1"/>
  <c r="I7" i="7"/>
  <c r="H7" i="59" s="1"/>
  <c r="I8" i="7"/>
  <c r="H8" i="59" s="1"/>
  <c r="I10" i="7"/>
  <c r="H10" i="59" s="1"/>
  <c r="I11" i="7"/>
  <c r="H11" i="59" s="1"/>
  <c r="I35" i="25" l="1"/>
  <c r="I34" i="25"/>
  <c r="I33" i="25"/>
  <c r="I32" i="25"/>
  <c r="I31" i="25"/>
  <c r="I30" i="25"/>
  <c r="I29" i="25"/>
  <c r="I28" i="25"/>
  <c r="I27" i="25"/>
  <c r="I26" i="25"/>
  <c r="I25" i="25"/>
  <c r="I24" i="25"/>
  <c r="I23" i="25"/>
  <c r="I22" i="25"/>
  <c r="I21" i="25"/>
  <c r="I20" i="25"/>
  <c r="I19" i="25"/>
  <c r="I18" i="25"/>
  <c r="I17" i="25"/>
  <c r="I16" i="25"/>
  <c r="I15" i="25"/>
  <c r="I14" i="25"/>
  <c r="I13" i="25"/>
  <c r="I38" i="24"/>
  <c r="I37" i="24"/>
  <c r="I36" i="24"/>
  <c r="I35" i="24"/>
  <c r="I34" i="24"/>
  <c r="I33" i="24"/>
  <c r="I32" i="24"/>
  <c r="I31" i="24"/>
  <c r="I30" i="24"/>
  <c r="I29" i="24"/>
  <c r="I28" i="24"/>
  <c r="I27" i="24"/>
  <c r="I26" i="24"/>
  <c r="I25" i="24"/>
  <c r="I24" i="24"/>
  <c r="I23" i="24"/>
  <c r="I22" i="24"/>
  <c r="I21" i="24"/>
  <c r="I20" i="24"/>
  <c r="I19" i="24"/>
  <c r="I18" i="24"/>
  <c r="I17" i="24"/>
  <c r="I16" i="24"/>
  <c r="I39" i="23"/>
  <c r="I38" i="23"/>
  <c r="I37" i="23"/>
  <c r="I36" i="23"/>
  <c r="I35" i="23"/>
  <c r="I34" i="23"/>
  <c r="I33" i="23"/>
  <c r="I32" i="23"/>
  <c r="I31" i="23"/>
  <c r="I30" i="23"/>
  <c r="I29" i="23"/>
  <c r="I28" i="23"/>
  <c r="I27" i="23"/>
  <c r="I26" i="23"/>
  <c r="I25" i="23"/>
  <c r="I24" i="23"/>
  <c r="I23" i="23"/>
  <c r="I22" i="23"/>
  <c r="I21" i="23"/>
  <c r="I20" i="23"/>
  <c r="I19" i="23"/>
  <c r="I18" i="23"/>
  <c r="I17" i="23"/>
  <c r="I16" i="23"/>
  <c r="I37" i="22"/>
  <c r="I36" i="22"/>
  <c r="I35" i="22"/>
  <c r="I34" i="22"/>
  <c r="I33" i="22"/>
  <c r="I32" i="22"/>
  <c r="I31" i="22"/>
  <c r="I30" i="22"/>
  <c r="I29" i="22"/>
  <c r="I28" i="22"/>
  <c r="I27" i="22"/>
  <c r="I26" i="22"/>
  <c r="I25" i="22"/>
  <c r="I24" i="22"/>
  <c r="I23" i="22"/>
  <c r="I22" i="22"/>
  <c r="I21" i="22"/>
  <c r="I20" i="22"/>
  <c r="I19" i="22"/>
  <c r="I18" i="22"/>
  <c r="I17" i="22"/>
  <c r="I16" i="22"/>
  <c r="A3" i="22"/>
  <c r="I39" i="21"/>
  <c r="I38" i="21"/>
  <c r="I37" i="21"/>
  <c r="I36" i="21"/>
  <c r="I35" i="21"/>
  <c r="I34" i="21"/>
  <c r="I33" i="21"/>
  <c r="I32" i="21"/>
  <c r="I31" i="21"/>
  <c r="I30" i="21"/>
  <c r="I29" i="21"/>
  <c r="I28" i="21"/>
  <c r="I27" i="21"/>
  <c r="I26" i="21"/>
  <c r="I25" i="21"/>
  <c r="I24" i="21"/>
  <c r="I23" i="21"/>
  <c r="I22" i="21"/>
  <c r="I21" i="21"/>
  <c r="I20" i="21"/>
  <c r="I19" i="21"/>
  <c r="I18" i="21"/>
  <c r="I17" i="21"/>
  <c r="I16" i="21"/>
  <c r="I39" i="20"/>
  <c r="I38" i="20"/>
  <c r="I37" i="20"/>
  <c r="I36" i="20"/>
  <c r="I35" i="20"/>
  <c r="I34" i="20"/>
  <c r="I33" i="20"/>
  <c r="I32" i="20"/>
  <c r="I31" i="20"/>
  <c r="I30" i="20"/>
  <c r="I29" i="20"/>
  <c r="I28" i="20"/>
  <c r="I27" i="20"/>
  <c r="I26" i="20"/>
  <c r="I25" i="20"/>
  <c r="I24" i="20"/>
  <c r="I23" i="20"/>
  <c r="I22" i="20"/>
  <c r="I21" i="20"/>
  <c r="I20" i="20"/>
  <c r="I19" i="20"/>
  <c r="I18" i="20"/>
  <c r="I17" i="20"/>
  <c r="I16" i="20"/>
  <c r="I39" i="19"/>
  <c r="I38" i="19"/>
  <c r="I16" i="19"/>
  <c r="I17" i="19" s="1"/>
  <c r="I18" i="19" s="1"/>
  <c r="I19" i="19" s="1"/>
  <c r="I20" i="19" s="1"/>
  <c r="I21" i="19" s="1"/>
  <c r="I22" i="19" s="1"/>
  <c r="I23" i="19" s="1"/>
  <c r="I24" i="19" s="1"/>
  <c r="I25" i="19" s="1"/>
  <c r="I26" i="19" s="1"/>
  <c r="I27" i="19" s="1"/>
  <c r="I28" i="19" s="1"/>
  <c r="I29" i="19" s="1"/>
  <c r="I30" i="19" s="1"/>
  <c r="I31" i="19" s="1"/>
  <c r="I32" i="19" s="1"/>
  <c r="I33" i="19" s="1"/>
  <c r="I34" i="19" s="1"/>
  <c r="I35" i="19" s="1"/>
  <c r="I36" i="19" s="1"/>
  <c r="I37" i="19" s="1"/>
  <c r="I39" i="18"/>
  <c r="I38" i="18"/>
  <c r="I37" i="18"/>
  <c r="I36" i="18"/>
  <c r="I35" i="18"/>
  <c r="I34" i="18"/>
  <c r="I33" i="18"/>
  <c r="I32" i="18"/>
  <c r="I31" i="18"/>
  <c r="I30" i="18"/>
  <c r="I29" i="18"/>
  <c r="I28" i="18"/>
  <c r="I27" i="18"/>
  <c r="I26" i="18"/>
  <c r="I25" i="18"/>
  <c r="I24" i="18"/>
  <c r="I23" i="18"/>
  <c r="I22" i="18"/>
  <c r="I21" i="18"/>
  <c r="I20" i="18"/>
  <c r="I19" i="18"/>
  <c r="I18" i="18"/>
  <c r="I17" i="18"/>
  <c r="I16" i="18"/>
  <c r="I37" i="17"/>
  <c r="I36" i="17"/>
  <c r="I35" i="17"/>
  <c r="I34" i="17"/>
  <c r="I33" i="17"/>
  <c r="I32" i="17"/>
  <c r="I31" i="17"/>
  <c r="I30" i="17"/>
  <c r="I29" i="17"/>
  <c r="I28" i="17"/>
  <c r="I27" i="17"/>
  <c r="I26" i="17"/>
  <c r="I16" i="17"/>
  <c r="I17" i="17" s="1"/>
  <c r="I18" i="17" s="1"/>
  <c r="I19" i="17" s="1"/>
  <c r="I20" i="17" s="1"/>
  <c r="I21" i="17" s="1"/>
  <c r="I22" i="17" s="1"/>
  <c r="I23" i="17" s="1"/>
  <c r="I24" i="17" s="1"/>
  <c r="I25" i="17" s="1"/>
  <c r="I39" i="16"/>
  <c r="I38" i="16"/>
  <c r="I37" i="16"/>
  <c r="I36" i="16"/>
  <c r="I35" i="16"/>
  <c r="I34" i="16"/>
  <c r="I33" i="16"/>
  <c r="I32" i="16"/>
  <c r="I31" i="16"/>
  <c r="I30" i="16"/>
  <c r="I29" i="16"/>
  <c r="I28" i="16"/>
  <c r="I27" i="16"/>
  <c r="I26" i="16"/>
  <c r="I25" i="16"/>
  <c r="I24" i="16"/>
  <c r="I23" i="16"/>
  <c r="I22" i="16"/>
  <c r="I21" i="16"/>
  <c r="I20" i="16"/>
  <c r="I19" i="16"/>
  <c r="I18" i="16"/>
  <c r="I17" i="16"/>
  <c r="I16" i="16"/>
  <c r="I38" i="11"/>
  <c r="I37" i="11"/>
  <c r="I36" i="11"/>
  <c r="I35" i="11"/>
  <c r="I34" i="11"/>
  <c r="I33" i="11"/>
  <c r="I32" i="11"/>
  <c r="I31" i="11"/>
  <c r="I30" i="11"/>
  <c r="I29" i="11"/>
  <c r="I28" i="11"/>
  <c r="I27" i="11"/>
  <c r="I26" i="11"/>
  <c r="I25" i="11"/>
  <c r="I24" i="11"/>
  <c r="I23" i="11"/>
  <c r="I22" i="11"/>
  <c r="I21" i="11"/>
  <c r="I20" i="11"/>
  <c r="H99" i="45" l="1"/>
  <c r="H99" i="12"/>
  <c r="H99" i="15"/>
  <c r="G99" i="16"/>
  <c r="G99" i="45"/>
  <c r="G99" i="12"/>
  <c r="H99" i="11"/>
  <c r="G99" i="11"/>
  <c r="H99" i="16"/>
  <c r="I14" i="7"/>
  <c r="H14" i="59" s="1"/>
  <c r="I13" i="7"/>
  <c r="H13" i="59" s="1"/>
  <c r="I12" i="7"/>
  <c r="H12" i="59" s="1"/>
  <c r="E20" i="41"/>
  <c r="E18" i="41"/>
  <c r="E23" i="41"/>
  <c r="D21" i="41"/>
  <c r="E21" i="41"/>
  <c r="D18" i="41"/>
  <c r="D20" i="41"/>
  <c r="D22" i="41"/>
  <c r="E22" i="41"/>
  <c r="F22" i="41" l="1"/>
  <c r="G22" i="41"/>
  <c r="G21" i="41"/>
  <c r="F21" i="41"/>
  <c r="F18" i="41"/>
  <c r="G18" i="41"/>
  <c r="G20" i="41"/>
  <c r="F20" i="41"/>
  <c r="I99" i="12"/>
  <c r="B21" i="46"/>
  <c r="F21" i="46" s="1"/>
  <c r="C7" i="46"/>
  <c r="I7" i="46" s="1"/>
  <c r="B22" i="46"/>
  <c r="F22" i="46" s="1"/>
  <c r="J13" i="57" s="1"/>
  <c r="B24" i="46"/>
  <c r="F24" i="46" s="1"/>
  <c r="J15" i="57" s="1"/>
  <c r="B23" i="46"/>
  <c r="F23" i="46" s="1"/>
  <c r="J14" i="57" s="1"/>
  <c r="B20" i="46"/>
  <c r="F20" i="46" s="1"/>
  <c r="I99" i="45"/>
  <c r="G99" i="15"/>
  <c r="I5" i="15"/>
  <c r="I6" i="15" s="1"/>
  <c r="I7" i="15" s="1"/>
  <c r="I8" i="15" s="1"/>
  <c r="I9" i="15" s="1"/>
  <c r="I10" i="15" s="1"/>
  <c r="I11" i="15" s="1"/>
  <c r="I12" i="15" s="1"/>
  <c r="I13" i="15" s="1"/>
  <c r="I14" i="15" s="1"/>
  <c r="I15" i="15" s="1"/>
  <c r="I16" i="15" s="1"/>
  <c r="I17" i="15" s="1"/>
  <c r="I18" i="15" s="1"/>
  <c r="I19" i="15" s="1"/>
  <c r="I20" i="15" s="1"/>
  <c r="I21" i="15" s="1"/>
  <c r="I22" i="15" s="1"/>
  <c r="I23" i="15" s="1"/>
  <c r="I24" i="15" s="1"/>
  <c r="I25" i="15" s="1"/>
  <c r="I26" i="15" s="1"/>
  <c r="I27" i="15" s="1"/>
  <c r="I28" i="15" s="1"/>
  <c r="I29" i="15" s="1"/>
  <c r="I30" i="15" s="1"/>
  <c r="I31" i="15" s="1"/>
  <c r="I32" i="15" s="1"/>
  <c r="I33" i="15" s="1"/>
  <c r="I34" i="15" s="1"/>
  <c r="I35" i="15" s="1"/>
  <c r="I36" i="15" s="1"/>
  <c r="I37" i="15" s="1"/>
  <c r="I38" i="15" s="1"/>
  <c r="I39" i="15" s="1"/>
  <c r="I40" i="15" s="1"/>
  <c r="I41" i="15" s="1"/>
  <c r="I42" i="15" s="1"/>
  <c r="I43" i="15" s="1"/>
  <c r="I44" i="15" s="1"/>
  <c r="I45" i="15" s="1"/>
  <c r="I46" i="15" s="1"/>
  <c r="I47" i="15" s="1"/>
  <c r="I48" i="15" s="1"/>
  <c r="I49" i="15" s="1"/>
  <c r="I50" i="15" s="1"/>
  <c r="I51" i="15" s="1"/>
  <c r="I52" i="15" s="1"/>
  <c r="I53" i="15" s="1"/>
  <c r="I54" i="15" s="1"/>
  <c r="I55" i="15" s="1"/>
  <c r="I56" i="15" s="1"/>
  <c r="I57" i="15" s="1"/>
  <c r="I58" i="15" s="1"/>
  <c r="I59" i="15" s="1"/>
  <c r="I60" i="15" s="1"/>
  <c r="I61" i="15" s="1"/>
  <c r="I62" i="15" s="1"/>
  <c r="I63" i="15" s="1"/>
  <c r="I64" i="15" s="1"/>
  <c r="I65" i="15" s="1"/>
  <c r="I66" i="15" s="1"/>
  <c r="I67" i="15" s="1"/>
  <c r="I68" i="15" s="1"/>
  <c r="I69" i="15" s="1"/>
  <c r="I70" i="15" s="1"/>
  <c r="I71" i="15" s="1"/>
  <c r="I72" i="15" s="1"/>
  <c r="I73" i="15" s="1"/>
  <c r="I74" i="15" s="1"/>
  <c r="I75" i="15" s="1"/>
  <c r="I76" i="15" s="1"/>
  <c r="I77" i="15" s="1"/>
  <c r="I78" i="15" s="1"/>
  <c r="I99" i="11"/>
  <c r="H99" i="10"/>
  <c r="G4" i="29"/>
  <c r="I99" i="16"/>
  <c r="G99" i="7"/>
  <c r="F4" i="59"/>
  <c r="G99" i="10"/>
  <c r="F4" i="29"/>
  <c r="H99" i="7"/>
  <c r="G4" i="59"/>
  <c r="I4" i="7"/>
  <c r="I4" i="45"/>
  <c r="I5" i="45" s="1"/>
  <c r="I6" i="45" s="1"/>
  <c r="I4" i="10"/>
  <c r="H4" i="29" s="1"/>
  <c r="I5" i="12"/>
  <c r="I4" i="13"/>
  <c r="I5" i="13" s="1"/>
  <c r="I4" i="16"/>
  <c r="I13" i="11"/>
  <c r="I14" i="11" s="1"/>
  <c r="I15" i="11" s="1"/>
  <c r="I16" i="11" s="1"/>
  <c r="I17" i="11" s="1"/>
  <c r="I18" i="11" s="1"/>
  <c r="I19" i="11" s="1"/>
  <c r="D6" i="41"/>
  <c r="E5" i="41"/>
  <c r="D23" i="41"/>
  <c r="D5" i="41"/>
  <c r="E6" i="41"/>
  <c r="E45" i="41" l="1"/>
  <c r="D45" i="41"/>
  <c r="G5" i="41"/>
  <c r="C5" i="46" s="1"/>
  <c r="F5" i="41"/>
  <c r="G6" i="41"/>
  <c r="C6" i="46" s="1"/>
  <c r="I6" i="46" s="1"/>
  <c r="F6" i="41"/>
  <c r="G23" i="41"/>
  <c r="F23" i="41"/>
  <c r="I99" i="15"/>
  <c r="H8" i="54"/>
  <c r="E15" i="57"/>
  <c r="H12" i="54"/>
  <c r="J12" i="57"/>
  <c r="H13" i="54"/>
  <c r="H14" i="54"/>
  <c r="H15" i="54"/>
  <c r="G100" i="45"/>
  <c r="G101" i="45" s="1"/>
  <c r="H100" i="45"/>
  <c r="H101" i="45" s="1"/>
  <c r="H100" i="11"/>
  <c r="H101" i="11" s="1"/>
  <c r="G100" i="11"/>
  <c r="G101" i="11" s="1"/>
  <c r="H100" i="12"/>
  <c r="H101" i="12" s="1"/>
  <c r="G100" i="12"/>
  <c r="G101" i="12" s="1"/>
  <c r="H100" i="16"/>
  <c r="H101" i="16" s="1"/>
  <c r="G100" i="16"/>
  <c r="G101" i="16" s="1"/>
  <c r="C10" i="46"/>
  <c r="I10" i="46" s="1"/>
  <c r="C22" i="46"/>
  <c r="G22" i="46" s="1"/>
  <c r="C8" i="46"/>
  <c r="I8" i="46" s="1"/>
  <c r="C20" i="46"/>
  <c r="G20" i="46" s="1"/>
  <c r="C9" i="46"/>
  <c r="I9" i="46" s="1"/>
  <c r="C21" i="46"/>
  <c r="G21" i="46" s="1"/>
  <c r="C11" i="46"/>
  <c r="I11" i="46" s="1"/>
  <c r="C23" i="46"/>
  <c r="G23" i="46" s="1"/>
  <c r="C12" i="46"/>
  <c r="I12" i="46" s="1"/>
  <c r="F25" i="56" s="1"/>
  <c r="C24" i="46"/>
  <c r="G24" i="46" s="1"/>
  <c r="B10" i="46"/>
  <c r="H10" i="46" s="1"/>
  <c r="C19" i="56" s="1"/>
  <c r="B7" i="46"/>
  <c r="H7" i="46" s="1"/>
  <c r="C10" i="56" s="1"/>
  <c r="B9" i="46"/>
  <c r="H9" i="46" s="1"/>
  <c r="C22" i="56" s="1"/>
  <c r="B11" i="46"/>
  <c r="H11" i="46" s="1"/>
  <c r="C27" i="56" s="1"/>
  <c r="B8" i="46"/>
  <c r="H8" i="46" s="1"/>
  <c r="C21" i="56" s="1"/>
  <c r="B12" i="46"/>
  <c r="H12" i="46" s="1"/>
  <c r="B25" i="46"/>
  <c r="F25" i="46" s="1"/>
  <c r="J17" i="57" s="1"/>
  <c r="G99" i="29"/>
  <c r="H4" i="59"/>
  <c r="I5" i="7"/>
  <c r="H5" i="59" s="1"/>
  <c r="G99" i="59"/>
  <c r="I99" i="10"/>
  <c r="F99" i="29"/>
  <c r="F99" i="59"/>
  <c r="I99" i="7"/>
  <c r="I5" i="16"/>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I30" i="12" s="1"/>
  <c r="I31" i="12" s="1"/>
  <c r="I32" i="12" s="1"/>
  <c r="I33" i="12" s="1"/>
  <c r="I34" i="12" s="1"/>
  <c r="I35" i="12" s="1"/>
  <c r="I36" i="12" s="1"/>
  <c r="I37" i="12" s="1"/>
  <c r="I38" i="12" s="1"/>
  <c r="I39" i="12" s="1"/>
  <c r="I40" i="12" s="1"/>
  <c r="I41" i="12" s="1"/>
  <c r="I42" i="12" s="1"/>
  <c r="I43" i="12" s="1"/>
  <c r="I44" i="12" s="1"/>
  <c r="I45" i="12" s="1"/>
  <c r="I46" i="12" s="1"/>
  <c r="I47" i="12" s="1"/>
  <c r="I48" i="12" s="1"/>
  <c r="I49" i="12" s="1"/>
  <c r="I50" i="12" s="1"/>
  <c r="I51" i="12" s="1"/>
  <c r="I52" i="12" s="1"/>
  <c r="I53" i="12" s="1"/>
  <c r="I54" i="12" s="1"/>
  <c r="I55" i="12" s="1"/>
  <c r="F45" i="41" l="1"/>
  <c r="B5" i="46"/>
  <c r="H5" i="46" s="1"/>
  <c r="C5" i="56" s="1"/>
  <c r="G45" i="41"/>
  <c r="E48" i="41"/>
  <c r="H45" i="41"/>
  <c r="J18" i="57"/>
  <c r="J19" i="57" s="1"/>
  <c r="J20" i="57" s="1"/>
  <c r="J22" i="57" s="1"/>
  <c r="H18" i="54"/>
  <c r="H19" i="54" s="1"/>
  <c r="H20" i="54" s="1"/>
  <c r="M13" i="54" s="1"/>
  <c r="I7" i="77"/>
  <c r="K7" i="77"/>
  <c r="B18" i="77"/>
  <c r="B17" i="77"/>
  <c r="B6" i="77"/>
  <c r="B19" i="77"/>
  <c r="F33" i="46"/>
  <c r="F34" i="46" s="1"/>
  <c r="I101" i="45"/>
  <c r="I101" i="12"/>
  <c r="G100" i="10"/>
  <c r="G101" i="10" s="1"/>
  <c r="H100" i="10"/>
  <c r="H101" i="10" s="1"/>
  <c r="H100" i="7"/>
  <c r="H101" i="7" s="1"/>
  <c r="G100" i="7"/>
  <c r="G101" i="7" s="1"/>
  <c r="H100" i="15"/>
  <c r="H101" i="15" s="1"/>
  <c r="G100" i="15"/>
  <c r="G101" i="15" s="1"/>
  <c r="C13" i="46"/>
  <c r="C25" i="46"/>
  <c r="G25" i="46" s="1"/>
  <c r="G34" i="46" s="1"/>
  <c r="B6" i="46"/>
  <c r="H6" i="46" s="1"/>
  <c r="C8" i="56" s="1"/>
  <c r="B13" i="46"/>
  <c r="H13" i="46" s="1"/>
  <c r="I5" i="46"/>
  <c r="H99" i="29"/>
  <c r="I101" i="11"/>
  <c r="H99" i="59"/>
  <c r="I101" i="16"/>
  <c r="I38" i="7"/>
  <c r="H38" i="59" s="1"/>
  <c r="I37" i="7"/>
  <c r="H37" i="59" s="1"/>
  <c r="I36" i="7"/>
  <c r="H36" i="59" s="1"/>
  <c r="I35" i="7"/>
  <c r="H35" i="59" s="1"/>
  <c r="I34" i="7"/>
  <c r="H34" i="59" s="1"/>
  <c r="I33" i="7"/>
  <c r="H33" i="59" s="1"/>
  <c r="I32" i="7"/>
  <c r="H32" i="59" s="1"/>
  <c r="I31" i="7"/>
  <c r="H31" i="59" s="1"/>
  <c r="I30" i="7"/>
  <c r="H30" i="59" s="1"/>
  <c r="I29" i="7"/>
  <c r="H29" i="59" s="1"/>
  <c r="I28" i="7"/>
  <c r="H28" i="59" s="1"/>
  <c r="I27" i="7"/>
  <c r="H27" i="59" s="1"/>
  <c r="I26" i="7"/>
  <c r="H26" i="59" s="1"/>
  <c r="I25" i="7"/>
  <c r="H25" i="59" s="1"/>
  <c r="I24" i="7"/>
  <c r="H24" i="59" s="1"/>
  <c r="I23" i="7"/>
  <c r="H23" i="59" s="1"/>
  <c r="I22" i="7"/>
  <c r="H22" i="59" s="1"/>
  <c r="I21" i="7"/>
  <c r="H21" i="59" s="1"/>
  <c r="I20" i="7"/>
  <c r="H20" i="59" s="1"/>
  <c r="I19" i="7"/>
  <c r="H19" i="59" s="1"/>
  <c r="I18" i="7"/>
  <c r="H18" i="59" s="1"/>
  <c r="I17" i="7"/>
  <c r="H17" i="59" s="1"/>
  <c r="I16" i="7"/>
  <c r="H16" i="59" s="1"/>
  <c r="I15" i="7"/>
  <c r="H15" i="59" s="1"/>
  <c r="I13" i="46" l="1"/>
  <c r="F8" i="56" s="1"/>
  <c r="G48" i="41"/>
  <c r="C28" i="56"/>
  <c r="M15" i="54"/>
  <c r="H7" i="53"/>
  <c r="B5" i="77"/>
  <c r="B29" i="77" s="1"/>
  <c r="I101" i="15"/>
  <c r="C34" i="46"/>
  <c r="H34" i="46"/>
  <c r="B34" i="46"/>
  <c r="F100" i="59"/>
  <c r="G100" i="59"/>
  <c r="G101" i="59"/>
  <c r="G101" i="29"/>
  <c r="G100" i="29"/>
  <c r="F100" i="29"/>
  <c r="C24" i="77" l="1"/>
  <c r="I33" i="46"/>
  <c r="F27" i="56" s="1"/>
  <c r="F28" i="56" s="1"/>
  <c r="H15" i="53"/>
  <c r="H11" i="53"/>
  <c r="C39" i="46"/>
  <c r="C35" i="46"/>
  <c r="F101" i="59"/>
  <c r="I101" i="7"/>
  <c r="H101" i="59" s="1"/>
  <c r="F101" i="29"/>
  <c r="I101" i="10"/>
  <c r="H101" i="29" s="1"/>
  <c r="G7" i="77" l="1"/>
  <c r="K11" i="77" s="1"/>
  <c r="C28" i="77" s="1"/>
  <c r="C29" i="77" s="1"/>
  <c r="E29" i="77" s="1"/>
  <c r="I34" i="46"/>
  <c r="I5" i="10"/>
  <c r="H5" i="29" s="1"/>
  <c r="I7" i="14"/>
  <c r="I8" i="14" l="1"/>
  <c r="I9" i="14" s="1"/>
  <c r="I10" i="14" s="1"/>
  <c r="I11" i="14" s="1"/>
  <c r="I12" i="14" s="1"/>
  <c r="I13" i="14" s="1"/>
  <c r="I14" i="14" s="1"/>
  <c r="I15" i="14" s="1"/>
  <c r="I16" i="14" s="1"/>
  <c r="I17" i="14" s="1"/>
  <c r="I18" i="14" s="1"/>
  <c r="I19" i="14" s="1"/>
  <c r="I20" i="14" s="1"/>
  <c r="I21" i="14" s="1"/>
  <c r="I22" i="14" s="1"/>
  <c r="I23" i="14" s="1"/>
  <c r="I24" i="14" s="1"/>
  <c r="I25" i="14" s="1"/>
  <c r="I26" i="14" s="1"/>
  <c r="I27" i="14" s="1"/>
  <c r="I28" i="14" s="1"/>
  <c r="I29" i="14" s="1"/>
  <c r="I30" i="14" s="1"/>
  <c r="I31" i="14" s="1"/>
  <c r="I32" i="14" s="1"/>
  <c r="I33" i="14" s="1"/>
  <c r="I34" i="14" s="1"/>
  <c r="I35" i="14" s="1"/>
  <c r="I36" i="14" s="1"/>
  <c r="I37" i="14" s="1"/>
  <c r="I38" i="14" s="1"/>
  <c r="I39" i="14" s="1"/>
  <c r="I40" i="14" s="1"/>
  <c r="I41" i="14" s="1"/>
  <c r="I42" i="14" s="1"/>
  <c r="I43" i="14" s="1"/>
  <c r="I44" i="14" s="1"/>
  <c r="I45" i="14" s="1"/>
  <c r="I46" i="14" s="1"/>
  <c r="I47" i="14" s="1"/>
  <c r="I48" i="14" s="1"/>
  <c r="I49" i="14" s="1"/>
  <c r="I50" i="14" s="1"/>
  <c r="I51" i="14" s="1"/>
  <c r="I52" i="14" s="1"/>
  <c r="I53" i="14" s="1"/>
  <c r="I54" i="14" s="1"/>
  <c r="I55" i="14" s="1"/>
  <c r="I56" i="14" s="1"/>
  <c r="I57" i="14" s="1"/>
  <c r="I58" i="14" s="1"/>
  <c r="I59" i="14" s="1"/>
  <c r="I60" i="14" s="1"/>
  <c r="I6" i="10"/>
  <c r="H6" i="29" s="1"/>
  <c r="I7" i="10" l="1"/>
  <c r="H7" i="29" s="1"/>
  <c r="I8" i="10" l="1"/>
  <c r="H8" i="29" s="1"/>
  <c r="I9" i="10" l="1"/>
  <c r="H9" i="29" s="1"/>
  <c r="I10" i="10" l="1"/>
  <c r="H10" i="29" s="1"/>
  <c r="I11" i="10" l="1"/>
  <c r="H11" i="29" s="1"/>
  <c r="I12" i="10" l="1"/>
  <c r="H12" i="29" s="1"/>
  <c r="I13" i="10" l="1"/>
  <c r="H13" i="29" s="1"/>
  <c r="I14" i="10" l="1"/>
  <c r="H14" i="29" s="1"/>
  <c r="I15" i="10" l="1"/>
  <c r="H15" i="29" s="1"/>
  <c r="I16" i="10" l="1"/>
  <c r="H16" i="29" s="1"/>
  <c r="I17" i="10" l="1"/>
  <c r="H17" i="29" l="1"/>
  <c r="I18" i="10"/>
  <c r="I6" i="13"/>
  <c r="I7" i="13" s="1"/>
  <c r="I8" i="13" s="1"/>
  <c r="I9" i="13" s="1"/>
  <c r="I10" i="13" s="1"/>
  <c r="I11" i="13" s="1"/>
  <c r="H18" i="29" l="1"/>
  <c r="I19" i="10"/>
  <c r="I12" i="13"/>
  <c r="I13" i="13" s="1"/>
  <c r="I14" i="13" s="1"/>
  <c r="I15" i="13" s="1"/>
  <c r="I16" i="13" s="1"/>
  <c r="I17" i="13" s="1"/>
  <c r="I18" i="13" s="1"/>
  <c r="I19" i="13" s="1"/>
  <c r="I20" i="13" s="1"/>
  <c r="I21" i="13" s="1"/>
  <c r="I22" i="13" s="1"/>
  <c r="I23" i="13" s="1"/>
  <c r="I24" i="13" s="1"/>
  <c r="I25" i="13" s="1"/>
  <c r="I26" i="13" s="1"/>
  <c r="I27" i="13" s="1"/>
  <c r="I28" i="13" s="1"/>
  <c r="I29" i="13" s="1"/>
  <c r="I30" i="13" s="1"/>
  <c r="I31" i="13" s="1"/>
  <c r="I32" i="13" s="1"/>
  <c r="I33" i="13" s="1"/>
  <c r="I34" i="13" s="1"/>
  <c r="I35" i="13" s="1"/>
  <c r="I36" i="13" s="1"/>
  <c r="I37" i="13" s="1"/>
  <c r="I38" i="13" s="1"/>
  <c r="I39" i="13" s="1"/>
  <c r="I40" i="13" s="1"/>
  <c r="I41" i="13" s="1"/>
  <c r="I42" i="13" s="1"/>
  <c r="I43" i="13" s="1"/>
  <c r="I44" i="13" s="1"/>
  <c r="I45" i="13" s="1"/>
  <c r="I46" i="13" s="1"/>
  <c r="I47" i="13" s="1"/>
  <c r="I48" i="13" s="1"/>
  <c r="I49" i="13" s="1"/>
  <c r="I50" i="13" s="1"/>
  <c r="I51" i="13" s="1"/>
  <c r="I52" i="13" s="1"/>
  <c r="I53" i="13" s="1"/>
  <c r="I54" i="13" s="1"/>
  <c r="I55" i="13" s="1"/>
  <c r="I56" i="13" s="1"/>
  <c r="I57" i="13" s="1"/>
  <c r="I58" i="13" s="1"/>
  <c r="I59" i="13" s="1"/>
  <c r="I60" i="13" s="1"/>
  <c r="I61" i="13" s="1"/>
  <c r="I62" i="13" s="1"/>
  <c r="I63" i="13" s="1"/>
  <c r="I64" i="13" s="1"/>
  <c r="I65" i="13" s="1"/>
  <c r="I66" i="13" s="1"/>
  <c r="I67" i="13" s="1"/>
  <c r="I68" i="13" s="1"/>
  <c r="I69" i="13" s="1"/>
  <c r="I70" i="13" s="1"/>
  <c r="I71" i="13" s="1"/>
  <c r="I72" i="13" s="1"/>
  <c r="I73" i="13" s="1"/>
  <c r="I74" i="13" s="1"/>
  <c r="I75" i="13" s="1"/>
  <c r="I76" i="13" s="1"/>
  <c r="I77" i="13" s="1"/>
  <c r="I78" i="13" s="1"/>
  <c r="I79" i="13" s="1"/>
  <c r="I80" i="13" s="1"/>
  <c r="I81" i="13" s="1"/>
  <c r="I82" i="13" s="1"/>
  <c r="I83" i="13" s="1"/>
  <c r="I84" i="13" s="1"/>
  <c r="I85" i="13" s="1"/>
  <c r="I86" i="13" s="1"/>
  <c r="I87" i="13" s="1"/>
  <c r="I88" i="13" s="1"/>
  <c r="I89" i="13" s="1"/>
  <c r="I90" i="13" s="1"/>
  <c r="I91" i="13" s="1"/>
  <c r="I92" i="13" s="1"/>
  <c r="I93" i="13" s="1"/>
  <c r="I94" i="13" s="1"/>
  <c r="I95" i="13" s="1"/>
  <c r="I96" i="13" s="1"/>
  <c r="I97" i="13" s="1"/>
  <c r="J508" i="2"/>
  <c r="H19" i="29" l="1"/>
  <c r="I20" i="10"/>
  <c r="H20" i="29" l="1"/>
  <c r="I21" i="10"/>
  <c r="H21" i="29" l="1"/>
  <c r="I22" i="10"/>
  <c r="H22" i="29" l="1"/>
  <c r="I23" i="10"/>
  <c r="H23" i="29" l="1"/>
  <c r="I24" i="10"/>
  <c r="H24" i="29" l="1"/>
  <c r="I25" i="10"/>
  <c r="H25" i="29" l="1"/>
  <c r="I26" i="10"/>
  <c r="H26" i="29" l="1"/>
  <c r="I27" i="10"/>
  <c r="H27" i="29" l="1"/>
  <c r="I28" i="10"/>
  <c r="H28" i="29" l="1"/>
  <c r="I29" i="10"/>
  <c r="H29" i="29" l="1"/>
  <c r="I30" i="10"/>
  <c r="H30" i="29" l="1"/>
  <c r="I31" i="10"/>
  <c r="H31" i="29" l="1"/>
  <c r="I32" i="10"/>
  <c r="H32" i="29" l="1"/>
  <c r="I33" i="10"/>
  <c r="H33" i="29" l="1"/>
  <c r="I34" i="10"/>
  <c r="H34" i="29" l="1"/>
  <c r="I35" i="10"/>
  <c r="H35" i="29" l="1"/>
  <c r="I36" i="10"/>
  <c r="H36" i="29" l="1"/>
  <c r="I37" i="10"/>
  <c r="H37" i="29" l="1"/>
  <c r="I38" i="10"/>
  <c r="H38" i="29" l="1"/>
  <c r="I39" i="10"/>
  <c r="H39" i="29" l="1"/>
  <c r="I40" i="10"/>
  <c r="H40" i="29" l="1"/>
  <c r="I41" i="10"/>
  <c r="H41" i="29" l="1"/>
  <c r="I42" i="10"/>
  <c r="H42" i="29" l="1"/>
  <c r="I43" i="10"/>
  <c r="H43" i="29" l="1"/>
  <c r="I44" i="10"/>
  <c r="H44" i="29" l="1"/>
  <c r="I45" i="10"/>
  <c r="H45" i="29" l="1"/>
  <c r="I46" i="10"/>
  <c r="H46" i="29" l="1"/>
  <c r="I47" i="10"/>
  <c r="H47" i="29" l="1"/>
  <c r="I48" i="10"/>
  <c r="H48" i="29" s="1"/>
</calcChain>
</file>

<file path=xl/sharedStrings.xml><?xml version="1.0" encoding="utf-8"?>
<sst xmlns="http://schemas.openxmlformats.org/spreadsheetml/2006/main" count="1077" uniqueCount="531">
  <si>
    <t>元丁</t>
    <rPh sb="0" eb="1">
      <t>モト</t>
    </rPh>
    <rPh sb="1" eb="2">
      <t>チョウ</t>
    </rPh>
    <phoneticPr fontId="2"/>
  </si>
  <si>
    <t>適要</t>
    <rPh sb="0" eb="1">
      <t>テキ</t>
    </rPh>
    <rPh sb="1" eb="2">
      <t>ヨウ</t>
    </rPh>
    <phoneticPr fontId="2"/>
  </si>
  <si>
    <t>貸方科目</t>
    <rPh sb="0" eb="2">
      <t>カシカタ</t>
    </rPh>
    <rPh sb="2" eb="4">
      <t>カモク</t>
    </rPh>
    <phoneticPr fontId="2"/>
  </si>
  <si>
    <t>貸方金額</t>
    <rPh sb="0" eb="2">
      <t>カシカタ</t>
    </rPh>
    <rPh sb="2" eb="4">
      <t>キンガク</t>
    </rPh>
    <phoneticPr fontId="2"/>
  </si>
  <si>
    <t>借方金額</t>
    <rPh sb="0" eb="2">
      <t>カリカタ</t>
    </rPh>
    <rPh sb="2" eb="4">
      <t>キンガク</t>
    </rPh>
    <phoneticPr fontId="2"/>
  </si>
  <si>
    <t>借方科目</t>
    <rPh sb="0" eb="2">
      <t>カリカタ</t>
    </rPh>
    <rPh sb="2" eb="4">
      <t>カモク</t>
    </rPh>
    <phoneticPr fontId="2"/>
  </si>
  <si>
    <t>前 期 繰 越</t>
    <rPh sb="0" eb="1">
      <t>マエ</t>
    </rPh>
    <rPh sb="2" eb="3">
      <t>キ</t>
    </rPh>
    <rPh sb="4" eb="5">
      <t>クリ</t>
    </rPh>
    <rPh sb="6" eb="7">
      <t>コシ</t>
    </rPh>
    <phoneticPr fontId="2"/>
  </si>
  <si>
    <t>租税公課</t>
    <rPh sb="0" eb="4">
      <t>ソゼイコウカ</t>
    </rPh>
    <phoneticPr fontId="1"/>
  </si>
  <si>
    <t>水道光熱費</t>
    <rPh sb="0" eb="5">
      <t>スイドウコウネツヒ</t>
    </rPh>
    <phoneticPr fontId="1"/>
  </si>
  <si>
    <t>旅費交通費</t>
    <rPh sb="0" eb="5">
      <t>リョヒコウツウヒ</t>
    </rPh>
    <phoneticPr fontId="1"/>
  </si>
  <si>
    <t>通信費</t>
    <rPh sb="0" eb="3">
      <t>ツウシンヒ</t>
    </rPh>
    <phoneticPr fontId="1"/>
  </si>
  <si>
    <t>接待交際費</t>
    <rPh sb="0" eb="5">
      <t>セッタイコウサイヒ</t>
    </rPh>
    <phoneticPr fontId="1"/>
  </si>
  <si>
    <t>損害保険料</t>
    <rPh sb="0" eb="5">
      <t>ソンガイホケンリョウ</t>
    </rPh>
    <phoneticPr fontId="1"/>
  </si>
  <si>
    <t>消耗品費</t>
    <rPh sb="0" eb="4">
      <t>ショウモウヒンヒ</t>
    </rPh>
    <phoneticPr fontId="1"/>
  </si>
  <si>
    <t>地代家賃</t>
    <rPh sb="0" eb="4">
      <t>チダイヤチン</t>
    </rPh>
    <phoneticPr fontId="1"/>
  </si>
  <si>
    <t>事務用品費</t>
    <rPh sb="0" eb="5">
      <t>ジムヨウヒンヒ</t>
    </rPh>
    <phoneticPr fontId="1"/>
  </si>
  <si>
    <t>新聞図書費</t>
    <rPh sb="0" eb="5">
      <t>シンブントショヒ</t>
    </rPh>
    <phoneticPr fontId="1"/>
  </si>
  <si>
    <t>研修費</t>
    <rPh sb="0" eb="3">
      <t>ケンシュウヒ</t>
    </rPh>
    <phoneticPr fontId="1"/>
  </si>
  <si>
    <t>支払手数料</t>
    <rPh sb="0" eb="2">
      <t>シハライ</t>
    </rPh>
    <rPh sb="2" eb="5">
      <t>テスウリョウ</t>
    </rPh>
    <phoneticPr fontId="1"/>
  </si>
  <si>
    <t>現金</t>
    <rPh sb="0" eb="2">
      <t>ゲンキン</t>
    </rPh>
    <phoneticPr fontId="2"/>
  </si>
  <si>
    <t>普通預金</t>
    <rPh sb="0" eb="2">
      <t>フツウ</t>
    </rPh>
    <rPh sb="2" eb="4">
      <t>ヨキン</t>
    </rPh>
    <phoneticPr fontId="2"/>
  </si>
  <si>
    <t>事業主貸</t>
    <rPh sb="0" eb="3">
      <t>ジギョウヌシ</t>
    </rPh>
    <rPh sb="3" eb="4">
      <t>カ</t>
    </rPh>
    <phoneticPr fontId="2"/>
  </si>
  <si>
    <t>売掛金</t>
    <rPh sb="0" eb="2">
      <t>ウリカケ</t>
    </rPh>
    <rPh sb="2" eb="3">
      <t>キン</t>
    </rPh>
    <phoneticPr fontId="2"/>
  </si>
  <si>
    <t>事業主借</t>
    <rPh sb="0" eb="3">
      <t>ジギョウヌシ</t>
    </rPh>
    <rPh sb="3" eb="4">
      <t>カ</t>
    </rPh>
    <phoneticPr fontId="2"/>
  </si>
  <si>
    <t>売上高</t>
    <rPh sb="0" eb="2">
      <t>ウリアゲ</t>
    </rPh>
    <rPh sb="2" eb="3">
      <t>ダカ</t>
    </rPh>
    <phoneticPr fontId="2"/>
  </si>
  <si>
    <t>仕訳帳</t>
    <rPh sb="0" eb="3">
      <t>シワケチョウ</t>
    </rPh>
    <phoneticPr fontId="2"/>
  </si>
  <si>
    <t>現金出納帳</t>
    <rPh sb="0" eb="2">
      <t>ゲンキン</t>
    </rPh>
    <rPh sb="2" eb="5">
      <t>スイトウチョウ</t>
    </rPh>
    <phoneticPr fontId="2"/>
  </si>
  <si>
    <t>勘定科目</t>
    <rPh sb="0" eb="2">
      <t>カンジョウ</t>
    </rPh>
    <rPh sb="2" eb="4">
      <t>カモク</t>
    </rPh>
    <phoneticPr fontId="2"/>
  </si>
  <si>
    <t>仕丁</t>
    <rPh sb="0" eb="2">
      <t>シチョウチョウ</t>
    </rPh>
    <phoneticPr fontId="2"/>
  </si>
  <si>
    <t>残高</t>
    <rPh sb="0" eb="2">
      <t>ザンダカ</t>
    </rPh>
    <phoneticPr fontId="2"/>
  </si>
  <si>
    <t>修繕費</t>
  </si>
  <si>
    <t>Googleアドセンス</t>
    <phoneticPr fontId="2"/>
  </si>
  <si>
    <t>A8.net</t>
    <phoneticPr fontId="2"/>
  </si>
  <si>
    <t>アクセストレード</t>
    <phoneticPr fontId="2"/>
  </si>
  <si>
    <t>楽天</t>
    <rPh sb="0" eb="2">
      <t>ラクテン</t>
    </rPh>
    <phoneticPr fontId="2"/>
  </si>
  <si>
    <t>未払金</t>
    <rPh sb="0" eb="2">
      <t>ミバラ</t>
    </rPh>
    <rPh sb="2" eb="3">
      <t>キン</t>
    </rPh>
    <phoneticPr fontId="2"/>
  </si>
  <si>
    <t>売上先</t>
    <rPh sb="0" eb="2">
      <t>ウリアゲ</t>
    </rPh>
    <rPh sb="2" eb="3">
      <t>サキ</t>
    </rPh>
    <phoneticPr fontId="2"/>
  </si>
  <si>
    <t>通信費</t>
    <rPh sb="0" eb="3">
      <t>ツウシンヒ</t>
    </rPh>
    <phoneticPr fontId="2"/>
  </si>
  <si>
    <t xml:space="preserve">前 期 繰 越 </t>
    <rPh sb="4" eb="5">
      <t>クリ</t>
    </rPh>
    <rPh sb="6" eb="7">
      <t>コシ</t>
    </rPh>
    <phoneticPr fontId="2"/>
  </si>
  <si>
    <t>元丁No</t>
    <rPh sb="0" eb="1">
      <t>モト</t>
    </rPh>
    <rPh sb="1" eb="2">
      <t>チョウ</t>
    </rPh>
    <phoneticPr fontId="2"/>
  </si>
  <si>
    <t>成果確定</t>
    <rPh sb="0" eb="2">
      <t>セイカ</t>
    </rPh>
    <rPh sb="2" eb="4">
      <t>カクテイ</t>
    </rPh>
    <phoneticPr fontId="2"/>
  </si>
  <si>
    <t>振込</t>
    <rPh sb="0" eb="2">
      <t>フリコミ</t>
    </rPh>
    <phoneticPr fontId="2"/>
  </si>
  <si>
    <t>未払金</t>
    <rPh sb="0" eb="1">
      <t>ミ</t>
    </rPh>
    <rPh sb="1" eb="2">
      <t>バラ</t>
    </rPh>
    <rPh sb="2" eb="3">
      <t>キン</t>
    </rPh>
    <phoneticPr fontId="2"/>
  </si>
  <si>
    <t>前払費用</t>
    <rPh sb="0" eb="2">
      <t>マエバラ</t>
    </rPh>
    <rPh sb="2" eb="4">
      <t>ヒヨウ</t>
    </rPh>
    <phoneticPr fontId="2"/>
  </si>
  <si>
    <t>楽天ポイント受取</t>
    <rPh sb="0" eb="2">
      <t>ラクテン</t>
    </rPh>
    <rPh sb="6" eb="8">
      <t>ウケトリ</t>
    </rPh>
    <phoneticPr fontId="2"/>
  </si>
  <si>
    <t>報酬受取条件</t>
    <rPh sb="0" eb="2">
      <t>ホウシュウ</t>
    </rPh>
    <rPh sb="2" eb="4">
      <t>ウケトリ</t>
    </rPh>
    <rPh sb="4" eb="6">
      <t>ジョウケン</t>
    </rPh>
    <phoneticPr fontId="2"/>
  </si>
  <si>
    <t>振込手数料</t>
    <rPh sb="0" eb="2">
      <t>フリコミ</t>
    </rPh>
    <rPh sb="2" eb="5">
      <t>テスウリョウ</t>
    </rPh>
    <phoneticPr fontId="2"/>
  </si>
  <si>
    <t>もしも</t>
    <phoneticPr fontId="2"/>
  </si>
  <si>
    <t>支払手数料</t>
    <rPh sb="0" eb="2">
      <t>シハライ</t>
    </rPh>
    <rPh sb="2" eb="5">
      <t>テスウリョウ</t>
    </rPh>
    <phoneticPr fontId="2"/>
  </si>
  <si>
    <t>仕訳摘要条件</t>
    <rPh sb="0" eb="2">
      <t>シワケ</t>
    </rPh>
    <rPh sb="2" eb="4">
      <t>テキヨウ</t>
    </rPh>
    <rPh sb="4" eb="6">
      <t>ジョウケン</t>
    </rPh>
    <phoneticPr fontId="2"/>
  </si>
  <si>
    <t>貸方</t>
    <rPh sb="0" eb="2">
      <t>カシカタ</t>
    </rPh>
    <phoneticPr fontId="2"/>
  </si>
  <si>
    <t>借方</t>
    <rPh sb="0" eb="2">
      <t>カリカタ</t>
    </rPh>
    <phoneticPr fontId="2"/>
  </si>
  <si>
    <t>ドメイン更新費（カード払い）</t>
    <rPh sb="4" eb="6">
      <t>コウシン</t>
    </rPh>
    <rPh sb="6" eb="7">
      <t>ヒ</t>
    </rPh>
    <phoneticPr fontId="2"/>
  </si>
  <si>
    <t>ドメイン新規取得（カード払い）</t>
    <rPh sb="4" eb="6">
      <t>シンキ</t>
    </rPh>
    <rPh sb="6" eb="8">
      <t>シュトク</t>
    </rPh>
    <phoneticPr fontId="2"/>
  </si>
  <si>
    <t>新聞図書費</t>
    <rPh sb="0" eb="2">
      <t>シンブン</t>
    </rPh>
    <rPh sb="2" eb="5">
      <t>トショヒ</t>
    </rPh>
    <phoneticPr fontId="2"/>
  </si>
  <si>
    <t>売上高</t>
  </si>
  <si>
    <t>売掛金</t>
  </si>
  <si>
    <t>普通預金</t>
  </si>
  <si>
    <t>未払金</t>
  </si>
  <si>
    <t>事業主貸</t>
  </si>
  <si>
    <t>事業主生活費引出</t>
    <rPh sb="0" eb="3">
      <t>ジギョウヌシ</t>
    </rPh>
    <rPh sb="3" eb="6">
      <t>セイカツヒ</t>
    </rPh>
    <rPh sb="6" eb="8">
      <t>ヒキダシ</t>
    </rPh>
    <phoneticPr fontId="2"/>
  </si>
  <si>
    <t>支払手数料</t>
  </si>
  <si>
    <t>通信費</t>
  </si>
  <si>
    <t>相手勘定科目</t>
    <rPh sb="0" eb="2">
      <t>アイテ</t>
    </rPh>
    <rPh sb="2" eb="4">
      <t>カンジョウ</t>
    </rPh>
    <rPh sb="4" eb="6">
      <t>カモク</t>
    </rPh>
    <phoneticPr fontId="2"/>
  </si>
  <si>
    <t>普通預金出納帳</t>
    <rPh sb="0" eb="2">
      <t>フツウ</t>
    </rPh>
    <rPh sb="2" eb="4">
      <t>ヨキン</t>
    </rPh>
    <rPh sb="4" eb="7">
      <t>スイトウチョウ</t>
    </rPh>
    <phoneticPr fontId="2"/>
  </si>
  <si>
    <t>科目</t>
    <rPh sb="0" eb="2">
      <t>カモク</t>
    </rPh>
    <phoneticPr fontId="2"/>
  </si>
  <si>
    <t>合計</t>
    <rPh sb="0" eb="2">
      <t>ゴウケイ</t>
    </rPh>
    <phoneticPr fontId="2"/>
  </si>
  <si>
    <t>売上</t>
    <rPh sb="0" eb="2">
      <t>ウリアゲ</t>
    </rPh>
    <phoneticPr fontId="2"/>
  </si>
  <si>
    <t>売上小計</t>
    <rPh sb="0" eb="2">
      <t>ウリアゲ</t>
    </rPh>
    <rPh sb="2" eb="4">
      <t>ショウケイ</t>
    </rPh>
    <phoneticPr fontId="2"/>
  </si>
  <si>
    <t>経費</t>
    <rPh sb="0" eb="2">
      <t>ケイヒ</t>
    </rPh>
    <phoneticPr fontId="2"/>
  </si>
  <si>
    <t>経費小計</t>
    <rPh sb="0" eb="2">
      <t>ケイヒ</t>
    </rPh>
    <rPh sb="2" eb="4">
      <t>ショウケイ</t>
    </rPh>
    <phoneticPr fontId="2"/>
  </si>
  <si>
    <t>利益</t>
    <rPh sb="0" eb="2">
      <t>リエキ</t>
    </rPh>
    <phoneticPr fontId="2"/>
  </si>
  <si>
    <t>貸方金額</t>
    <rPh sb="0" eb="1">
      <t>カ</t>
    </rPh>
    <phoneticPr fontId="2"/>
  </si>
  <si>
    <t>期末残高</t>
    <rPh sb="0" eb="2">
      <t>キマツ</t>
    </rPh>
    <rPh sb="2" eb="4">
      <t>ザンダカ</t>
    </rPh>
    <phoneticPr fontId="2"/>
  </si>
  <si>
    <t>消耗品費</t>
    <rPh sb="0" eb="2">
      <t>ショウモウ</t>
    </rPh>
    <rPh sb="2" eb="3">
      <t>ヒン</t>
    </rPh>
    <rPh sb="3" eb="4">
      <t>ヒ</t>
    </rPh>
    <phoneticPr fontId="2"/>
  </si>
  <si>
    <t>事務用品費</t>
    <rPh sb="0" eb="2">
      <t>ジム</t>
    </rPh>
    <rPh sb="2" eb="4">
      <t>ヨウヒン</t>
    </rPh>
    <rPh sb="4" eb="5">
      <t>ヒ</t>
    </rPh>
    <phoneticPr fontId="2"/>
  </si>
  <si>
    <t>旅費交通費</t>
    <rPh sb="0" eb="2">
      <t>リョヒ</t>
    </rPh>
    <rPh sb="2" eb="5">
      <t>コウツウヒ</t>
    </rPh>
    <phoneticPr fontId="2"/>
  </si>
  <si>
    <t>研修費</t>
    <rPh sb="0" eb="3">
      <t>ケンシュウヒ</t>
    </rPh>
    <phoneticPr fontId="2"/>
  </si>
  <si>
    <t>接待交際費</t>
    <rPh sb="0" eb="2">
      <t>セッタイ</t>
    </rPh>
    <rPh sb="2" eb="5">
      <t>コウサイヒ</t>
    </rPh>
    <phoneticPr fontId="2"/>
  </si>
  <si>
    <t>入金</t>
    <rPh sb="0" eb="2">
      <t>ニュウキン</t>
    </rPh>
    <phoneticPr fontId="2"/>
  </si>
  <si>
    <t>出金</t>
    <rPh sb="0" eb="2">
      <t>シュッキン</t>
    </rPh>
    <phoneticPr fontId="2"/>
  </si>
  <si>
    <t>資産</t>
    <rPh sb="0" eb="2">
      <t>シサン</t>
    </rPh>
    <phoneticPr fontId="2"/>
  </si>
  <si>
    <t>負債</t>
    <rPh sb="0" eb="2">
      <t>フサイ</t>
    </rPh>
    <phoneticPr fontId="2"/>
  </si>
  <si>
    <t>収益</t>
    <rPh sb="0" eb="2">
      <t>シュウエキ</t>
    </rPh>
    <phoneticPr fontId="2"/>
  </si>
  <si>
    <t>費用</t>
    <rPh sb="0" eb="2">
      <t>ヒヨウ</t>
    </rPh>
    <phoneticPr fontId="2"/>
  </si>
  <si>
    <t>長期前払費用</t>
    <rPh sb="0" eb="2">
      <t>チョウキ</t>
    </rPh>
    <rPh sb="2" eb="4">
      <t>マエバラ</t>
    </rPh>
    <rPh sb="4" eb="6">
      <t>ヒヨウ</t>
    </rPh>
    <phoneticPr fontId="2"/>
  </si>
  <si>
    <t>月払い</t>
    <rPh sb="0" eb="1">
      <t>ツキ</t>
    </rPh>
    <rPh sb="1" eb="2">
      <t>バラ</t>
    </rPh>
    <phoneticPr fontId="2"/>
  </si>
  <si>
    <t>1年分</t>
    <rPh sb="1" eb="3">
      <t>ネンブン</t>
    </rPh>
    <phoneticPr fontId="2"/>
  </si>
  <si>
    <t>2年分</t>
    <rPh sb="1" eb="3">
      <t>ネンブン</t>
    </rPh>
    <phoneticPr fontId="2"/>
  </si>
  <si>
    <t>1年分</t>
    <rPh sb="1" eb="2">
      <t>ネン</t>
    </rPh>
    <rPh sb="2" eb="3">
      <t>ブン</t>
    </rPh>
    <phoneticPr fontId="2"/>
  </si>
  <si>
    <t>⑬</t>
  </si>
  <si>
    <t>雑費</t>
    <rPh sb="0" eb="2">
      <t>ザッピ</t>
    </rPh>
    <phoneticPr fontId="2"/>
  </si>
  <si>
    <t>⑭</t>
  </si>
  <si>
    <t>⑮</t>
  </si>
  <si>
    <t>⑯</t>
  </si>
  <si>
    <t>⑧</t>
  </si>
  <si>
    <t>⑨</t>
  </si>
  <si>
    <t>⑩</t>
  </si>
  <si>
    <t>⑪</t>
  </si>
  <si>
    <t>⑫</t>
  </si>
  <si>
    <t>外注工賃</t>
    <rPh sb="0" eb="2">
      <t>ガイチュウ</t>
    </rPh>
    <rPh sb="2" eb="4">
      <t>コウチン</t>
    </rPh>
    <phoneticPr fontId="2"/>
  </si>
  <si>
    <t>勘定科目一覧</t>
    <rPh sb="0" eb="2">
      <t>カンジョウ</t>
    </rPh>
    <rPh sb="2" eb="4">
      <t>カモク</t>
    </rPh>
    <rPh sb="4" eb="6">
      <t>イチラン</t>
    </rPh>
    <phoneticPr fontId="2"/>
  </si>
  <si>
    <t>売上先と報酬受取の条件</t>
    <rPh sb="0" eb="2">
      <t>ウリアゲ</t>
    </rPh>
    <rPh sb="2" eb="3">
      <t>サキ</t>
    </rPh>
    <rPh sb="4" eb="6">
      <t>ホウシュウ</t>
    </rPh>
    <rPh sb="6" eb="8">
      <t>ウケトリ</t>
    </rPh>
    <rPh sb="9" eb="11">
      <t>ジョウケン</t>
    </rPh>
    <phoneticPr fontId="2"/>
  </si>
  <si>
    <t>仕訳摘要ドロップダウンリスト</t>
    <rPh sb="0" eb="2">
      <t>シワケ</t>
    </rPh>
    <rPh sb="2" eb="4">
      <t>テキヨウ</t>
    </rPh>
    <phoneticPr fontId="2"/>
  </si>
  <si>
    <t>ドロップリストダウンから勘定科目の自動入力条件設定</t>
    <rPh sb="12" eb="14">
      <t>カンジョウ</t>
    </rPh>
    <rPh sb="14" eb="16">
      <t>カモク</t>
    </rPh>
    <rPh sb="17" eb="19">
      <t>ジドウ</t>
    </rPh>
    <rPh sb="19" eb="21">
      <t>ニュウリョク</t>
    </rPh>
    <rPh sb="21" eb="23">
      <t>ジョウケン</t>
    </rPh>
    <rPh sb="23" eb="25">
      <t>セッテイ</t>
    </rPh>
    <phoneticPr fontId="2"/>
  </si>
  <si>
    <t>仕訳摘要1列目↓</t>
    <rPh sb="0" eb="2">
      <t>シワケ</t>
    </rPh>
    <rPh sb="2" eb="4">
      <t>テキヨウ</t>
    </rPh>
    <rPh sb="5" eb="6">
      <t>レツ</t>
    </rPh>
    <rPh sb="6" eb="7">
      <t>メ</t>
    </rPh>
    <phoneticPr fontId="2"/>
  </si>
  <si>
    <t>仕訳摘要2列目→</t>
    <phoneticPr fontId="2"/>
  </si>
  <si>
    <t>長期前払費用</t>
    <phoneticPr fontId="2"/>
  </si>
  <si>
    <t>エックスサーバー（カード払い）</t>
    <phoneticPr fontId="2"/>
  </si>
  <si>
    <t>クラウドワークスで記事依頼（カード払い）</t>
    <phoneticPr fontId="2"/>
  </si>
  <si>
    <t>ココナラで技術提供（カード払い）</t>
    <phoneticPr fontId="2"/>
  </si>
  <si>
    <t>新聞図書費</t>
  </si>
  <si>
    <t>Amazonアソシエイト</t>
    <phoneticPr fontId="2"/>
  </si>
  <si>
    <t>損益計算書</t>
  </si>
  <si>
    <t>科目</t>
  </si>
  <si>
    <t>金額</t>
  </si>
  <si>
    <t>売上(収入）金額</t>
  </si>
  <si>
    <t>①</t>
  </si>
  <si>
    <t>経　　　費</t>
  </si>
  <si>
    <t>消耗品費</t>
  </si>
  <si>
    <t>⑰</t>
  </si>
  <si>
    <t>各種引当金・準備金等</t>
  </si>
  <si>
    <t>繰戻額等</t>
  </si>
  <si>
    <t>貸倒引当金</t>
  </si>
  <si>
    <t>㉞</t>
  </si>
  <si>
    <t>（雑収入を含む）</t>
  </si>
  <si>
    <t>減価償却費</t>
  </si>
  <si>
    <t>⑱</t>
  </si>
  <si>
    <t>㉟</t>
  </si>
  <si>
    <t>売上原価</t>
  </si>
  <si>
    <t>期首商品（製品）棚卸高</t>
  </si>
  <si>
    <t>②</t>
  </si>
  <si>
    <t>福利厚生費</t>
  </si>
  <si>
    <t>⑲</t>
  </si>
  <si>
    <t>㊱</t>
  </si>
  <si>
    <t>仕入金額</t>
  </si>
  <si>
    <t>③</t>
  </si>
  <si>
    <t>給料賃金</t>
  </si>
  <si>
    <t>⑳</t>
  </si>
  <si>
    <t>計</t>
  </si>
  <si>
    <t>㊲</t>
  </si>
  <si>
    <t>小計（②+③）</t>
  </si>
  <si>
    <t>④</t>
  </si>
  <si>
    <t>外注工賃</t>
  </si>
  <si>
    <t>㉑</t>
  </si>
  <si>
    <t>繰入額等</t>
  </si>
  <si>
    <t>専従者給与</t>
  </si>
  <si>
    <t>㊳</t>
  </si>
  <si>
    <t>期末商品（製品）棚卸高</t>
  </si>
  <si>
    <t>⑤</t>
  </si>
  <si>
    <t>利子割引料</t>
  </si>
  <si>
    <t>㉒</t>
  </si>
  <si>
    <t>㊴</t>
  </si>
  <si>
    <t>差引原価（④-⑤）</t>
  </si>
  <si>
    <t>⑥</t>
  </si>
  <si>
    <t>地代家賃</t>
  </si>
  <si>
    <t>㉓</t>
  </si>
  <si>
    <t>㊵</t>
  </si>
  <si>
    <t>差引金額（①-⑥）</t>
  </si>
  <si>
    <t>⑦</t>
  </si>
  <si>
    <t>貸倒金</t>
  </si>
  <si>
    <t>㉔</t>
  </si>
  <si>
    <t>㊶</t>
  </si>
  <si>
    <t>㉕</t>
  </si>
  <si>
    <t>㊷</t>
  </si>
  <si>
    <t>租税公課</t>
  </si>
  <si>
    <t>㉖</t>
  </si>
  <si>
    <t>㊸</t>
  </si>
  <si>
    <t>荷造運賃</t>
  </si>
  <si>
    <t>事務用品費</t>
  </si>
  <si>
    <t>㉗</t>
  </si>
  <si>
    <t>青色申告特別控除額</t>
  </si>
  <si>
    <t>㊹</t>
  </si>
  <si>
    <t>水道光熱費</t>
  </si>
  <si>
    <t>研修費</t>
  </si>
  <si>
    <t>㉘</t>
  </si>
  <si>
    <t>所得金額
(㊸－㊹)</t>
  </si>
  <si>
    <t>㊺</t>
  </si>
  <si>
    <t>旅費交通費</t>
  </si>
  <si>
    <t>㉙</t>
  </si>
  <si>
    <t>その他経費</t>
  </si>
  <si>
    <t>㉚</t>
  </si>
  <si>
    <t>広告宣伝費</t>
  </si>
  <si>
    <t>雑費</t>
  </si>
  <si>
    <t>㉛</t>
  </si>
  <si>
    <t>接待交際費</t>
  </si>
  <si>
    <t>㉜</t>
  </si>
  <si>
    <t>損害保険料</t>
  </si>
  <si>
    <t>差引金額（⑦-㉜）</t>
  </si>
  <si>
    <t>㉝</t>
  </si>
  <si>
    <t>外注工賃</t>
    <rPh sb="0" eb="2">
      <t>ガイチュウ</t>
    </rPh>
    <rPh sb="2" eb="4">
      <t>コウチン</t>
    </rPh>
    <phoneticPr fontId="2"/>
  </si>
  <si>
    <t>月</t>
    <rPh sb="0" eb="1">
      <t>ツキ</t>
    </rPh>
    <phoneticPr fontId="19"/>
  </si>
  <si>
    <t>売上（収入）金額</t>
    <rPh sb="0" eb="2">
      <t>ウリアゲ</t>
    </rPh>
    <rPh sb="3" eb="5">
      <t>シュウニュウ</t>
    </rPh>
    <rPh sb="6" eb="8">
      <t>キンガク</t>
    </rPh>
    <phoneticPr fontId="19"/>
  </si>
  <si>
    <t>仕入金額</t>
    <rPh sb="0" eb="4">
      <t>シイレキンガク</t>
    </rPh>
    <phoneticPr fontId="19"/>
  </si>
  <si>
    <t>金額</t>
    <rPh sb="0" eb="2">
      <t>キンガク</t>
    </rPh>
    <phoneticPr fontId="2"/>
  </si>
  <si>
    <t>本年分の不動産所得の金額</t>
    <rPh sb="0" eb="3">
      <t>ホンネンブン</t>
    </rPh>
    <rPh sb="4" eb="7">
      <t>フドウサン</t>
    </rPh>
    <rPh sb="7" eb="9">
      <t>ショトク</t>
    </rPh>
    <rPh sb="10" eb="12">
      <t>キンガク</t>
    </rPh>
    <phoneticPr fontId="19"/>
  </si>
  <si>
    <t>65万円の青色
申告特別控除
を受ける場合</t>
    <rPh sb="2" eb="4">
      <t>マンエン</t>
    </rPh>
    <rPh sb="5" eb="7">
      <t>アオイロ</t>
    </rPh>
    <rPh sb="8" eb="10">
      <t>シンコク</t>
    </rPh>
    <rPh sb="10" eb="12">
      <t>トクベツ</t>
    </rPh>
    <rPh sb="12" eb="14">
      <t>コウジョ</t>
    </rPh>
    <rPh sb="16" eb="17">
      <t>ウ</t>
    </rPh>
    <rPh sb="19" eb="21">
      <t>バアイ</t>
    </rPh>
    <phoneticPr fontId="19"/>
  </si>
  <si>
    <t>65万円と⑥のいずれか少ない方の金額</t>
  </si>
  <si>
    <t>(不動産所得から差し引かれる青色申告特別控除です。)</t>
  </si>
  <si>
    <t>「65万円－⑧」と⑦のいずれか少ない方の金額</t>
  </si>
  <si>
    <t>10万円と⑥のいずれか少ない方の金額</t>
  </si>
  <si>
    <t>「10万円－⑧」と⑦のいずれか少ない方の金額</t>
  </si>
  <si>
    <t>家事
消費等</t>
    <rPh sb="0" eb="2">
      <t>カジ</t>
    </rPh>
    <rPh sb="3" eb="6">
      <t>ショウヒトウ</t>
    </rPh>
    <phoneticPr fontId="2"/>
  </si>
  <si>
    <t>雑収入</t>
    <rPh sb="0" eb="3">
      <t>ザッシュウニュウ</t>
    </rPh>
    <phoneticPr fontId="2"/>
  </si>
  <si>
    <t>計</t>
    <rPh sb="0" eb="1">
      <t>ケイ</t>
    </rPh>
    <phoneticPr fontId="2"/>
  </si>
  <si>
    <t>⑨</t>
    <phoneticPr fontId="2"/>
  </si>
  <si>
    <t>売上(収入）金額</t>
    <rPh sb="0" eb="2">
      <t>ウリアゲ</t>
    </rPh>
    <rPh sb="3" eb="5">
      <t>シュウニュウ</t>
    </rPh>
    <rPh sb="6" eb="8">
      <t>キンガク</t>
    </rPh>
    <phoneticPr fontId="2"/>
  </si>
  <si>
    <t>経　　　費</t>
    <rPh sb="0" eb="1">
      <t>ヘ</t>
    </rPh>
    <rPh sb="4" eb="5">
      <t>ヒ</t>
    </rPh>
    <phoneticPr fontId="2"/>
  </si>
  <si>
    <t>減価償却費</t>
    <rPh sb="0" eb="2">
      <t>ゲンカ</t>
    </rPh>
    <rPh sb="2" eb="4">
      <t>ショウキャク</t>
    </rPh>
    <rPh sb="4" eb="5">
      <t>ヒ</t>
    </rPh>
    <phoneticPr fontId="2"/>
  </si>
  <si>
    <t>売上原価</t>
    <rPh sb="0" eb="2">
      <t>ウリアゲ</t>
    </rPh>
    <rPh sb="2" eb="4">
      <t>ゲンカ</t>
    </rPh>
    <phoneticPr fontId="2"/>
  </si>
  <si>
    <t>期首商品（製品）棚卸高</t>
    <rPh sb="0" eb="2">
      <t>キシュ</t>
    </rPh>
    <rPh sb="2" eb="4">
      <t>ショウヒン</t>
    </rPh>
    <rPh sb="5" eb="7">
      <t>セイヒン</t>
    </rPh>
    <rPh sb="8" eb="10">
      <t>タナオロシ</t>
    </rPh>
    <rPh sb="10" eb="11">
      <t>ダカ</t>
    </rPh>
    <phoneticPr fontId="2"/>
  </si>
  <si>
    <t>福利厚生費</t>
    <rPh sb="0" eb="2">
      <t>フクリ</t>
    </rPh>
    <rPh sb="2" eb="5">
      <t>コウセイヒ</t>
    </rPh>
    <phoneticPr fontId="2"/>
  </si>
  <si>
    <t>給料賃金</t>
    <rPh sb="0" eb="2">
      <t>キュウリョウ</t>
    </rPh>
    <rPh sb="2" eb="4">
      <t>チンギン</t>
    </rPh>
    <phoneticPr fontId="2"/>
  </si>
  <si>
    <t>期末商品（製品）棚卸高</t>
    <rPh sb="0" eb="2">
      <t>キマツ</t>
    </rPh>
    <rPh sb="2" eb="4">
      <t>ショウヒン</t>
    </rPh>
    <rPh sb="5" eb="7">
      <t>セイヒン</t>
    </rPh>
    <rPh sb="8" eb="10">
      <t>タナオロシ</t>
    </rPh>
    <rPh sb="10" eb="11">
      <t>ダカ</t>
    </rPh>
    <phoneticPr fontId="2"/>
  </si>
  <si>
    <t>地代家賃</t>
    <rPh sb="0" eb="2">
      <t>チダイ</t>
    </rPh>
    <rPh sb="2" eb="4">
      <t>ヤチン</t>
    </rPh>
    <phoneticPr fontId="2"/>
  </si>
  <si>
    <t>租税公課</t>
    <rPh sb="0" eb="2">
      <t>ソゼイ</t>
    </rPh>
    <rPh sb="2" eb="4">
      <t>コウカ</t>
    </rPh>
    <phoneticPr fontId="2"/>
  </si>
  <si>
    <t>水道光熱費</t>
    <rPh sb="0" eb="2">
      <t>スイドウ</t>
    </rPh>
    <rPh sb="2" eb="5">
      <t>コウネツヒ</t>
    </rPh>
    <phoneticPr fontId="2"/>
  </si>
  <si>
    <t>広告宣伝費</t>
    <rPh sb="0" eb="2">
      <t>コウコク</t>
    </rPh>
    <rPh sb="2" eb="5">
      <t>センデンヒ</t>
    </rPh>
    <phoneticPr fontId="2"/>
  </si>
  <si>
    <t>損害保険料</t>
    <rPh sb="0" eb="2">
      <t>ソンガイ</t>
    </rPh>
    <rPh sb="2" eb="4">
      <t>ホケン</t>
    </rPh>
    <rPh sb="4" eb="5">
      <t>リョウ</t>
    </rPh>
    <phoneticPr fontId="2"/>
  </si>
  <si>
    <t>修繕費</t>
    <rPh sb="0" eb="3">
      <t>シュウゼンヒ</t>
    </rPh>
    <phoneticPr fontId="2"/>
  </si>
  <si>
    <t xml:space="preserve">
面積
又は
数量</t>
    <rPh sb="1" eb="3">
      <t>メンセキ</t>
    </rPh>
    <rPh sb="4" eb="5">
      <t>マタ</t>
    </rPh>
    <rPh sb="7" eb="9">
      <t>スウリョウ</t>
    </rPh>
    <phoneticPr fontId="2"/>
  </si>
  <si>
    <t>(イ)
取得価格</t>
    <rPh sb="5" eb="9">
      <t>シュトクカカク</t>
    </rPh>
    <phoneticPr fontId="2"/>
  </si>
  <si>
    <t>(二)</t>
    <rPh sb="1" eb="2">
      <t>ニ</t>
    </rPh>
    <phoneticPr fontId="2"/>
  </si>
  <si>
    <t>摘要</t>
    <rPh sb="0" eb="2">
      <t>テキヨウ</t>
    </rPh>
    <phoneticPr fontId="2"/>
  </si>
  <si>
    <r>
      <t xml:space="preserve">償却率
又は
</t>
    </r>
    <r>
      <rPr>
        <sz val="6"/>
        <color indexed="8"/>
        <rFont val="メイリオ"/>
        <family val="3"/>
        <charset val="128"/>
      </rPr>
      <t>改定償却率</t>
    </r>
    <rPh sb="4" eb="5">
      <t>マタ</t>
    </rPh>
    <phoneticPr fontId="2"/>
  </si>
  <si>
    <t>未償却残高</t>
    <rPh sb="0" eb="3">
      <t>ミショウキャク</t>
    </rPh>
    <rPh sb="3" eb="5">
      <t>ザンダカ</t>
    </rPh>
    <phoneticPr fontId="2"/>
  </si>
  <si>
    <t>（償却保証額）</t>
    <rPh sb="1" eb="3">
      <t>ショウキャク</t>
    </rPh>
    <rPh sb="3" eb="5">
      <t>ホショウ</t>
    </rPh>
    <rPh sb="5" eb="6">
      <t>ガク</t>
    </rPh>
    <phoneticPr fontId="2"/>
  </si>
  <si>
    <r>
      <t>貸借対照表</t>
    </r>
    <r>
      <rPr>
        <b/>
        <u val="double"/>
        <sz val="11"/>
        <color theme="1"/>
        <rFont val="メイリオ"/>
        <family val="3"/>
        <charset val="128"/>
      </rPr>
      <t>（資産負債調）</t>
    </r>
    <rPh sb="0" eb="2">
      <t>タイシャク</t>
    </rPh>
    <rPh sb="2" eb="5">
      <t>タイショウヒョウ</t>
    </rPh>
    <rPh sb="6" eb="8">
      <t>シサン</t>
    </rPh>
    <rPh sb="8" eb="10">
      <t>フサイ</t>
    </rPh>
    <rPh sb="10" eb="11">
      <t>チョウ</t>
    </rPh>
    <phoneticPr fontId="2"/>
  </si>
  <si>
    <t>資産の部</t>
    <rPh sb="0" eb="2">
      <t>シサン</t>
    </rPh>
    <rPh sb="3" eb="4">
      <t>ブ</t>
    </rPh>
    <phoneticPr fontId="2"/>
  </si>
  <si>
    <t>負債・資本の部</t>
    <rPh sb="0" eb="2">
      <t>フサイ</t>
    </rPh>
    <rPh sb="3" eb="5">
      <t>シホン</t>
    </rPh>
    <rPh sb="6" eb="7">
      <t>ブ</t>
    </rPh>
    <phoneticPr fontId="2"/>
  </si>
  <si>
    <t>12月31日(期末)</t>
    <rPh sb="2" eb="3">
      <t>ガツ</t>
    </rPh>
    <rPh sb="5" eb="6">
      <t>ニチ</t>
    </rPh>
    <rPh sb="7" eb="9">
      <t>キマツ</t>
    </rPh>
    <phoneticPr fontId="2"/>
  </si>
  <si>
    <t>支払手形</t>
    <rPh sb="0" eb="4">
      <t>シハライテガタ</t>
    </rPh>
    <phoneticPr fontId="2"/>
  </si>
  <si>
    <t>当座預金</t>
    <rPh sb="0" eb="4">
      <t>トウザヨキン</t>
    </rPh>
    <phoneticPr fontId="2"/>
  </si>
  <si>
    <t>買掛金</t>
    <rPh sb="0" eb="3">
      <t>カイカケキン</t>
    </rPh>
    <phoneticPr fontId="2"/>
  </si>
  <si>
    <t>定期預金</t>
    <rPh sb="0" eb="4">
      <t>テイキヨキン</t>
    </rPh>
    <phoneticPr fontId="2"/>
  </si>
  <si>
    <t>借入金</t>
    <rPh sb="0" eb="3">
      <t>カリイレキン</t>
    </rPh>
    <phoneticPr fontId="2"/>
  </si>
  <si>
    <t>未払金</t>
    <rPh sb="0" eb="3">
      <t>ミバライキン</t>
    </rPh>
    <phoneticPr fontId="2"/>
  </si>
  <si>
    <t>受取手形</t>
    <rPh sb="0" eb="4">
      <t>ウケトリテガタ</t>
    </rPh>
    <phoneticPr fontId="2"/>
  </si>
  <si>
    <t>前受金</t>
    <rPh sb="0" eb="3">
      <t>マエウケキン</t>
    </rPh>
    <phoneticPr fontId="2"/>
  </si>
  <si>
    <t>売掛金</t>
    <rPh sb="0" eb="3">
      <t>ウリカケキン</t>
    </rPh>
    <phoneticPr fontId="2"/>
  </si>
  <si>
    <t>預り金</t>
    <rPh sb="0" eb="1">
      <t>アズカ</t>
    </rPh>
    <rPh sb="2" eb="3">
      <t>キン</t>
    </rPh>
    <phoneticPr fontId="2"/>
  </si>
  <si>
    <t>有価証券</t>
    <rPh sb="0" eb="4">
      <t>ユウカショウケン</t>
    </rPh>
    <phoneticPr fontId="2"/>
  </si>
  <si>
    <t>棚卸資産</t>
    <rPh sb="0" eb="2">
      <t>タナオロシ</t>
    </rPh>
    <rPh sb="2" eb="4">
      <t>シサン</t>
    </rPh>
    <phoneticPr fontId="2"/>
  </si>
  <si>
    <t>前払金</t>
    <rPh sb="0" eb="3">
      <t>マエバライキン</t>
    </rPh>
    <phoneticPr fontId="2"/>
  </si>
  <si>
    <t>貸付金</t>
    <rPh sb="0" eb="2">
      <t>カシツケ</t>
    </rPh>
    <rPh sb="2" eb="3">
      <t>キン</t>
    </rPh>
    <phoneticPr fontId="2"/>
  </si>
  <si>
    <t>建物</t>
    <rPh sb="0" eb="2">
      <t>タテモノ</t>
    </rPh>
    <phoneticPr fontId="2"/>
  </si>
  <si>
    <t>建物附属設備</t>
    <rPh sb="0" eb="2">
      <t>タテモノ</t>
    </rPh>
    <rPh sb="2" eb="4">
      <t>フゾク</t>
    </rPh>
    <rPh sb="4" eb="6">
      <t>セツビ</t>
    </rPh>
    <phoneticPr fontId="2"/>
  </si>
  <si>
    <t>機械装置</t>
    <rPh sb="0" eb="2">
      <t>キカイ</t>
    </rPh>
    <rPh sb="2" eb="4">
      <t>ソウチ</t>
    </rPh>
    <phoneticPr fontId="2"/>
  </si>
  <si>
    <t>車両運搬具</t>
    <rPh sb="0" eb="5">
      <t>シャリョウウンパング</t>
    </rPh>
    <phoneticPr fontId="2"/>
  </si>
  <si>
    <t>貸倒引当金</t>
    <rPh sb="0" eb="5">
      <t>カシダオレヒキアテキン</t>
    </rPh>
    <phoneticPr fontId="2"/>
  </si>
  <si>
    <t>土地</t>
    <rPh sb="0" eb="2">
      <t>トチ</t>
    </rPh>
    <phoneticPr fontId="2"/>
  </si>
  <si>
    <t>事業主借</t>
    <rPh sb="0" eb="4">
      <t>ジギョウヌシカリ</t>
    </rPh>
    <phoneticPr fontId="2"/>
  </si>
  <si>
    <t>元入金</t>
    <rPh sb="0" eb="3">
      <t>モトイレキン</t>
    </rPh>
    <phoneticPr fontId="2"/>
  </si>
  <si>
    <t>事業主貸</t>
    <rPh sb="0" eb="4">
      <t>ジギョウヌシカシ</t>
    </rPh>
    <phoneticPr fontId="2"/>
  </si>
  <si>
    <t>青色申告特別控除前の所得金額</t>
    <rPh sb="0" eb="8">
      <t>アオイロシンコクトクベツコウジョ</t>
    </rPh>
    <rPh sb="8" eb="9">
      <t>マエ</t>
    </rPh>
    <rPh sb="10" eb="14">
      <t>ショトクキンガク</t>
    </rPh>
    <phoneticPr fontId="2"/>
  </si>
  <si>
    <r>
      <t>収支内訳書</t>
    </r>
    <r>
      <rPr>
        <b/>
        <u val="double"/>
        <sz val="14"/>
        <color theme="1"/>
        <rFont val="メイリオ"/>
        <family val="3"/>
        <charset val="128"/>
      </rPr>
      <t>（一般）</t>
    </r>
    <rPh sb="0" eb="2">
      <t>シュウシ</t>
    </rPh>
    <rPh sb="2" eb="5">
      <t>ウチワケショ</t>
    </rPh>
    <rPh sb="6" eb="8">
      <t>イッパン</t>
    </rPh>
    <phoneticPr fontId="2"/>
  </si>
  <si>
    <t>収入金額</t>
    <rPh sb="0" eb="2">
      <t>シュウニュウ</t>
    </rPh>
    <rPh sb="2" eb="4">
      <t>キンガク</t>
    </rPh>
    <phoneticPr fontId="2"/>
  </si>
  <si>
    <t>その他の経費</t>
    <rPh sb="2" eb="3">
      <t>タ</t>
    </rPh>
    <rPh sb="4" eb="6">
      <t>ケイヒ</t>
    </rPh>
    <phoneticPr fontId="2"/>
  </si>
  <si>
    <t>家事消費</t>
    <rPh sb="0" eb="2">
      <t>カジ</t>
    </rPh>
    <rPh sb="2" eb="4">
      <t>ショウヒ</t>
    </rPh>
    <phoneticPr fontId="2"/>
  </si>
  <si>
    <t>その他の収入</t>
    <rPh sb="2" eb="3">
      <t>タ</t>
    </rPh>
    <rPh sb="4" eb="6">
      <t>シュウニュウ</t>
    </rPh>
    <phoneticPr fontId="2"/>
  </si>
  <si>
    <t>小計（①＋②+③）</t>
    <rPh sb="0" eb="2">
      <t>ショウケイ</t>
    </rPh>
    <phoneticPr fontId="2"/>
  </si>
  <si>
    <t>仕入金額（製品製造原価）</t>
    <rPh sb="0" eb="2">
      <t>シイレ</t>
    </rPh>
    <rPh sb="2" eb="4">
      <t>キンガク</t>
    </rPh>
    <rPh sb="5" eb="7">
      <t>セイヒン</t>
    </rPh>
    <rPh sb="7" eb="9">
      <t>セイゾウ</t>
    </rPh>
    <rPh sb="9" eb="11">
      <t>ゲンカ</t>
    </rPh>
    <phoneticPr fontId="2"/>
  </si>
  <si>
    <t>小計（⑤+⑥）</t>
    <rPh sb="0" eb="2">
      <t>ショウケイ</t>
    </rPh>
    <phoneticPr fontId="2"/>
  </si>
  <si>
    <t>差引原価（⑦-⑧）</t>
    <rPh sb="0" eb="2">
      <t>サシヒキ</t>
    </rPh>
    <rPh sb="2" eb="4">
      <t>ゲンカ</t>
    </rPh>
    <phoneticPr fontId="2"/>
  </si>
  <si>
    <t>差引金額（④-⑨）</t>
    <rPh sb="0" eb="2">
      <t>サシヒキ</t>
    </rPh>
    <rPh sb="2" eb="4">
      <t>キンガク</t>
    </rPh>
    <phoneticPr fontId="2"/>
  </si>
  <si>
    <t>貸倒金</t>
    <rPh sb="0" eb="3">
      <t>カシダオレキン</t>
    </rPh>
    <phoneticPr fontId="2"/>
  </si>
  <si>
    <t>小計（イ～レまでの計）</t>
    <rPh sb="0" eb="2">
      <t>ショウケイ</t>
    </rPh>
    <rPh sb="9" eb="10">
      <t>ケイ</t>
    </rPh>
    <phoneticPr fontId="2"/>
  </si>
  <si>
    <t>利子割引料</t>
    <rPh sb="0" eb="2">
      <t>リシ</t>
    </rPh>
    <rPh sb="2" eb="4">
      <t>ワリビキ</t>
    </rPh>
    <rPh sb="4" eb="5">
      <t>リョウ</t>
    </rPh>
    <phoneticPr fontId="2"/>
  </si>
  <si>
    <t>専従者控除前の所得金額（⑩-⑱）</t>
    <rPh sb="0" eb="3">
      <t>センジュウシャ</t>
    </rPh>
    <rPh sb="3" eb="5">
      <t>コウジョ</t>
    </rPh>
    <rPh sb="5" eb="6">
      <t>マエ</t>
    </rPh>
    <rPh sb="7" eb="9">
      <t>ショトク</t>
    </rPh>
    <rPh sb="9" eb="11">
      <t>キンガク</t>
    </rPh>
    <phoneticPr fontId="2"/>
  </si>
  <si>
    <t>荷造運賃</t>
    <rPh sb="0" eb="1">
      <t>ニ</t>
    </rPh>
    <rPh sb="1" eb="2">
      <t>ツク</t>
    </rPh>
    <rPh sb="2" eb="4">
      <t>ウンチン</t>
    </rPh>
    <phoneticPr fontId="2"/>
  </si>
  <si>
    <t>専従者控除</t>
    <rPh sb="0" eb="3">
      <t>センジュウシャ</t>
    </rPh>
    <rPh sb="3" eb="5">
      <t>コウジョ</t>
    </rPh>
    <phoneticPr fontId="2"/>
  </si>
  <si>
    <t>所得金額（⑲-⑳）</t>
    <rPh sb="0" eb="2">
      <t>ショトク</t>
    </rPh>
    <rPh sb="2" eb="4">
      <t>キンガク</t>
    </rPh>
    <phoneticPr fontId="2"/>
  </si>
  <si>
    <t>売上（収入）金額の明細</t>
    <rPh sb="0" eb="2">
      <t>ウリアゲ</t>
    </rPh>
    <rPh sb="3" eb="5">
      <t>シュウニュウ</t>
    </rPh>
    <rPh sb="6" eb="8">
      <t>キンガク</t>
    </rPh>
    <rPh sb="9" eb="11">
      <t>メイサイ</t>
    </rPh>
    <phoneticPr fontId="2"/>
  </si>
  <si>
    <t>売上先名</t>
    <rPh sb="0" eb="2">
      <t>ウリアゲ</t>
    </rPh>
    <rPh sb="2" eb="3">
      <t>サキ</t>
    </rPh>
    <rPh sb="3" eb="4">
      <t>メイ</t>
    </rPh>
    <phoneticPr fontId="2"/>
  </si>
  <si>
    <t>所在地</t>
    <rPh sb="0" eb="3">
      <t>ショザイチ</t>
    </rPh>
    <phoneticPr fontId="2"/>
  </si>
  <si>
    <t>売上（収入）金額</t>
    <rPh sb="0" eb="2">
      <t>ウリアゲ</t>
    </rPh>
    <rPh sb="3" eb="5">
      <t>シュウニュウ</t>
    </rPh>
    <rPh sb="6" eb="8">
      <t>キンガク</t>
    </rPh>
    <phoneticPr fontId="2"/>
  </si>
  <si>
    <t>上記以外の売上先の計</t>
    <rPh sb="0" eb="2">
      <t>ジョウキ</t>
    </rPh>
    <rPh sb="2" eb="4">
      <t>イガイ</t>
    </rPh>
    <rPh sb="5" eb="7">
      <t>ウリアゲ</t>
    </rPh>
    <rPh sb="7" eb="8">
      <t>サキ</t>
    </rPh>
    <rPh sb="9" eb="10">
      <t>ケイ</t>
    </rPh>
    <phoneticPr fontId="2"/>
  </si>
  <si>
    <t>減価償却費の計算</t>
    <rPh sb="0" eb="2">
      <t>ゲンカ</t>
    </rPh>
    <rPh sb="2" eb="4">
      <t>ショウキャク</t>
    </rPh>
    <rPh sb="4" eb="5">
      <t>ヒ</t>
    </rPh>
    <rPh sb="6" eb="8">
      <t>ケイサン</t>
    </rPh>
    <phoneticPr fontId="2"/>
  </si>
  <si>
    <t>～</t>
    <phoneticPr fontId="2"/>
  </si>
  <si>
    <t>Amazonギフト券受取</t>
    <rPh sb="9" eb="10">
      <t>ケン</t>
    </rPh>
    <rPh sb="10" eb="12">
      <t>ウケトリ</t>
    </rPh>
    <phoneticPr fontId="2"/>
  </si>
  <si>
    <t>帳　　票</t>
    <rPh sb="0" eb="1">
      <t>チョウ</t>
    </rPh>
    <rPh sb="3" eb="4">
      <t>ヒョウ</t>
    </rPh>
    <phoneticPr fontId="2"/>
  </si>
  <si>
    <t>合計</t>
    <rPh sb="0" eb="2">
      <t>ゴウケイ</t>
    </rPh>
    <phoneticPr fontId="2"/>
  </si>
  <si>
    <t>小　計　</t>
    <rPh sb="0" eb="1">
      <t>コ</t>
    </rPh>
    <rPh sb="2" eb="3">
      <t>ケイ</t>
    </rPh>
    <phoneticPr fontId="2"/>
  </si>
  <si>
    <t>Googleアドセンス</t>
    <phoneticPr fontId="2"/>
  </si>
  <si>
    <t>Amazonアソシエイト</t>
    <phoneticPr fontId="2"/>
  </si>
  <si>
    <t>工具器具備品</t>
    <rPh sb="0" eb="2">
      <t>コウグ</t>
    </rPh>
    <rPh sb="2" eb="4">
      <t>キグ</t>
    </rPh>
    <rPh sb="4" eb="6">
      <t>ビヒン</t>
    </rPh>
    <phoneticPr fontId="2"/>
  </si>
  <si>
    <t>雑収入</t>
    <rPh sb="0" eb="3">
      <t>ザツシュウニュウ</t>
    </rPh>
    <phoneticPr fontId="2"/>
  </si>
  <si>
    <t>租税公課</t>
    <rPh sb="0" eb="2">
      <t>ソゼイ</t>
    </rPh>
    <rPh sb="2" eb="4">
      <t>コウカ</t>
    </rPh>
    <phoneticPr fontId="1"/>
  </si>
  <si>
    <t>バリューコマース</t>
    <phoneticPr fontId="2"/>
  </si>
  <si>
    <t>Moba8.net</t>
    <phoneticPr fontId="2"/>
  </si>
  <si>
    <t>nend</t>
    <phoneticPr fontId="2"/>
  </si>
  <si>
    <t>工具器具備品</t>
    <phoneticPr fontId="2"/>
  </si>
  <si>
    <t>予備.2</t>
    <rPh sb="0" eb="2">
      <t>ヨビ</t>
    </rPh>
    <phoneticPr fontId="2"/>
  </si>
  <si>
    <t>予備.1</t>
    <rPh sb="0" eb="2">
      <t>ヨビ</t>
    </rPh>
    <phoneticPr fontId="2"/>
  </si>
  <si>
    <t>予備.3</t>
    <rPh sb="0" eb="2">
      <t>ヨビ</t>
    </rPh>
    <phoneticPr fontId="2"/>
  </si>
  <si>
    <t>・表紙シートより右側のシートは、コピーしても、マクロでは、データは反映しません。</t>
    <rPh sb="1" eb="3">
      <t>ヒョウシ</t>
    </rPh>
    <rPh sb="8" eb="10">
      <t>ミギガワ</t>
    </rPh>
    <rPh sb="33" eb="35">
      <t>ハンエイ</t>
    </rPh>
    <phoneticPr fontId="2"/>
  </si>
  <si>
    <t>・シート名は、好きに変更できます。</t>
    <rPh sb="4" eb="5">
      <t>メイ</t>
    </rPh>
    <rPh sb="7" eb="8">
      <t>ス</t>
    </rPh>
    <rPh sb="10" eb="12">
      <t>ヘンコウ</t>
    </rPh>
    <phoneticPr fontId="2"/>
  </si>
  <si>
    <t>・シートを追加もできます。マクロとは、関係のない、普通のシートとなります。</t>
    <rPh sb="5" eb="7">
      <t>ツイカ</t>
    </rPh>
    <rPh sb="19" eb="21">
      <t>カンケイ</t>
    </rPh>
    <rPh sb="25" eb="27">
      <t>フツウ</t>
    </rPh>
    <phoneticPr fontId="2"/>
  </si>
  <si>
    <t>（この場合のシートは、シート削除もできます。当初のシートでない限り、自由です。）</t>
    <rPh sb="3" eb="5">
      <t>バアイ</t>
    </rPh>
    <rPh sb="14" eb="16">
      <t>サクジョ</t>
    </rPh>
    <rPh sb="22" eb="24">
      <t>トウショ</t>
    </rPh>
    <rPh sb="31" eb="32">
      <t>カギ</t>
    </rPh>
    <rPh sb="34" eb="36">
      <t>ジユウ</t>
    </rPh>
    <phoneticPr fontId="2"/>
  </si>
  <si>
    <t>事業主借</t>
  </si>
  <si>
    <t>売上先予備1</t>
    <rPh sb="0" eb="2">
      <t>ウリアゲ</t>
    </rPh>
    <rPh sb="2" eb="3">
      <t>サキ</t>
    </rPh>
    <rPh sb="3" eb="5">
      <t>ヨビ</t>
    </rPh>
    <phoneticPr fontId="2"/>
  </si>
  <si>
    <t>期首残高</t>
    <rPh sb="0" eb="2">
      <t>キシュ</t>
    </rPh>
    <rPh sb="2" eb="4">
      <t>ザンダカ</t>
    </rPh>
    <phoneticPr fontId="2"/>
  </si>
  <si>
    <t>今期合計</t>
    <rPh sb="0" eb="2">
      <t>コンキ</t>
    </rPh>
    <rPh sb="2" eb="4">
      <t>ゴウケイ</t>
    </rPh>
    <phoneticPr fontId="2"/>
  </si>
  <si>
    <t>元入金</t>
    <rPh sb="0" eb="1">
      <t>モト</t>
    </rPh>
    <rPh sb="1" eb="2">
      <t>イ</t>
    </rPh>
    <rPh sb="2" eb="3">
      <t>キン</t>
    </rPh>
    <phoneticPr fontId="2"/>
  </si>
  <si>
    <t>試算表</t>
    <rPh sb="0" eb="3">
      <t>シサンヒョウ</t>
    </rPh>
    <phoneticPr fontId="2"/>
  </si>
  <si>
    <t>修正記入</t>
    <rPh sb="0" eb="2">
      <t>シュウセイ</t>
    </rPh>
    <rPh sb="2" eb="4">
      <t>キニュウ</t>
    </rPh>
    <phoneticPr fontId="2"/>
  </si>
  <si>
    <t>損益計算書</t>
    <rPh sb="0" eb="2">
      <t>ソンエキ</t>
    </rPh>
    <rPh sb="2" eb="5">
      <t>ケイサンショ</t>
    </rPh>
    <phoneticPr fontId="2"/>
  </si>
  <si>
    <t>貸借対照表</t>
    <rPh sb="0" eb="2">
      <t>タイシャク</t>
    </rPh>
    <rPh sb="2" eb="5">
      <t>タイショウヒョウ</t>
    </rPh>
    <phoneticPr fontId="2"/>
  </si>
  <si>
    <t/>
  </si>
  <si>
    <t>当期純利益</t>
    <rPh sb="0" eb="2">
      <t>トウキ</t>
    </rPh>
    <rPh sb="2" eb="5">
      <t>ジュンリエキ</t>
    </rPh>
    <phoneticPr fontId="2"/>
  </si>
  <si>
    <t>書籍購入(アマゾンにてギフト券利用)</t>
    <rPh sb="0" eb="2">
      <t>ショセキ</t>
    </rPh>
    <rPh sb="2" eb="4">
      <t>コウニュウ</t>
    </rPh>
    <rPh sb="15" eb="17">
      <t>リヨウ</t>
    </rPh>
    <phoneticPr fontId="2"/>
  </si>
  <si>
    <t>書籍購入(アマゾンにてカード払い)</t>
    <rPh sb="0" eb="2">
      <t>ショセキ</t>
    </rPh>
    <rPh sb="2" eb="4">
      <t>コウニュウ</t>
    </rPh>
    <rPh sb="14" eb="15">
      <t>ハラ</t>
    </rPh>
    <phoneticPr fontId="2"/>
  </si>
  <si>
    <t>書籍購入(アマゾンにてポイント利用)</t>
    <rPh sb="0" eb="2">
      <t>ショセキ</t>
    </rPh>
    <rPh sb="2" eb="4">
      <t>コウニュウ</t>
    </rPh>
    <rPh sb="15" eb="17">
      <t>リヨウ</t>
    </rPh>
    <phoneticPr fontId="2"/>
  </si>
  <si>
    <t>アマゾンギフト券にて</t>
    <phoneticPr fontId="2"/>
  </si>
  <si>
    <t>アマゾンにてカード払いで</t>
    <rPh sb="9" eb="10">
      <t>ハラ</t>
    </rPh>
    <phoneticPr fontId="2"/>
  </si>
  <si>
    <t>アマゾンポイント利用にて</t>
    <rPh sb="8" eb="10">
      <t>リヨウ</t>
    </rPh>
    <phoneticPr fontId="2"/>
  </si>
  <si>
    <t>振込</t>
    <rPh sb="0" eb="2">
      <t>フリコミ</t>
    </rPh>
    <phoneticPr fontId="2"/>
  </si>
  <si>
    <t>nend</t>
    <phoneticPr fontId="2"/>
  </si>
  <si>
    <t>管理
No.</t>
    <rPh sb="0" eb="2">
      <t>カンリ</t>
    </rPh>
    <phoneticPr fontId="2"/>
  </si>
  <si>
    <t>減価償却資産の
名称等</t>
    <rPh sb="0" eb="2">
      <t>ゲンカ</t>
    </rPh>
    <rPh sb="2" eb="4">
      <t>ショウキャク</t>
    </rPh>
    <rPh sb="4" eb="6">
      <t>シサン</t>
    </rPh>
    <rPh sb="8" eb="10">
      <t>メイショウ</t>
    </rPh>
    <rPh sb="10" eb="11">
      <t>ナド</t>
    </rPh>
    <phoneticPr fontId="19"/>
  </si>
  <si>
    <r>
      <t xml:space="preserve">期首の
未償却残高
</t>
    </r>
    <r>
      <rPr>
        <sz val="8"/>
        <rFont val="メイリオ"/>
        <family val="3"/>
        <charset val="128"/>
      </rPr>
      <t>（前年末残高</t>
    </r>
    <r>
      <rPr>
        <sz val="10"/>
        <rFont val="メイリオ"/>
        <family val="3"/>
        <charset val="128"/>
      </rPr>
      <t>）</t>
    </r>
    <rPh sb="0" eb="2">
      <t>キシュ</t>
    </rPh>
    <rPh sb="4" eb="7">
      <t>ミショウキャク</t>
    </rPh>
    <rPh sb="7" eb="9">
      <t>ザンダカ</t>
    </rPh>
    <rPh sb="11" eb="13">
      <t>ゼンネン</t>
    </rPh>
    <rPh sb="13" eb="14">
      <t>マツ</t>
    </rPh>
    <rPh sb="14" eb="16">
      <t>ザンダカ</t>
    </rPh>
    <phoneticPr fontId="19"/>
  </si>
  <si>
    <t>償却累計額</t>
    <rPh sb="0" eb="2">
      <t>ショウキャク</t>
    </rPh>
    <phoneticPr fontId="19"/>
  </si>
  <si>
    <t>面積
又は
数量</t>
    <rPh sb="0" eb="2">
      <t>メンセキ</t>
    </rPh>
    <rPh sb="3" eb="4">
      <t>マタ</t>
    </rPh>
    <rPh sb="6" eb="8">
      <t>スウリョウ</t>
    </rPh>
    <phoneticPr fontId="19"/>
  </si>
  <si>
    <t>取得
年月</t>
    <rPh sb="0" eb="2">
      <t>シュトク</t>
    </rPh>
    <rPh sb="3" eb="5">
      <t>ネンゲツ</t>
    </rPh>
    <phoneticPr fontId="19"/>
  </si>
  <si>
    <t>①取得価額</t>
    <rPh sb="1" eb="3">
      <t>シュトク</t>
    </rPh>
    <rPh sb="3" eb="5">
      <t>カガク</t>
    </rPh>
    <phoneticPr fontId="19"/>
  </si>
  <si>
    <t>改定取得価額</t>
    <rPh sb="0" eb="2">
      <t>カイテイ</t>
    </rPh>
    <rPh sb="2" eb="4">
      <t>シュトク</t>
    </rPh>
    <rPh sb="4" eb="6">
      <t>カガク</t>
    </rPh>
    <phoneticPr fontId="19"/>
  </si>
  <si>
    <t>償却
方法</t>
    <rPh sb="0" eb="2">
      <t>ショウキャク</t>
    </rPh>
    <rPh sb="3" eb="5">
      <t>ホウホウ</t>
    </rPh>
    <phoneticPr fontId="19"/>
  </si>
  <si>
    <t>耐用
年数</t>
    <rPh sb="0" eb="2">
      <t>タイヨウ</t>
    </rPh>
    <rPh sb="3" eb="5">
      <t>ネンスウ</t>
    </rPh>
    <phoneticPr fontId="19"/>
  </si>
  <si>
    <t>経過
年数</t>
    <rPh sb="0" eb="2">
      <t>ケイカ</t>
    </rPh>
    <rPh sb="3" eb="5">
      <t>ネンスウ</t>
    </rPh>
    <phoneticPr fontId="19"/>
  </si>
  <si>
    <t>②償却の基礎
になる金額</t>
    <rPh sb="1" eb="3">
      <t>ショウキャク</t>
    </rPh>
    <rPh sb="4" eb="6">
      <t>キソ</t>
    </rPh>
    <rPh sb="10" eb="12">
      <t>キンガク</t>
    </rPh>
    <phoneticPr fontId="19"/>
  </si>
  <si>
    <t>③償却率</t>
    <rPh sb="1" eb="3">
      <t>ショウキャク</t>
    </rPh>
    <rPh sb="3" eb="4">
      <t>リツ</t>
    </rPh>
    <phoneticPr fontId="19"/>
  </si>
  <si>
    <t>改定
償却率</t>
    <rPh sb="0" eb="2">
      <t>カイテイ</t>
    </rPh>
    <rPh sb="3" eb="5">
      <t>ショウキャク</t>
    </rPh>
    <rPh sb="5" eb="6">
      <t>リツ</t>
    </rPh>
    <phoneticPr fontId="19"/>
  </si>
  <si>
    <t>償却
保証率</t>
    <rPh sb="0" eb="2">
      <t>ショウキャク</t>
    </rPh>
    <rPh sb="3" eb="5">
      <t>ホショウ</t>
    </rPh>
    <rPh sb="5" eb="6">
      <t>リツ</t>
    </rPh>
    <phoneticPr fontId="19"/>
  </si>
  <si>
    <t>償却保証額</t>
    <rPh sb="0" eb="2">
      <t>ショウキャク</t>
    </rPh>
    <rPh sb="2" eb="4">
      <t>ホショウ</t>
    </rPh>
    <rPh sb="4" eb="5">
      <t>ガク</t>
    </rPh>
    <phoneticPr fontId="19"/>
  </si>
  <si>
    <t>④本年中の償却期間</t>
    <rPh sb="5" eb="7">
      <t>ショウキャク</t>
    </rPh>
    <rPh sb="7" eb="9">
      <t>キカン</t>
    </rPh>
    <phoneticPr fontId="19"/>
  </si>
  <si>
    <r>
      <t xml:space="preserve">⑤本年分の
普通償却費
</t>
    </r>
    <r>
      <rPr>
        <sz val="8"/>
        <rFont val="メイリオ"/>
        <family val="3"/>
        <charset val="128"/>
      </rPr>
      <t>（②×③×④）</t>
    </r>
    <rPh sb="1" eb="3">
      <t>ホンネン</t>
    </rPh>
    <rPh sb="3" eb="4">
      <t>ブン</t>
    </rPh>
    <rPh sb="6" eb="8">
      <t>フツウ</t>
    </rPh>
    <rPh sb="8" eb="10">
      <t>ショウキャク</t>
    </rPh>
    <rPh sb="10" eb="11">
      <t>ヒ</t>
    </rPh>
    <phoneticPr fontId="19"/>
  </si>
  <si>
    <t>⑥割増（特別）償却費</t>
    <rPh sb="1" eb="3">
      <t>ワリマシ</t>
    </rPh>
    <rPh sb="4" eb="6">
      <t>トクベツ</t>
    </rPh>
    <rPh sb="7" eb="9">
      <t>ショウキャク</t>
    </rPh>
    <rPh sb="9" eb="10">
      <t>ヒ</t>
    </rPh>
    <phoneticPr fontId="19"/>
  </si>
  <si>
    <t>⑦本年分の
償却費合計
（⑤+⑥）</t>
    <rPh sb="1" eb="3">
      <t>ホンネン</t>
    </rPh>
    <rPh sb="3" eb="4">
      <t>ブン</t>
    </rPh>
    <rPh sb="6" eb="8">
      <t>ショウキャク</t>
    </rPh>
    <rPh sb="8" eb="9">
      <t>ヒ</t>
    </rPh>
    <rPh sb="9" eb="11">
      <t>ゴウケイ</t>
    </rPh>
    <phoneticPr fontId="19"/>
  </si>
  <si>
    <t>⑧事業専用割合</t>
    <rPh sb="1" eb="3">
      <t>ジギョウ</t>
    </rPh>
    <rPh sb="3" eb="5">
      <t>センヨウ</t>
    </rPh>
    <rPh sb="5" eb="7">
      <t>ワリアイ</t>
    </rPh>
    <phoneticPr fontId="19"/>
  </si>
  <si>
    <t>⑨必要経費への算入金額
(⑦×⑧）</t>
    <rPh sb="1" eb="3">
      <t>ヒツヨウ</t>
    </rPh>
    <rPh sb="3" eb="5">
      <t>ケイヒ</t>
    </rPh>
    <rPh sb="7" eb="9">
      <t>サンニュウ</t>
    </rPh>
    <rPh sb="9" eb="11">
      <t>キンガク</t>
    </rPh>
    <phoneticPr fontId="19"/>
  </si>
  <si>
    <t>⑩期末の
未償却残高</t>
    <rPh sb="1" eb="3">
      <t>キマツ</t>
    </rPh>
    <rPh sb="5" eb="8">
      <t>ミショウキャク</t>
    </rPh>
    <rPh sb="8" eb="10">
      <t>ザンダカ</t>
    </rPh>
    <phoneticPr fontId="19"/>
  </si>
  <si>
    <t>摘要</t>
    <rPh sb="0" eb="2">
      <t>テキヨウ</t>
    </rPh>
    <phoneticPr fontId="19"/>
  </si>
  <si>
    <t>円</t>
    <rPh sb="0" eb="1">
      <t>エン</t>
    </rPh>
    <phoneticPr fontId="3"/>
  </si>
  <si>
    <t>年</t>
    <rPh sb="0" eb="1">
      <t>ネン</t>
    </rPh>
    <phoneticPr fontId="3"/>
  </si>
  <si>
    <t>月</t>
    <rPh sb="0" eb="1">
      <t>ツキ</t>
    </rPh>
    <phoneticPr fontId="3"/>
  </si>
  <si>
    <t>月数</t>
    <rPh sb="0" eb="1">
      <t>ツキ</t>
    </rPh>
    <rPh sb="1" eb="2">
      <t>スウ</t>
    </rPh>
    <phoneticPr fontId="3"/>
  </si>
  <si>
    <t>％</t>
  </si>
  <si>
    <t>合　計</t>
    <rPh sb="0" eb="1">
      <t>ア</t>
    </rPh>
    <rPh sb="2" eb="3">
      <t>ケイ</t>
    </rPh>
    <phoneticPr fontId="2"/>
  </si>
  <si>
    <t>例1</t>
    <rPh sb="0" eb="1">
      <t>レイ</t>
    </rPh>
    <phoneticPr fontId="2"/>
  </si>
  <si>
    <t>パソコン　ABC-123</t>
    <phoneticPr fontId="2"/>
  </si>
  <si>
    <t>パソコン　ABC-123</t>
    <phoneticPr fontId="2"/>
  </si>
  <si>
    <t>200%定率法</t>
    <phoneticPr fontId="2"/>
  </si>
  <si>
    <t>例2</t>
    <rPh sb="0" eb="1">
      <t>レイ</t>
    </rPh>
    <phoneticPr fontId="2"/>
  </si>
  <si>
    <t>例3</t>
    <rPh sb="0" eb="1">
      <t>レイ</t>
    </rPh>
    <phoneticPr fontId="2"/>
  </si>
  <si>
    <t>200%定率法</t>
  </si>
  <si>
    <t>例4</t>
    <rPh sb="0" eb="1">
      <t>レイ</t>
    </rPh>
    <phoneticPr fontId="2"/>
  </si>
  <si>
    <t>例5</t>
    <rPh sb="0" eb="1">
      <t>レイ</t>
    </rPh>
    <phoneticPr fontId="2"/>
  </si>
  <si>
    <t>パソコン　ABC-123</t>
    <phoneticPr fontId="2"/>
  </si>
  <si>
    <t>例6</t>
    <rPh sb="0" eb="1">
      <t>レイ</t>
    </rPh>
    <phoneticPr fontId="2"/>
  </si>
  <si>
    <t>パソコン　DEF-456</t>
    <phoneticPr fontId="2"/>
  </si>
  <si>
    <t>定額法</t>
  </si>
  <si>
    <t>例7</t>
    <rPh sb="0" eb="1">
      <t>レイ</t>
    </rPh>
    <phoneticPr fontId="2"/>
  </si>
  <si>
    <t>パソコン　DEF-456</t>
    <phoneticPr fontId="2"/>
  </si>
  <si>
    <t>例8</t>
    <rPh sb="0" eb="1">
      <t>レイ</t>
    </rPh>
    <phoneticPr fontId="2"/>
  </si>
  <si>
    <t>例9</t>
    <rPh sb="0" eb="1">
      <t>レイ</t>
    </rPh>
    <phoneticPr fontId="2"/>
  </si>
  <si>
    <t>例10</t>
    <rPh sb="0" eb="1">
      <t>レイ</t>
    </rPh>
    <phoneticPr fontId="2"/>
  </si>
  <si>
    <t>パソコン　DEF-456</t>
  </si>
  <si>
    <t>例11</t>
    <rPh sb="0" eb="1">
      <t>レイ</t>
    </rPh>
    <phoneticPr fontId="2"/>
  </si>
  <si>
    <t>パソコン　GGG-333</t>
    <phoneticPr fontId="2"/>
  </si>
  <si>
    <t>特例</t>
  </si>
  <si>
    <t>措置法28の2</t>
  </si>
  <si>
    <t>H19/4/1～</t>
  </si>
  <si>
    <t>H24/4/1～</t>
  </si>
  <si>
    <t>20万円未満</t>
    <rPh sb="2" eb="3">
      <t>マン</t>
    </rPh>
    <rPh sb="3" eb="4">
      <t>エン</t>
    </rPh>
    <rPh sb="4" eb="6">
      <t>ミマン</t>
    </rPh>
    <phoneticPr fontId="2"/>
  </si>
  <si>
    <t>20万円未満（青色申告対象者）</t>
    <rPh sb="2" eb="3">
      <t>マン</t>
    </rPh>
    <rPh sb="3" eb="4">
      <t>エン</t>
    </rPh>
    <rPh sb="4" eb="6">
      <t>ミマン</t>
    </rPh>
    <rPh sb="7" eb="9">
      <t>アオイロ</t>
    </rPh>
    <rPh sb="9" eb="11">
      <t>シンコク</t>
    </rPh>
    <rPh sb="11" eb="14">
      <t>タイショウシャ</t>
    </rPh>
    <phoneticPr fontId="2"/>
  </si>
  <si>
    <t>～H19/3/31</t>
  </si>
  <si>
    <t>H19/4/1～H24/3/31</t>
    <phoneticPr fontId="2"/>
  </si>
  <si>
    <t>定額法</t>
    <rPh sb="0" eb="2">
      <t>テイガク</t>
    </rPh>
    <rPh sb="2" eb="3">
      <t>ホウ</t>
    </rPh>
    <phoneticPr fontId="41"/>
  </si>
  <si>
    <t>200%定率法</t>
    <rPh sb="4" eb="7">
      <t>テイリツホウ</t>
    </rPh>
    <phoneticPr fontId="41"/>
  </si>
  <si>
    <t>3年均等</t>
    <rPh sb="1" eb="2">
      <t>ネン</t>
    </rPh>
    <rPh sb="2" eb="4">
      <t>キントウ</t>
    </rPh>
    <phoneticPr fontId="41"/>
  </si>
  <si>
    <t>特例</t>
    <rPh sb="0" eb="2">
      <t>トクレイ</t>
    </rPh>
    <phoneticPr fontId="2"/>
  </si>
  <si>
    <t>旧定額法</t>
    <rPh sb="0" eb="1">
      <t>キュウ</t>
    </rPh>
    <rPh sb="1" eb="3">
      <t>テイガク</t>
    </rPh>
    <rPh sb="3" eb="4">
      <t>ホウ</t>
    </rPh>
    <phoneticPr fontId="41"/>
  </si>
  <si>
    <t>定率法(250%)</t>
    <rPh sb="0" eb="3">
      <t>テイリツホウ</t>
    </rPh>
    <phoneticPr fontId="41"/>
  </si>
  <si>
    <t>償却率</t>
  </si>
  <si>
    <t>改定償却率</t>
    <rPh sb="0" eb="2">
      <t>カイテイ</t>
    </rPh>
    <rPh sb="2" eb="4">
      <t>ショウキャク</t>
    </rPh>
    <rPh sb="4" eb="5">
      <t>リツ</t>
    </rPh>
    <phoneticPr fontId="41"/>
  </si>
  <si>
    <t>保証率</t>
    <rPh sb="0" eb="2">
      <t>ホショウ</t>
    </rPh>
    <rPh sb="2" eb="3">
      <t>リツ</t>
    </rPh>
    <phoneticPr fontId="41"/>
  </si>
  <si>
    <t>―</t>
    <phoneticPr fontId="2"/>
  </si>
  <si>
    <t>―</t>
  </si>
  <si>
    <t>―</t>
    <phoneticPr fontId="2"/>
  </si>
  <si>
    <t>ー</t>
  </si>
  <si>
    <t>購入した日がH19/4/1以前になる
場合は右の表から直接償却率などを入力してください。</t>
    <rPh sb="13" eb="15">
      <t>イゼン</t>
    </rPh>
    <phoneticPr fontId="2"/>
  </si>
  <si>
    <r>
      <t>200%定率法は事</t>
    </r>
    <r>
      <rPr>
        <sz val="12"/>
        <color rgb="FFFF0000"/>
        <rFont val="メイリオ"/>
        <family val="3"/>
        <charset val="128"/>
      </rPr>
      <t>前に「所得税の減価償却資産の償却方法の届出書」を税務署へ提出する必要</t>
    </r>
    <r>
      <rPr>
        <sz val="12"/>
        <color theme="1"/>
        <rFont val="メイリオ"/>
        <family val="3"/>
        <charset val="128"/>
      </rPr>
      <t>があります。
購入した日がH19/4/1～H24/3/31になる場合は右の表から直接償却率などを入力してください。</t>
    </r>
    <rPh sb="4" eb="7">
      <t>テイリツホウ</t>
    </rPh>
    <rPh sb="50" eb="52">
      <t>コウニュウ</t>
    </rPh>
    <rPh sb="54" eb="55">
      <t>ヒ</t>
    </rPh>
    <rPh sb="75" eb="77">
      <t>バアイ</t>
    </rPh>
    <rPh sb="78" eb="79">
      <t>ミギ</t>
    </rPh>
    <rPh sb="80" eb="81">
      <t>ヒョウ</t>
    </rPh>
    <rPh sb="83" eb="85">
      <t>チョクセツ</t>
    </rPh>
    <rPh sb="85" eb="88">
      <t>ショウキャクリツ</t>
    </rPh>
    <rPh sb="91" eb="93">
      <t>ニュウリョク</t>
    </rPh>
    <phoneticPr fontId="41"/>
  </si>
  <si>
    <r>
      <t>減価償却資産の</t>
    </r>
    <r>
      <rPr>
        <sz val="12"/>
        <color rgb="FFFF0000"/>
        <rFont val="メイリオ"/>
        <family val="3"/>
        <charset val="128"/>
      </rPr>
      <t>取得価額が１０万円以上２０万円未満</t>
    </r>
    <r>
      <rPr>
        <sz val="12"/>
        <color theme="1"/>
        <rFont val="メイリオ"/>
        <family val="3"/>
        <charset val="128"/>
      </rPr>
      <t>である場合に選択することができます。</t>
    </r>
    <rPh sb="0" eb="2">
      <t>ゲンカ</t>
    </rPh>
    <rPh sb="2" eb="4">
      <t>ショウキャク</t>
    </rPh>
    <rPh sb="4" eb="6">
      <t>シサン</t>
    </rPh>
    <rPh sb="27" eb="29">
      <t>バアイ</t>
    </rPh>
    <rPh sb="30" eb="32">
      <t>センタク</t>
    </rPh>
    <phoneticPr fontId="2"/>
  </si>
  <si>
    <r>
      <rPr>
        <sz val="12"/>
        <color rgb="FFFF0000"/>
        <rFont val="メイリオ"/>
        <family val="3"/>
        <charset val="128"/>
      </rPr>
      <t>青色申告対象者</t>
    </r>
    <r>
      <rPr>
        <sz val="12"/>
        <color theme="1"/>
        <rFont val="メイリオ"/>
        <family val="3"/>
        <charset val="128"/>
      </rPr>
      <t>で、
減価償却資産の取得価額が</t>
    </r>
    <r>
      <rPr>
        <sz val="12"/>
        <color rgb="FFFF0000"/>
        <rFont val="メイリオ"/>
        <family val="3"/>
        <charset val="128"/>
      </rPr>
      <t>１０万円以上30万円未満</t>
    </r>
    <r>
      <rPr>
        <sz val="12"/>
        <color theme="1"/>
        <rFont val="メイリオ"/>
        <family val="3"/>
        <charset val="128"/>
      </rPr>
      <t>である場合に選択することができます。
適応期間は</t>
    </r>
    <r>
      <rPr>
        <sz val="12"/>
        <color rgb="FFFF0000"/>
        <rFont val="メイリオ"/>
        <family val="3"/>
        <charset val="128"/>
      </rPr>
      <t>平成28年3月31日まで購入したものが対象</t>
    </r>
    <r>
      <rPr>
        <sz val="12"/>
        <color theme="1"/>
        <rFont val="メイリオ"/>
        <family val="3"/>
        <charset val="128"/>
      </rPr>
      <t>となります。</t>
    </r>
    <rPh sb="53" eb="55">
      <t>テキオウ</t>
    </rPh>
    <rPh sb="55" eb="57">
      <t>キカン</t>
    </rPh>
    <rPh sb="58" eb="60">
      <t>ヘイセイ</t>
    </rPh>
    <rPh sb="62" eb="63">
      <t>ネン</t>
    </rPh>
    <rPh sb="64" eb="65">
      <t>ガツ</t>
    </rPh>
    <rPh sb="67" eb="68">
      <t>ニチ</t>
    </rPh>
    <rPh sb="70" eb="72">
      <t>コウニュウ</t>
    </rPh>
    <rPh sb="77" eb="79">
      <t>タイショウ</t>
    </rPh>
    <phoneticPr fontId="2"/>
  </si>
  <si>
    <t>前払費用</t>
  </si>
  <si>
    <t>長期前払費用</t>
  </si>
  <si>
    <t>小　計　</t>
    <phoneticPr fontId="2"/>
  </si>
  <si>
    <t>元入金</t>
  </si>
  <si>
    <t>＝</t>
    <phoneticPr fontId="2"/>
  </si>
  <si>
    <t>所得金額</t>
  </si>
  <si>
    <t>事業主貸</t>
    <rPh sb="0" eb="4">
      <t>ジギョウヌシカシ</t>
    </rPh>
    <phoneticPr fontId="19"/>
  </si>
  <si>
    <t>今期末の</t>
  </si>
  <si>
    <t>今期特別控除前の</t>
  </si>
  <si>
    <t>来年度の</t>
  </si>
  <si>
    <t>・表の中のセルは結合はしないでください。</t>
    <rPh sb="1" eb="2">
      <t>ヒョウ</t>
    </rPh>
    <rPh sb="3" eb="4">
      <t>ナカ</t>
    </rPh>
    <rPh sb="8" eb="10">
      <t>ケツゴウ</t>
    </rPh>
    <phoneticPr fontId="2"/>
  </si>
  <si>
    <t>事業主貸</t>
    <rPh sb="0" eb="3">
      <t>ジギョウヌシ</t>
    </rPh>
    <rPh sb="3" eb="4">
      <t>カ</t>
    </rPh>
    <phoneticPr fontId="2"/>
  </si>
  <si>
    <t>事業主家事用購入分（カード払い）</t>
    <rPh sb="0" eb="3">
      <t>ジギョウヌシ</t>
    </rPh>
    <rPh sb="3" eb="6">
      <t>カジヨウ</t>
    </rPh>
    <rPh sb="6" eb="8">
      <t>コウニュウ</t>
    </rPh>
    <rPh sb="8" eb="9">
      <t>ブン</t>
    </rPh>
    <rPh sb="13" eb="14">
      <t>バラ</t>
    </rPh>
    <phoneticPr fontId="2"/>
  </si>
  <si>
    <t>家事按分（カード払い）</t>
    <rPh sb="0" eb="2">
      <t>カジ</t>
    </rPh>
    <rPh sb="2" eb="4">
      <t>アンブン</t>
    </rPh>
    <rPh sb="8" eb="9">
      <t>バラ</t>
    </rPh>
    <phoneticPr fontId="2"/>
  </si>
  <si>
    <t>銀行の利子の受取</t>
    <rPh sb="0" eb="2">
      <t>ギンコウ</t>
    </rPh>
    <rPh sb="3" eb="5">
      <t>リシ</t>
    </rPh>
    <rPh sb="6" eb="8">
      <t>ウケトリ</t>
    </rPh>
    <phoneticPr fontId="2"/>
  </si>
  <si>
    <t>普通預金</t>
    <phoneticPr fontId="2"/>
  </si>
  <si>
    <t>事業主借</t>
    <phoneticPr fontId="2"/>
  </si>
  <si>
    <t>Amazonギフト券受取</t>
  </si>
  <si>
    <t>楽天ポイント受取</t>
  </si>
  <si>
    <t>振込</t>
  </si>
  <si>
    <t>事業主のカードにて</t>
    <rPh sb="0" eb="2">
      <t>ジギョウ</t>
    </rPh>
    <rPh sb="2" eb="3">
      <t>ヌシ</t>
    </rPh>
    <phoneticPr fontId="2"/>
  </si>
  <si>
    <t>小　計　</t>
  </si>
  <si>
    <t>・計算式が入っているセルを簡易的に保護しています。解除するには、シートの保護を解除してください。</t>
    <rPh sb="1" eb="4">
      <t>ケイサンシキ</t>
    </rPh>
    <rPh sb="5" eb="6">
      <t>ハイ</t>
    </rPh>
    <rPh sb="13" eb="15">
      <t>カンイ</t>
    </rPh>
    <rPh sb="15" eb="16">
      <t>テキ</t>
    </rPh>
    <rPh sb="17" eb="19">
      <t>ホゴ</t>
    </rPh>
    <rPh sb="25" eb="27">
      <t>カイジョ</t>
    </rPh>
    <rPh sb="36" eb="38">
      <t>ホゴ</t>
    </rPh>
    <rPh sb="39" eb="41">
      <t>カイジョ</t>
    </rPh>
    <phoneticPr fontId="2"/>
  </si>
  <si>
    <t>減価償却費</t>
    <rPh sb="0" eb="2">
      <t>ゲンカ</t>
    </rPh>
    <rPh sb="2" eb="4">
      <t>ショウキャク</t>
    </rPh>
    <rPh sb="4" eb="5">
      <t>ヒ</t>
    </rPh>
    <phoneticPr fontId="1"/>
  </si>
  <si>
    <t>✔</t>
    <phoneticPr fontId="2"/>
  </si>
  <si>
    <t>設定メニューを変更したら、対応するシート名を変更してください。シート名のみ変更しても、データは反映しません。</t>
    <rPh sb="0" eb="2">
      <t>セッテイ</t>
    </rPh>
    <rPh sb="7" eb="9">
      <t>ヘンコウ</t>
    </rPh>
    <rPh sb="13" eb="15">
      <t>タイオウ</t>
    </rPh>
    <rPh sb="20" eb="21">
      <t>メイ</t>
    </rPh>
    <rPh sb="22" eb="24">
      <t>ヘンコウ</t>
    </rPh>
    <rPh sb="34" eb="35">
      <t>メイ</t>
    </rPh>
    <rPh sb="37" eb="39">
      <t>ヘンコウ</t>
    </rPh>
    <rPh sb="47" eb="49">
      <t>ハンエイ</t>
    </rPh>
    <phoneticPr fontId="2"/>
  </si>
  <si>
    <t>例えは、予備.1を変更する場合は、シート名の予備.1を変更してください。</t>
    <rPh sb="0" eb="1">
      <t>タト</t>
    </rPh>
    <rPh sb="4" eb="6">
      <t>ヨビ</t>
    </rPh>
    <rPh sb="9" eb="11">
      <t>ヘンコウ</t>
    </rPh>
    <rPh sb="13" eb="15">
      <t>バアイ</t>
    </rPh>
    <rPh sb="20" eb="21">
      <t>メイ</t>
    </rPh>
    <rPh sb="22" eb="24">
      <t>ヨビ</t>
    </rPh>
    <rPh sb="27" eb="29">
      <t>ヘンコウ</t>
    </rPh>
    <phoneticPr fontId="2"/>
  </si>
  <si>
    <t>設定メニューの名称とシート名は一対の関係となっています。</t>
    <rPh sb="0" eb="2">
      <t>セッテイ</t>
    </rPh>
    <rPh sb="7" eb="9">
      <t>メイショウ</t>
    </rPh>
    <rPh sb="13" eb="14">
      <t>メイ</t>
    </rPh>
    <rPh sb="15" eb="17">
      <t>イッツイ</t>
    </rPh>
    <rPh sb="18" eb="20">
      <t>カンケイ</t>
    </rPh>
    <phoneticPr fontId="2"/>
  </si>
  <si>
    <t>振込手数料</t>
  </si>
  <si>
    <t>■■注意事項■■</t>
    <rPh sb="2" eb="4">
      <t>チュウイ</t>
    </rPh>
    <rPh sb="4" eb="6">
      <t>ジコウ</t>
    </rPh>
    <phoneticPr fontId="2"/>
  </si>
  <si>
    <t>勘定科目/売上先</t>
    <rPh sb="0" eb="2">
      <t>カンジョウ</t>
    </rPh>
    <rPh sb="2" eb="4">
      <t>カモク</t>
    </rPh>
    <rPh sb="5" eb="7">
      <t>ウリアゲ</t>
    </rPh>
    <rPh sb="7" eb="8">
      <t>サキ</t>
    </rPh>
    <phoneticPr fontId="2"/>
  </si>
  <si>
    <t>■■来年度の元入金の計算■■</t>
    <rPh sb="2" eb="5">
      <t>ライネンド</t>
    </rPh>
    <rPh sb="6" eb="7">
      <t>モト</t>
    </rPh>
    <rPh sb="7" eb="8">
      <t>イ</t>
    </rPh>
    <rPh sb="8" eb="9">
      <t>キン</t>
    </rPh>
    <rPh sb="10" eb="12">
      <t>ケイサン</t>
    </rPh>
    <phoneticPr fontId="2"/>
  </si>
  <si>
    <t>+</t>
    <phoneticPr fontId="2"/>
  </si>
  <si>
    <t>-</t>
    <phoneticPr fontId="2"/>
  </si>
  <si>
    <t>青色申告特別控除前の所得金額(㉝＋㊲－㊷)</t>
    <phoneticPr fontId="2"/>
  </si>
  <si>
    <t>〇月別売上（収入）金額及び仕入金額</t>
    <phoneticPr fontId="2"/>
  </si>
  <si>
    <t>〇青色申告特別控除額の計算</t>
    <phoneticPr fontId="2"/>
  </si>
  <si>
    <t>⑥</t>
    <phoneticPr fontId="2"/>
  </si>
  <si>
    <t>(青色申告特別控除額を差し引く前の金額)</t>
    <phoneticPr fontId="2"/>
  </si>
  <si>
    <t>青色申告特別控除前の所得金額</t>
    <phoneticPr fontId="2"/>
  </si>
  <si>
    <t>⑦</t>
    <phoneticPr fontId="2"/>
  </si>
  <si>
    <t>(1ページの「損益計算書」の㊸欄の金額を書いてください。)</t>
    <phoneticPr fontId="2"/>
  </si>
  <si>
    <t>⑧</t>
    <phoneticPr fontId="2"/>
  </si>
  <si>
    <t>⑨</t>
    <phoneticPr fontId="2"/>
  </si>
  <si>
    <t>上記以外
の場合</t>
    <phoneticPr fontId="2"/>
  </si>
  <si>
    <t>減価償却資産
の名称等</t>
    <phoneticPr fontId="2"/>
  </si>
  <si>
    <t xml:space="preserve">
取得
年月</t>
    <phoneticPr fontId="2"/>
  </si>
  <si>
    <t>(ロ)</t>
    <phoneticPr fontId="2"/>
  </si>
  <si>
    <t>償却
方法</t>
    <phoneticPr fontId="2"/>
  </si>
  <si>
    <t>耐用
年数</t>
    <phoneticPr fontId="2"/>
  </si>
  <si>
    <t>(ハ)</t>
    <phoneticPr fontId="2"/>
  </si>
  <si>
    <t>(ホ)</t>
    <phoneticPr fontId="2"/>
  </si>
  <si>
    <t>(へ)</t>
    <phoneticPr fontId="2"/>
  </si>
  <si>
    <t>(ト)</t>
    <phoneticPr fontId="2"/>
  </si>
  <si>
    <t>(チ)</t>
    <phoneticPr fontId="2"/>
  </si>
  <si>
    <t>(リ)</t>
    <phoneticPr fontId="2"/>
  </si>
  <si>
    <t>(ヌ)</t>
    <phoneticPr fontId="2"/>
  </si>
  <si>
    <t>取得価格</t>
    <phoneticPr fontId="2"/>
  </si>
  <si>
    <t xml:space="preserve">
償却の基礎になる金額</t>
    <phoneticPr fontId="2"/>
  </si>
  <si>
    <t>本年中
の償却
期間</t>
    <phoneticPr fontId="2"/>
  </si>
  <si>
    <t>本年分の
普通償却額</t>
    <phoneticPr fontId="2"/>
  </si>
  <si>
    <t>割増（特別）
償却費</t>
    <phoneticPr fontId="2"/>
  </si>
  <si>
    <t>本年分の
償却費合計</t>
    <phoneticPr fontId="2"/>
  </si>
  <si>
    <t>事業専
用割合</t>
    <phoneticPr fontId="2"/>
  </si>
  <si>
    <t>本年分の必要
経費算入額</t>
    <phoneticPr fontId="2"/>
  </si>
  <si>
    <t>(繰延資産を含む)</t>
    <phoneticPr fontId="2"/>
  </si>
  <si>
    <t>（ロ×ハ×二）</t>
    <phoneticPr fontId="2"/>
  </si>
  <si>
    <t>（ホ＋ヘ）</t>
    <phoneticPr fontId="2"/>
  </si>
  <si>
    <t>（ト×チ）</t>
    <phoneticPr fontId="2"/>
  </si>
  <si>
    <t>（期末残高）</t>
    <phoneticPr fontId="2"/>
  </si>
  <si>
    <t>①</t>
    <phoneticPr fontId="2"/>
  </si>
  <si>
    <t>②</t>
    <phoneticPr fontId="2"/>
  </si>
  <si>
    <t>(ホ)</t>
    <phoneticPr fontId="2"/>
  </si>
  <si>
    <t>(へ)</t>
    <phoneticPr fontId="2"/>
  </si>
  <si>
    <t>(ト)</t>
    <phoneticPr fontId="2"/>
  </si>
  <si>
    <t>(チ)</t>
    <phoneticPr fontId="2"/>
  </si>
  <si>
    <t>(リ)</t>
    <phoneticPr fontId="2"/>
  </si>
  <si>
    <t>⑦</t>
    <phoneticPr fontId="2"/>
  </si>
  <si>
    <t>(ヌ)</t>
    <phoneticPr fontId="2"/>
  </si>
  <si>
    <t>(ル)</t>
    <phoneticPr fontId="2"/>
  </si>
  <si>
    <t>(ヲ)</t>
    <phoneticPr fontId="2"/>
  </si>
  <si>
    <t>(ワ)</t>
    <phoneticPr fontId="2"/>
  </si>
  <si>
    <t>(カ)</t>
    <phoneticPr fontId="2"/>
  </si>
  <si>
    <t>(ヨ)</t>
    <phoneticPr fontId="2"/>
  </si>
  <si>
    <t>(タ)</t>
    <phoneticPr fontId="2"/>
  </si>
  <si>
    <t>(レ)</t>
    <phoneticPr fontId="2"/>
  </si>
  <si>
    <t>⑰</t>
    <phoneticPr fontId="2"/>
  </si>
  <si>
    <t>経費系（⑪～⑯までの計+⑰）</t>
    <rPh sb="0" eb="2">
      <t>ケイヒ</t>
    </rPh>
    <rPh sb="2" eb="3">
      <t>ケイ</t>
    </rPh>
    <phoneticPr fontId="2"/>
  </si>
  <si>
    <t>⑱</t>
    <phoneticPr fontId="2"/>
  </si>
  <si>
    <t>(イ)</t>
    <phoneticPr fontId="2"/>
  </si>
  <si>
    <t>⑲</t>
    <phoneticPr fontId="2"/>
  </si>
  <si>
    <t>(ロ)</t>
    <phoneticPr fontId="2"/>
  </si>
  <si>
    <t>⑳</t>
    <phoneticPr fontId="2"/>
  </si>
  <si>
    <t>(ハ)</t>
    <phoneticPr fontId="2"/>
  </si>
  <si>
    <t>㉑</t>
    <phoneticPr fontId="2"/>
  </si>
  <si>
    <t>①</t>
    <phoneticPr fontId="2"/>
  </si>
  <si>
    <t>減価償却資産
の名称等</t>
    <phoneticPr fontId="2"/>
  </si>
  <si>
    <t xml:space="preserve">
取得
年月</t>
    <phoneticPr fontId="2"/>
  </si>
  <si>
    <t>(ロ)</t>
    <phoneticPr fontId="2"/>
  </si>
  <si>
    <t>償却
方法</t>
    <phoneticPr fontId="2"/>
  </si>
  <si>
    <t>耐用
年数</t>
    <phoneticPr fontId="2"/>
  </si>
  <si>
    <t>(ハ)</t>
    <phoneticPr fontId="2"/>
  </si>
  <si>
    <t>(ホ)</t>
    <phoneticPr fontId="2"/>
  </si>
  <si>
    <t>(へ)</t>
    <phoneticPr fontId="2"/>
  </si>
  <si>
    <t>(ト)</t>
    <phoneticPr fontId="2"/>
  </si>
  <si>
    <t>(チ)</t>
    <phoneticPr fontId="2"/>
  </si>
  <si>
    <t>(リ)</t>
    <phoneticPr fontId="2"/>
  </si>
  <si>
    <t>(ヌ)</t>
    <phoneticPr fontId="2"/>
  </si>
  <si>
    <t>取得価格</t>
    <phoneticPr fontId="2"/>
  </si>
  <si>
    <t xml:space="preserve">
償却の基礎になる金額</t>
    <phoneticPr fontId="2"/>
  </si>
  <si>
    <t>本年中
の償却
期間</t>
    <phoneticPr fontId="2"/>
  </si>
  <si>
    <t>本年分の
普通償却額</t>
    <phoneticPr fontId="2"/>
  </si>
  <si>
    <t>特別
償却費</t>
    <phoneticPr fontId="2"/>
  </si>
  <si>
    <t>本年分の
償却費合計</t>
    <phoneticPr fontId="2"/>
  </si>
  <si>
    <t>事業専
用割合</t>
    <phoneticPr fontId="2"/>
  </si>
  <si>
    <t>本年分の必要
経費算入額</t>
    <phoneticPr fontId="2"/>
  </si>
  <si>
    <t>(繰延資産を含む)</t>
    <phoneticPr fontId="2"/>
  </si>
  <si>
    <t>（ロ×ハ×二）</t>
    <phoneticPr fontId="2"/>
  </si>
  <si>
    <t>（ホ＋ヘ）</t>
    <phoneticPr fontId="2"/>
  </si>
  <si>
    <t>（ト×チ）</t>
    <phoneticPr fontId="2"/>
  </si>
  <si>
    <t>（期末残高）</t>
    <phoneticPr fontId="2"/>
  </si>
  <si>
    <t>次 期 繰 越</t>
    <phoneticPr fontId="2"/>
  </si>
  <si>
    <t>・表紙シートより右側のシートは、削除しないでください。</t>
    <rPh sb="1" eb="3">
      <t>ヒョウシ</t>
    </rPh>
    <rPh sb="8" eb="10">
      <t>ミギガワ</t>
    </rPh>
    <rPh sb="16" eb="18">
      <t>サクジョ</t>
    </rPh>
    <phoneticPr fontId="2"/>
  </si>
  <si>
    <t>小　計　</t>
    <phoneticPr fontId="2"/>
  </si>
  <si>
    <t>エクセル帳簿の概要</t>
    <rPh sb="4" eb="6">
      <t>チョウボ</t>
    </rPh>
    <rPh sb="7" eb="9">
      <t>ガイヨウ</t>
    </rPh>
    <phoneticPr fontId="2"/>
  </si>
  <si>
    <t>エクセル簿記の初期設定</t>
    <rPh sb="4" eb="6">
      <t>ボキ</t>
    </rPh>
    <rPh sb="7" eb="9">
      <t>ショキ</t>
    </rPh>
    <rPh sb="9" eb="11">
      <t>セッテイ</t>
    </rPh>
    <phoneticPr fontId="2"/>
  </si>
  <si>
    <t>エクセル簿記の使い方</t>
    <rPh sb="4" eb="6">
      <t>ボキ</t>
    </rPh>
    <rPh sb="7" eb="8">
      <t>ツカ</t>
    </rPh>
    <rPh sb="9" eb="10">
      <t>カタ</t>
    </rPh>
    <phoneticPr fontId="2"/>
  </si>
  <si>
    <t>決算時に行うこと</t>
    <rPh sb="0" eb="2">
      <t>ケッサン</t>
    </rPh>
    <rPh sb="2" eb="3">
      <t>ジ</t>
    </rPh>
    <rPh sb="4" eb="5">
      <t>オコナ</t>
    </rPh>
    <phoneticPr fontId="2"/>
  </si>
  <si>
    <t>エクセル簿記ダウンロード</t>
    <rPh sb="4" eb="6">
      <t>ボキ</t>
    </rPh>
    <phoneticPr fontId="2"/>
  </si>
  <si>
    <t>■■エクセル簿記の詳しい説明は下記サイトにて■■</t>
    <rPh sb="6" eb="8">
      <t>ボキ</t>
    </rPh>
    <rPh sb="9" eb="10">
      <t>クワ</t>
    </rPh>
    <rPh sb="12" eb="14">
      <t>セツメイ</t>
    </rPh>
    <rPh sb="15" eb="17">
      <t>カキ</t>
    </rPh>
    <phoneticPr fontId="2"/>
  </si>
  <si>
    <t>事業用クレジットカード引き落とし</t>
    <rPh sb="0" eb="3">
      <t>ジギョウヨウ</t>
    </rPh>
    <rPh sb="11" eb="12">
      <t>ヒ</t>
    </rPh>
    <rPh sb="13" eb="14">
      <t>オ</t>
    </rPh>
    <phoneticPr fontId="2"/>
  </si>
  <si>
    <t>https://shufulife.com/ecxel-chobo-howto/</t>
    <phoneticPr fontId="2"/>
  </si>
  <si>
    <t>https://shufulife.com/excel-chobo-dl/</t>
    <phoneticPr fontId="2"/>
  </si>
  <si>
    <t>https://shufulife.com/ecxle-chobo-kessan/</t>
    <phoneticPr fontId="2"/>
  </si>
  <si>
    <t>https://shufulife.com/ecxel-chobo-setting/</t>
    <phoneticPr fontId="2"/>
  </si>
  <si>
    <t>https://shufulife.com/excel-chobo-release/ ‎</t>
    <phoneticPr fontId="2"/>
  </si>
  <si>
    <t>ver.2018-2</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</si>
</sst>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176" formatCode="&quot;No.&quot;#,##0"/>
    <numFmt numFmtId="177" formatCode="0&quot;年&quot;"/>
    <numFmt numFmtId="178" formatCode="&quot;総勘定元帳　【&quot;@&quot;】&quot;"/>
    <numFmt numFmtId="179" formatCode="&quot;売掛金台帳　【&quot;@&quot;】&quot;"/>
    <numFmt numFmtId="180" formatCode="m&quot;月&quot;d&quot;日&quot;;@"/>
    <numFmt numFmtId="181" formatCode="yyyy&quot;年&quot;m&quot;月&quot;;@"/>
    <numFmt numFmtId="182" formatCode="[$-F800]dddd\,\ mmmm\ dd\,\ yyyy"/>
    <numFmt numFmtId="183" formatCode="#,###"/>
    <numFmt numFmtId="184" formatCode="#,##0_);[Red]\(#,##0\)"/>
    <numFmt numFmtId="185" formatCode="yyyy&quot;年&quot;m&quot;月&quot;d&quot;日&quot;;@"/>
    <numFmt numFmtId="186" formatCode="yyyy&quot;年&quot;"/>
    <numFmt numFmtId="187" formatCode="0.000_);[Red]\(0.000\)"/>
    <numFmt numFmtId="188" formatCode="0_);[Red]\(0\)"/>
    <numFmt numFmtId="189" formatCode="#,##0_ "/>
    <numFmt numFmtId="190" formatCode="0.00000_);[Red]\(0.00000\)"/>
    <numFmt numFmtId="191" formatCode="#,##0.000_ "/>
    <numFmt numFmtId="192" formatCode="#,##0.00000_ "/>
    <numFmt numFmtId="193" formatCode="#,##0_ ;[Red]\-#,##0\ "/>
  </numFmts>
  <fonts count="52">
    <font>
      <sz val="11"/>
      <color theme="1"/>
      <name val="ＭＳ Ｐゴシック"/>
      <family val="2"/>
      <scheme val="minor"/>
    </font>
    <font>
      <b/>
      <sz val="11"/>
      <color theme="0"/>
      <name val="ＭＳ Ｐゴシック"/>
      <family val="2"/>
      <charset val="128"/>
      <scheme val="minor"/>
    </font>
    <font>
      <sz val="6"/>
      <name val="ＭＳ Ｐゴシック"/>
      <family val="3"/>
      <charset val="128"/>
      <scheme val="minor"/>
    </font>
    <font>
      <sz val="11"/>
      <color theme="1"/>
      <name val="メイリオ"/>
      <family val="3"/>
      <charset val="128"/>
    </font>
    <font>
      <sz val="10"/>
      <color theme="1"/>
      <name val="メイリオ"/>
      <family val="3"/>
      <charset val="128"/>
    </font>
    <font>
      <b/>
      <sz val="11"/>
      <color theme="1"/>
      <name val="メイリオ"/>
      <family val="3"/>
      <charset val="128"/>
    </font>
    <font>
      <sz val="12"/>
      <color theme="1"/>
      <name val="メイリオ"/>
      <family val="3"/>
      <charset val="128"/>
    </font>
    <font>
      <b/>
      <u val="double"/>
      <sz val="20"/>
      <color theme="1"/>
      <name val="メイリオ"/>
      <family val="3"/>
      <charset val="128"/>
    </font>
    <font>
      <sz val="11"/>
      <color theme="0" tint="-0.34998626667073579"/>
      <name val="メイリオ"/>
      <family val="3"/>
      <charset val="128"/>
    </font>
    <font>
      <sz val="9"/>
      <color theme="1"/>
      <name val="メイリオ"/>
      <family val="3"/>
      <charset val="128"/>
    </font>
    <font>
      <sz val="7"/>
      <color theme="1"/>
      <name val="メイリオ"/>
      <family val="3"/>
      <charset val="128"/>
    </font>
    <font>
      <sz val="10"/>
      <color rgb="FF111111"/>
      <name val="メイリオ"/>
      <family val="3"/>
      <charset val="128"/>
    </font>
    <font>
      <sz val="10"/>
      <name val="メイリオ"/>
      <family val="3"/>
      <charset val="128"/>
    </font>
    <font>
      <b/>
      <sz val="14"/>
      <color theme="1"/>
      <name val="メイリオ"/>
      <family val="3"/>
      <charset val="128"/>
    </font>
    <font>
      <b/>
      <sz val="14"/>
      <color rgb="FFFF0000"/>
      <name val="メイリオ"/>
      <family val="3"/>
      <charset val="128"/>
    </font>
    <font>
      <sz val="12"/>
      <color indexed="8"/>
      <name val="メイリオ"/>
      <family val="3"/>
      <charset val="128"/>
    </font>
    <font>
      <sz val="9"/>
      <color indexed="8"/>
      <name val="メイリオ"/>
      <family val="3"/>
      <charset val="128"/>
    </font>
    <font>
      <b/>
      <sz val="13"/>
      <color theme="1"/>
      <name val="メイリオ"/>
      <family val="3"/>
      <charset val="128"/>
    </font>
    <font>
      <sz val="11"/>
      <color indexed="8"/>
      <name val="メイリオ"/>
      <family val="3"/>
      <charset val="128"/>
    </font>
    <font>
      <sz val="6"/>
      <name val="ＭＳ Ｐゴシック"/>
      <family val="3"/>
      <charset val="128"/>
    </font>
    <font>
      <sz val="10"/>
      <color indexed="8"/>
      <name val="メイリオ"/>
      <family val="3"/>
      <charset val="128"/>
    </font>
    <font>
      <sz val="8"/>
      <color indexed="8"/>
      <name val="メイリオ"/>
      <family val="3"/>
      <charset val="128"/>
    </font>
    <font>
      <sz val="6"/>
      <color indexed="8"/>
      <name val="メイリオ"/>
      <family val="3"/>
      <charset val="128"/>
    </font>
    <font>
      <b/>
      <u val="double"/>
      <sz val="11"/>
      <color theme="1"/>
      <name val="メイリオ"/>
      <family val="3"/>
      <charset val="128"/>
    </font>
    <font>
      <sz val="8"/>
      <color theme="1"/>
      <name val="メイリオ"/>
      <family val="3"/>
      <charset val="128"/>
    </font>
    <font>
      <b/>
      <u val="double"/>
      <sz val="14"/>
      <color theme="1"/>
      <name val="メイリオ"/>
      <family val="3"/>
      <charset val="128"/>
    </font>
    <font>
      <sz val="14"/>
      <color theme="1"/>
      <name val="メイリオ"/>
      <family val="3"/>
      <charset val="128"/>
    </font>
    <font>
      <sz val="14"/>
      <color indexed="8"/>
      <name val="メイリオ"/>
      <family val="3"/>
      <charset val="128"/>
    </font>
    <font>
      <b/>
      <u val="doubleAccounting"/>
      <sz val="12"/>
      <color theme="1"/>
      <name val="メイリオ"/>
      <family val="3"/>
      <charset val="128"/>
    </font>
    <font>
      <b/>
      <u val="double"/>
      <sz val="12"/>
      <color theme="1"/>
      <name val="メイリオ"/>
      <family val="3"/>
      <charset val="128"/>
    </font>
    <font>
      <b/>
      <sz val="12"/>
      <color theme="1"/>
      <name val="メイリオ"/>
      <family val="3"/>
      <charset val="128"/>
    </font>
    <font>
      <b/>
      <sz val="16"/>
      <color rgb="FFFF0000"/>
      <name val="メイリオ"/>
      <family val="3"/>
      <charset val="128"/>
    </font>
    <font>
      <sz val="11"/>
      <color rgb="FF0000FF"/>
      <name val="メイリオ"/>
      <family val="3"/>
      <charset val="128"/>
    </font>
    <font>
      <b/>
      <u val="double"/>
      <sz val="6"/>
      <color theme="1"/>
      <name val="メイリオ"/>
      <family val="3"/>
      <charset val="128"/>
    </font>
    <font>
      <sz val="6"/>
      <color theme="1"/>
      <name val="メイリオ"/>
      <family val="3"/>
      <charset val="128"/>
    </font>
    <font>
      <sz val="11"/>
      <name val="メイリオ"/>
      <family val="3"/>
      <charset val="128"/>
    </font>
    <font>
      <b/>
      <sz val="20"/>
      <color theme="1"/>
      <name val="メイリオ"/>
      <family val="3"/>
      <charset val="128"/>
    </font>
    <font>
      <sz val="11"/>
      <color rgb="FFFF0000"/>
      <name val="メイリオ"/>
      <family val="3"/>
      <charset val="128"/>
    </font>
    <font>
      <sz val="11"/>
      <color theme="1"/>
      <name val="ＭＳ Ｐゴシック"/>
      <family val="2"/>
      <scheme val="minor"/>
    </font>
    <font>
      <sz val="8"/>
      <name val="メイリオ"/>
      <family val="3"/>
      <charset val="128"/>
    </font>
    <font>
      <b/>
      <sz val="11"/>
      <color theme="1"/>
      <name val="ＭＳ Ｐゴシック"/>
      <family val="3"/>
      <charset val="128"/>
      <scheme val="minor"/>
    </font>
    <font>
      <b/>
      <sz val="18"/>
      <color indexed="56"/>
      <name val="ＭＳ Ｐゴシック"/>
      <family val="3"/>
      <charset val="128"/>
    </font>
    <font>
      <sz val="12"/>
      <color rgb="FFFF0000"/>
      <name val="メイリオ"/>
      <family val="3"/>
      <charset val="128"/>
    </font>
    <font>
      <b/>
      <sz val="10"/>
      <color theme="1"/>
      <name val="メイリオ"/>
      <family val="3"/>
      <charset val="128"/>
    </font>
    <font>
      <b/>
      <sz val="14"/>
      <color indexed="8"/>
      <name val="メイリオ"/>
      <family val="3"/>
      <charset val="128"/>
    </font>
    <font>
      <b/>
      <sz val="14"/>
      <name val="メイリオ"/>
      <family val="3"/>
      <charset val="128"/>
    </font>
    <font>
      <b/>
      <u val="doubleAccounting"/>
      <sz val="11"/>
      <color theme="1"/>
      <name val="メイリオ"/>
      <family val="3"/>
      <charset val="128"/>
    </font>
    <font>
      <sz val="22"/>
      <color theme="1"/>
      <name val="メイリオ"/>
      <family val="3"/>
      <charset val="128"/>
    </font>
    <font>
      <sz val="20"/>
      <color theme="1"/>
      <name val="メイリオ"/>
      <family val="3"/>
      <charset val="128"/>
    </font>
    <font>
      <b/>
      <sz val="11"/>
      <color rgb="FF0000FF"/>
      <name val="メイリオ"/>
      <family val="3"/>
      <charset val="128"/>
    </font>
    <font>
      <b/>
      <sz val="14"/>
      <color rgb="FF0000FF"/>
      <name val="ＭＳ Ｐゴシック"/>
      <family val="3"/>
      <charset val="128"/>
    </font>
    <font>
      <u/>
      <sz val="11"/>
      <color theme="10"/>
      <name val="ＭＳ Ｐゴシック"/>
      <family val="2"/>
      <scheme val="minor"/>
    </font>
  </fonts>
  <fills count="20">
    <fill>
      <patternFill patternType="none"/>
    </fill>
    <fill>
      <patternFill patternType="gray125"/>
    </fill>
    <fill>
      <patternFill patternType="solid">
        <fgColor rgb="FFDBEFF1"/>
        <bgColor indexed="64"/>
      </patternFill>
    </fill>
    <fill>
      <patternFill patternType="solid">
        <fgColor rgb="FFFFFFC9"/>
        <bgColor indexed="64"/>
      </patternFill>
    </fill>
    <fill>
      <patternFill patternType="solid">
        <fgColor rgb="FFEBF2B4"/>
        <bgColor indexed="64"/>
      </patternFill>
    </fill>
    <fill>
      <patternFill patternType="solid">
        <fgColor rgb="FFEAEAEA"/>
        <bgColor indexed="64"/>
      </patternFill>
    </fill>
    <fill>
      <patternFill patternType="solid">
        <fgColor rgb="FFF5F5F5"/>
        <bgColor indexed="64"/>
      </patternFill>
    </fill>
    <fill>
      <patternFill patternType="solid">
        <fgColor rgb="FFE8E3ED"/>
        <bgColor indexed="64"/>
      </patternFill>
    </fill>
    <fill>
      <patternFill patternType="solid">
        <fgColor rgb="FF79C06E"/>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8ECAA0"/>
        <bgColor indexed="64"/>
      </patternFill>
    </fill>
    <fill>
      <patternFill patternType="solid">
        <fgColor theme="9" tint="0.39997558519241921"/>
        <bgColor indexed="64"/>
      </patternFill>
    </fill>
    <fill>
      <patternFill patternType="solid">
        <fgColor rgb="FFFDEADA"/>
        <bgColor indexed="64"/>
      </patternFill>
    </fill>
    <fill>
      <patternFill patternType="solid">
        <fgColor rgb="FFF1FBFD"/>
        <bgColor indexed="64"/>
      </patternFill>
    </fill>
    <fill>
      <patternFill patternType="solid">
        <fgColor rgb="FFFFFF99"/>
        <bgColor indexed="64"/>
      </patternFill>
    </fill>
    <fill>
      <patternFill patternType="solid">
        <fgColor theme="9" tint="0.59999389629810485"/>
        <bgColor indexed="64"/>
      </patternFill>
    </fill>
    <fill>
      <patternFill patternType="solid">
        <fgColor rgb="FFC1FFC1"/>
        <bgColor indexed="64"/>
      </patternFill>
    </fill>
    <fill>
      <patternFill patternType="solid">
        <fgColor theme="6" tint="0.79998168889431442"/>
        <bgColor indexed="64"/>
      </patternFill>
    </fill>
    <fill>
      <patternFill patternType="solid">
        <fgColor rgb="FF008080"/>
        <bgColor indexed="64"/>
      </patternFill>
    </fill>
  </fills>
  <borders count="335">
    <border>
      <left/>
      <right/>
      <top/>
      <bottom/>
      <diagonal/>
    </border>
    <border>
      <left style="thick">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ck">
        <color auto="1"/>
      </right>
      <top style="hair">
        <color auto="1"/>
      </top>
      <bottom style="hair">
        <color auto="1"/>
      </bottom>
      <diagonal/>
    </border>
    <border>
      <left style="thick">
        <color auto="1"/>
      </left>
      <right style="thin">
        <color auto="1"/>
      </right>
      <top style="hair">
        <color auto="1"/>
      </top>
      <bottom style="thick">
        <color auto="1"/>
      </bottom>
      <diagonal/>
    </border>
    <border>
      <left style="thin">
        <color auto="1"/>
      </left>
      <right style="thin">
        <color auto="1"/>
      </right>
      <top style="hair">
        <color auto="1"/>
      </top>
      <bottom style="thick">
        <color auto="1"/>
      </bottom>
      <diagonal/>
    </border>
    <border>
      <left style="thin">
        <color auto="1"/>
      </left>
      <right style="thick">
        <color auto="1"/>
      </right>
      <top style="hair">
        <color auto="1"/>
      </top>
      <bottom style="thick">
        <color auto="1"/>
      </bottom>
      <diagonal/>
    </border>
    <border>
      <left style="thick">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thick">
        <color auto="1"/>
      </right>
      <top/>
      <bottom style="hair">
        <color auto="1"/>
      </bottom>
      <diagonal/>
    </border>
    <border>
      <left style="thick">
        <color auto="1"/>
      </left>
      <right style="thin">
        <color auto="1"/>
      </right>
      <top style="hair">
        <color auto="1"/>
      </top>
      <bottom/>
      <diagonal/>
    </border>
    <border>
      <left style="thin">
        <color auto="1"/>
      </left>
      <right style="thin">
        <color auto="1"/>
      </right>
      <top style="hair">
        <color auto="1"/>
      </top>
      <bottom/>
      <diagonal/>
    </border>
    <border>
      <left style="thin">
        <color auto="1"/>
      </left>
      <right style="thick">
        <color auto="1"/>
      </right>
      <top style="hair">
        <color auto="1"/>
      </top>
      <bottom/>
      <diagonal/>
    </border>
    <border>
      <left style="thin">
        <color auto="1"/>
      </left>
      <right/>
      <top/>
      <bottom style="hair">
        <color auto="1"/>
      </bottom>
      <diagonal/>
    </border>
    <border>
      <left style="thin">
        <color auto="1"/>
      </left>
      <right/>
      <top style="hair">
        <color auto="1"/>
      </top>
      <bottom style="hair">
        <color auto="1"/>
      </bottom>
      <diagonal/>
    </border>
    <border>
      <left style="thin">
        <color auto="1"/>
      </left>
      <right/>
      <top style="hair">
        <color auto="1"/>
      </top>
      <bottom/>
      <diagonal/>
    </border>
    <border>
      <left style="thin">
        <color auto="1"/>
      </left>
      <right/>
      <top style="hair">
        <color auto="1"/>
      </top>
      <bottom style="thick">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right style="thin">
        <color auto="1"/>
      </right>
      <top style="hair">
        <color auto="1"/>
      </top>
      <bottom style="thick">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thick">
        <color auto="1"/>
      </bottom>
      <diagonal/>
    </border>
    <border>
      <left/>
      <right/>
      <top/>
      <bottom style="thick">
        <color auto="1"/>
      </bottom>
      <diagonal/>
    </border>
    <border>
      <left style="thin">
        <color auto="1"/>
      </left>
      <right style="thin">
        <color auto="1"/>
      </right>
      <top/>
      <bottom style="thick">
        <color auto="1"/>
      </bottom>
      <diagonal/>
    </border>
    <border>
      <left/>
      <right style="thin">
        <color auto="1"/>
      </right>
      <top/>
      <bottom style="thick">
        <color auto="1"/>
      </bottom>
      <diagonal/>
    </border>
    <border>
      <left style="thin">
        <color auto="1"/>
      </left>
      <right style="thick">
        <color auto="1"/>
      </right>
      <top/>
      <bottom style="thick">
        <color auto="1"/>
      </bottom>
      <diagonal/>
    </border>
    <border>
      <left/>
      <right style="thin">
        <color auto="1"/>
      </right>
      <top style="hair">
        <color auto="1"/>
      </top>
      <bottom style="thin">
        <color indexed="64"/>
      </bottom>
      <diagonal/>
    </border>
    <border>
      <left style="thin">
        <color auto="1"/>
      </left>
      <right style="thick">
        <color auto="1"/>
      </right>
      <top style="hair">
        <color auto="1"/>
      </top>
      <bottom style="thin">
        <color indexed="64"/>
      </bottom>
      <diagonal/>
    </border>
    <border>
      <left/>
      <right/>
      <top/>
      <bottom style="hair">
        <color auto="1"/>
      </bottom>
      <diagonal/>
    </border>
    <border>
      <left/>
      <right/>
      <top style="hair">
        <color auto="1"/>
      </top>
      <bottom style="hair">
        <color auto="1"/>
      </bottom>
      <diagonal/>
    </border>
    <border>
      <left/>
      <right/>
      <top style="hair">
        <color auto="1"/>
      </top>
      <bottom style="thick">
        <color auto="1"/>
      </bottom>
      <diagonal/>
    </border>
    <border>
      <left/>
      <right style="double">
        <color auto="1"/>
      </right>
      <top style="hair">
        <color auto="1"/>
      </top>
      <bottom style="hair">
        <color auto="1"/>
      </bottom>
      <diagonal/>
    </border>
    <border>
      <left style="thin">
        <color auto="1"/>
      </left>
      <right/>
      <top/>
      <bottom style="thick">
        <color auto="1"/>
      </bottom>
      <diagonal/>
    </border>
    <border>
      <left/>
      <right style="double">
        <color auto="1"/>
      </right>
      <top style="hair">
        <color auto="1"/>
      </top>
      <bottom style="thick">
        <color auto="1"/>
      </bottom>
      <diagonal/>
    </border>
    <border>
      <left style="thin">
        <color auto="1"/>
      </left>
      <right/>
      <top style="thick">
        <color auto="1"/>
      </top>
      <bottom/>
      <diagonal/>
    </border>
    <border>
      <left/>
      <right style="thin">
        <color auto="1"/>
      </right>
      <top style="thick">
        <color auto="1"/>
      </top>
      <bottom/>
      <diagonal/>
    </border>
    <border>
      <left style="thin">
        <color auto="1"/>
      </left>
      <right style="thick">
        <color auto="1"/>
      </right>
      <top style="thick">
        <color auto="1"/>
      </top>
      <bottom/>
      <diagonal/>
    </border>
    <border>
      <left/>
      <right style="thick">
        <color auto="1"/>
      </right>
      <top style="hair">
        <color auto="1"/>
      </top>
      <bottom style="hair">
        <color auto="1"/>
      </bottom>
      <diagonal/>
    </border>
    <border>
      <left/>
      <right style="double">
        <color auto="1"/>
      </right>
      <top style="thick">
        <color auto="1"/>
      </top>
      <bottom style="medium">
        <color auto="1"/>
      </bottom>
      <diagonal/>
    </border>
    <border>
      <left style="double">
        <color auto="1"/>
      </left>
      <right style="thin">
        <color auto="1"/>
      </right>
      <top style="thick">
        <color auto="1"/>
      </top>
      <bottom style="medium">
        <color auto="1"/>
      </bottom>
      <diagonal/>
    </border>
    <border>
      <left style="thin">
        <color auto="1"/>
      </left>
      <right style="thin">
        <color auto="1"/>
      </right>
      <top style="thick">
        <color auto="1"/>
      </top>
      <bottom style="medium">
        <color auto="1"/>
      </bottom>
      <diagonal/>
    </border>
    <border>
      <left style="thin">
        <color auto="1"/>
      </left>
      <right style="double">
        <color auto="1"/>
      </right>
      <top style="thick">
        <color auto="1"/>
      </top>
      <bottom style="medium">
        <color auto="1"/>
      </bottom>
      <diagonal/>
    </border>
    <border>
      <left/>
      <right style="thin">
        <color auto="1"/>
      </right>
      <top style="thick">
        <color auto="1"/>
      </top>
      <bottom style="medium">
        <color auto="1"/>
      </bottom>
      <diagonal/>
    </border>
    <border>
      <left style="thin">
        <color auto="1"/>
      </left>
      <right style="thick">
        <color auto="1"/>
      </right>
      <top style="thick">
        <color auto="1"/>
      </top>
      <bottom style="medium">
        <color auto="1"/>
      </bottom>
      <diagonal/>
    </border>
    <border>
      <left/>
      <right/>
      <top style="thick">
        <color auto="1"/>
      </top>
      <bottom style="medium">
        <color auto="1"/>
      </bottom>
      <diagonal/>
    </border>
    <border>
      <left/>
      <right style="medium">
        <color indexed="64"/>
      </right>
      <top/>
      <bottom style="medium">
        <color indexed="64"/>
      </bottom>
      <diagonal/>
    </border>
    <border>
      <left style="thick">
        <color auto="1"/>
      </left>
      <right style="thin">
        <color auto="1"/>
      </right>
      <top style="thick">
        <color auto="1"/>
      </top>
      <bottom style="medium">
        <color auto="1"/>
      </bottom>
      <diagonal/>
    </border>
    <border>
      <left style="thick">
        <color auto="1"/>
      </left>
      <right/>
      <top style="thick">
        <color auto="1"/>
      </top>
      <bottom style="medium">
        <color auto="1"/>
      </bottom>
      <diagonal/>
    </border>
    <border>
      <left style="thick">
        <color auto="1"/>
      </left>
      <right/>
      <top/>
      <bottom style="hair">
        <color auto="1"/>
      </bottom>
      <diagonal/>
    </border>
    <border>
      <left style="thin">
        <color auto="1"/>
      </left>
      <right/>
      <top style="thick">
        <color auto="1"/>
      </top>
      <bottom style="medium">
        <color auto="1"/>
      </bottom>
      <diagonal/>
    </border>
    <border>
      <left style="thin">
        <color auto="1"/>
      </left>
      <right style="thick">
        <color auto="1"/>
      </right>
      <top/>
      <bottom/>
      <diagonal/>
    </border>
    <border>
      <left style="thick">
        <color auto="1"/>
      </left>
      <right style="medium">
        <color auto="1"/>
      </right>
      <top style="hair">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thick">
        <color auto="1"/>
      </right>
      <top style="hair">
        <color auto="1"/>
      </top>
      <bottom style="hair">
        <color auto="1"/>
      </bottom>
      <diagonal/>
    </border>
    <border>
      <left style="medium">
        <color auto="1"/>
      </left>
      <right style="medium">
        <color auto="1"/>
      </right>
      <top style="hair">
        <color auto="1"/>
      </top>
      <bottom style="thick">
        <color auto="1"/>
      </bottom>
      <diagonal/>
    </border>
    <border>
      <left style="medium">
        <color auto="1"/>
      </left>
      <right style="thick">
        <color auto="1"/>
      </right>
      <top style="hair">
        <color auto="1"/>
      </top>
      <bottom style="thick">
        <color auto="1"/>
      </bottom>
      <diagonal/>
    </border>
    <border>
      <left style="thick">
        <color auto="1"/>
      </left>
      <right style="medium">
        <color auto="1"/>
      </right>
      <top/>
      <bottom style="hair">
        <color auto="1"/>
      </bottom>
      <diagonal/>
    </border>
    <border>
      <left style="medium">
        <color auto="1"/>
      </left>
      <right style="medium">
        <color auto="1"/>
      </right>
      <top/>
      <bottom style="hair">
        <color auto="1"/>
      </bottom>
      <diagonal/>
    </border>
    <border>
      <left style="medium">
        <color auto="1"/>
      </left>
      <right style="thick">
        <color auto="1"/>
      </right>
      <top/>
      <bottom style="hair">
        <color auto="1"/>
      </bottom>
      <diagonal/>
    </border>
    <border>
      <left/>
      <right style="thick">
        <color auto="1"/>
      </right>
      <top style="thick">
        <color auto="1"/>
      </top>
      <bottom style="medium">
        <color auto="1"/>
      </bottom>
      <diagonal/>
    </border>
    <border>
      <left style="thick">
        <color auto="1"/>
      </left>
      <right style="medium">
        <color auto="1"/>
      </right>
      <top style="hair">
        <color auto="1"/>
      </top>
      <bottom/>
      <diagonal/>
    </border>
    <border>
      <left style="medium">
        <color auto="1"/>
      </left>
      <right style="medium">
        <color auto="1"/>
      </right>
      <top style="hair">
        <color auto="1"/>
      </top>
      <bottom/>
      <diagonal/>
    </border>
    <border>
      <left style="thick">
        <color indexed="64"/>
      </left>
      <right/>
      <top style="medium">
        <color indexed="64"/>
      </top>
      <bottom/>
      <diagonal/>
    </border>
    <border>
      <left style="thick">
        <color indexed="64"/>
      </left>
      <right/>
      <top/>
      <bottom/>
      <diagonal/>
    </border>
    <border>
      <left style="thin">
        <color auto="1"/>
      </left>
      <right/>
      <top style="medium">
        <color auto="1"/>
      </top>
      <bottom style="hair">
        <color auto="1"/>
      </bottom>
      <diagonal/>
    </border>
    <border>
      <left/>
      <right/>
      <top style="medium">
        <color auto="1"/>
      </top>
      <bottom style="hair">
        <color auto="1"/>
      </bottom>
      <diagonal/>
    </border>
    <border>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medium">
        <color auto="1"/>
      </right>
      <top style="medium">
        <color auto="1"/>
      </top>
      <bottom/>
      <diagonal/>
    </border>
    <border>
      <left/>
      <right style="medium">
        <color auto="1"/>
      </right>
      <top/>
      <bottom style="hair">
        <color auto="1"/>
      </bottom>
      <diagonal/>
    </border>
    <border>
      <left style="thick">
        <color auto="1"/>
      </left>
      <right style="medium">
        <color auto="1"/>
      </right>
      <top/>
      <bottom/>
      <diagonal/>
    </border>
    <border>
      <left style="thick">
        <color auto="1"/>
      </left>
      <right style="medium">
        <color auto="1"/>
      </right>
      <top/>
      <bottom style="medium">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style="thick">
        <color auto="1"/>
      </right>
      <top style="thin">
        <color auto="1"/>
      </top>
      <bottom/>
      <diagonal/>
    </border>
    <border>
      <left style="thick">
        <color auto="1"/>
      </left>
      <right/>
      <top style="double">
        <color auto="1"/>
      </top>
      <bottom style="thick">
        <color auto="1"/>
      </bottom>
      <diagonal/>
    </border>
    <border>
      <left/>
      <right style="medium">
        <color auto="1"/>
      </right>
      <top style="double">
        <color auto="1"/>
      </top>
      <bottom style="thick">
        <color auto="1"/>
      </bottom>
      <diagonal/>
    </border>
    <border>
      <left style="thin">
        <color auto="1"/>
      </left>
      <right style="thin">
        <color auto="1"/>
      </right>
      <top style="double">
        <color auto="1"/>
      </top>
      <bottom style="thick">
        <color auto="1"/>
      </bottom>
      <diagonal/>
    </border>
    <border>
      <left style="medium">
        <color auto="1"/>
      </left>
      <right style="thick">
        <color auto="1"/>
      </right>
      <top style="double">
        <color auto="1"/>
      </top>
      <bottom style="thick">
        <color auto="1"/>
      </bottom>
      <diagonal/>
    </border>
    <border>
      <left/>
      <right style="thick">
        <color auto="1"/>
      </right>
      <top style="hair">
        <color auto="1"/>
      </top>
      <bottom/>
      <diagonal/>
    </border>
    <border>
      <left style="thin">
        <color auto="1"/>
      </left>
      <right style="thin">
        <color auto="1"/>
      </right>
      <top style="thin">
        <color auto="1"/>
      </top>
      <bottom style="hair">
        <color auto="1"/>
      </bottom>
      <diagonal/>
    </border>
    <border>
      <left/>
      <right style="thin">
        <color auto="1"/>
      </right>
      <top style="thin">
        <color auto="1"/>
      </top>
      <bottom style="hair">
        <color auto="1"/>
      </bottom>
      <diagonal/>
    </border>
    <border>
      <left style="thin">
        <color auto="1"/>
      </left>
      <right/>
      <top style="thin">
        <color auto="1"/>
      </top>
      <bottom style="hair">
        <color auto="1"/>
      </bottom>
      <diagonal/>
    </border>
    <border>
      <left/>
      <right style="thin">
        <color auto="1"/>
      </right>
      <top style="medium">
        <color auto="1"/>
      </top>
      <bottom style="hair">
        <color auto="1"/>
      </bottom>
      <diagonal/>
    </border>
    <border>
      <left/>
      <right/>
      <top/>
      <bottom style="double">
        <color indexed="64"/>
      </bottom>
      <diagonal/>
    </border>
    <border>
      <left style="medium">
        <color auto="1"/>
      </left>
      <right style="thin">
        <color auto="1"/>
      </right>
      <top style="thick">
        <color auto="1"/>
      </top>
      <bottom/>
      <diagonal/>
    </border>
    <border>
      <left style="thin">
        <color auto="1"/>
      </left>
      <right style="medium">
        <color auto="1"/>
      </right>
      <top style="thick">
        <color auto="1"/>
      </top>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medium">
        <color auto="1"/>
      </left>
      <right style="thin">
        <color auto="1"/>
      </right>
      <top style="hair">
        <color auto="1"/>
      </top>
      <bottom style="thick">
        <color auto="1"/>
      </bottom>
      <diagonal/>
    </border>
    <border>
      <left style="thin">
        <color auto="1"/>
      </left>
      <right style="medium">
        <color auto="1"/>
      </right>
      <top style="hair">
        <color auto="1"/>
      </top>
      <bottom style="thick">
        <color auto="1"/>
      </bottom>
      <diagonal/>
    </border>
    <border>
      <left style="thick">
        <color auto="1"/>
      </left>
      <right style="thin">
        <color auto="1"/>
      </right>
      <top/>
      <bottom/>
      <diagonal/>
    </border>
    <border>
      <left style="thick">
        <color auto="1"/>
      </left>
      <right style="thin">
        <color auto="1"/>
      </right>
      <top/>
      <bottom style="thick">
        <color auto="1"/>
      </bottom>
      <diagonal/>
    </border>
    <border>
      <left style="double">
        <color auto="1"/>
      </left>
      <right style="thin">
        <color auto="1"/>
      </right>
      <top style="thin">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thin">
        <color auto="1"/>
      </left>
      <right style="thick">
        <color auto="1"/>
      </right>
      <top style="thin">
        <color auto="1"/>
      </top>
      <bottom/>
      <diagonal/>
    </border>
    <border>
      <left style="thick">
        <color auto="1"/>
      </left>
      <right style="thin">
        <color auto="1"/>
      </right>
      <top style="medium">
        <color auto="1"/>
      </top>
      <bottom/>
      <diagonal/>
    </border>
    <border>
      <left style="medium">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ck">
        <color auto="1"/>
      </right>
      <top style="medium">
        <color auto="1"/>
      </top>
      <bottom style="hair">
        <color auto="1"/>
      </bottom>
      <diagonal/>
    </border>
    <border>
      <left style="thick">
        <color auto="1"/>
      </left>
      <right style="thin">
        <color auto="1"/>
      </right>
      <top/>
      <bottom style="thin">
        <color auto="1"/>
      </bottom>
      <diagonal/>
    </border>
    <border>
      <left style="thin">
        <color auto="1"/>
      </left>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thin">
        <color auto="1"/>
      </left>
      <right style="thick">
        <color auto="1"/>
      </right>
      <top/>
      <bottom style="thin">
        <color auto="1"/>
      </bottom>
      <diagonal/>
    </border>
    <border>
      <left style="medium">
        <color auto="1"/>
      </left>
      <right style="thin">
        <color auto="1"/>
      </right>
      <top style="hair">
        <color auto="1"/>
      </top>
      <bottom/>
      <diagonal/>
    </border>
    <border>
      <left style="thin">
        <color auto="1"/>
      </left>
      <right style="medium">
        <color auto="1"/>
      </right>
      <top style="hair">
        <color auto="1"/>
      </top>
      <bottom/>
      <diagonal/>
    </border>
    <border>
      <left style="thick">
        <color auto="1"/>
      </left>
      <right style="thin">
        <color auto="1"/>
      </right>
      <top style="thin">
        <color auto="1"/>
      </top>
      <bottom/>
      <diagonal/>
    </border>
    <border>
      <left style="medium">
        <color auto="1"/>
      </left>
      <right style="thin">
        <color auto="1"/>
      </right>
      <top style="thin">
        <color auto="1"/>
      </top>
      <bottom style="hair">
        <color auto="1"/>
      </bottom>
      <diagonal/>
    </border>
    <border>
      <left style="thin">
        <color auto="1"/>
      </left>
      <right style="medium">
        <color auto="1"/>
      </right>
      <top style="thin">
        <color auto="1"/>
      </top>
      <bottom style="hair">
        <color auto="1"/>
      </bottom>
      <diagonal/>
    </border>
    <border>
      <left style="thin">
        <color auto="1"/>
      </left>
      <right style="thick">
        <color auto="1"/>
      </right>
      <top style="thin">
        <color auto="1"/>
      </top>
      <bottom style="hair">
        <color auto="1"/>
      </bottom>
      <diagonal/>
    </border>
    <border>
      <left style="thick">
        <color auto="1"/>
      </left>
      <right/>
      <top style="thick">
        <color auto="1"/>
      </top>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ck">
        <color auto="1"/>
      </bottom>
      <diagonal/>
    </border>
    <border>
      <left style="thin">
        <color auto="1"/>
      </left>
      <right style="thin">
        <color auto="1"/>
      </right>
      <top/>
      <bottom style="thin">
        <color auto="1"/>
      </bottom>
      <diagonal/>
    </border>
    <border>
      <left style="thick">
        <color auto="1"/>
      </left>
      <right/>
      <top/>
      <bottom style="thin">
        <color auto="1"/>
      </bottom>
      <diagonal/>
    </border>
    <border>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top style="thick">
        <color auto="1"/>
      </top>
      <bottom/>
      <diagonal/>
    </border>
    <border>
      <left style="thick">
        <color auto="1"/>
      </left>
      <right/>
      <top style="double">
        <color auto="1"/>
      </top>
      <bottom/>
      <diagonal/>
    </border>
    <border>
      <left/>
      <right style="thin">
        <color auto="1"/>
      </right>
      <top style="double">
        <color auto="1"/>
      </top>
      <bottom/>
      <diagonal/>
    </border>
    <border>
      <left style="thick">
        <color auto="1"/>
      </left>
      <right/>
      <top/>
      <bottom style="double">
        <color auto="1"/>
      </bottom>
      <diagonal/>
    </border>
    <border>
      <left/>
      <right style="thin">
        <color auto="1"/>
      </right>
      <top/>
      <bottom style="double">
        <color auto="1"/>
      </bottom>
      <diagonal/>
    </border>
    <border>
      <left style="thin">
        <color auto="1"/>
      </left>
      <right style="thick">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style="thick">
        <color auto="1"/>
      </right>
      <top style="medium">
        <color auto="1"/>
      </top>
      <bottom/>
      <diagonal/>
    </border>
    <border>
      <left style="thin">
        <color auto="1"/>
      </left>
      <right style="thin">
        <color auto="1"/>
      </right>
      <top style="medium">
        <color auto="1"/>
      </top>
      <bottom style="medium">
        <color auto="1"/>
      </bottom>
      <diagonal/>
    </border>
    <border>
      <left style="thick">
        <color auto="1"/>
      </left>
      <right/>
      <top/>
      <bottom style="thick">
        <color auto="1"/>
      </bottom>
      <diagonal/>
    </border>
    <border>
      <left style="thick">
        <color auto="1"/>
      </left>
      <right style="medium">
        <color auto="1"/>
      </right>
      <top style="thick">
        <color auto="1"/>
      </top>
      <bottom style="medium">
        <color auto="1"/>
      </bottom>
      <diagonal/>
    </border>
    <border>
      <left style="medium">
        <color auto="1"/>
      </left>
      <right/>
      <top style="thick">
        <color auto="1"/>
      </top>
      <bottom style="medium">
        <color auto="1"/>
      </bottom>
      <diagonal/>
    </border>
    <border>
      <left style="medium">
        <color auto="1"/>
      </left>
      <right style="thin">
        <color auto="1"/>
      </right>
      <top style="thick">
        <color auto="1"/>
      </top>
      <bottom style="medium">
        <color auto="1"/>
      </bottom>
      <diagonal/>
    </border>
    <border>
      <left style="medium">
        <color auto="1"/>
      </left>
      <right style="thin">
        <color auto="1"/>
      </right>
      <top/>
      <bottom/>
      <diagonal/>
    </border>
    <border>
      <left style="thick">
        <color auto="1"/>
      </left>
      <right style="medium">
        <color auto="1"/>
      </right>
      <top style="hair">
        <color auto="1"/>
      </top>
      <bottom style="thick">
        <color auto="1"/>
      </bottom>
      <diagonal/>
    </border>
    <border>
      <left style="thick">
        <color auto="1"/>
      </left>
      <right style="medium">
        <color auto="1"/>
      </right>
      <top style="double">
        <color auto="1"/>
      </top>
      <bottom style="thick">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style="thin">
        <color auto="1"/>
      </right>
      <top style="medium">
        <color auto="1"/>
      </top>
      <bottom/>
      <diagonal/>
    </border>
    <border>
      <left/>
      <right/>
      <top style="double">
        <color auto="1"/>
      </top>
      <bottom/>
      <diagonal/>
    </border>
    <border>
      <left style="thick">
        <color auto="1"/>
      </left>
      <right style="thin">
        <color auto="1"/>
      </right>
      <top style="double">
        <color auto="1"/>
      </top>
      <bottom/>
      <diagonal/>
    </border>
    <border>
      <left style="thin">
        <color auto="1"/>
      </left>
      <right style="thin">
        <color auto="1"/>
      </right>
      <top/>
      <bottom style="double">
        <color auto="1"/>
      </bottom>
      <diagonal/>
    </border>
    <border>
      <left style="thick">
        <color auto="1"/>
      </left>
      <right style="thin">
        <color auto="1"/>
      </right>
      <top/>
      <bottom style="double">
        <color auto="1"/>
      </bottom>
      <diagonal/>
    </border>
    <border>
      <left style="thin">
        <color auto="1"/>
      </left>
      <right style="thick">
        <color auto="1"/>
      </right>
      <top/>
      <bottom style="medium">
        <color auto="1"/>
      </bottom>
      <diagonal/>
    </border>
    <border>
      <left style="medium">
        <color auto="1"/>
      </left>
      <right style="medium">
        <color auto="1"/>
      </right>
      <top style="thick">
        <color auto="1"/>
      </top>
      <bottom style="medium">
        <color auto="1"/>
      </bottom>
      <diagonal/>
    </border>
    <border diagonalDown="1">
      <left style="thick">
        <color auto="1"/>
      </left>
      <right style="medium">
        <color auto="1"/>
      </right>
      <top style="thick">
        <color auto="1"/>
      </top>
      <bottom style="medium">
        <color auto="1"/>
      </bottom>
      <diagonal style="thin">
        <color auto="1"/>
      </diagonal>
    </border>
    <border diagonalDown="1">
      <left style="medium">
        <color auto="1"/>
      </left>
      <right style="medium">
        <color auto="1"/>
      </right>
      <top style="thick">
        <color auto="1"/>
      </top>
      <bottom style="medium">
        <color auto="1"/>
      </bottom>
      <diagonal style="thin">
        <color auto="1"/>
      </diagonal>
    </border>
    <border>
      <left style="thick">
        <color auto="1"/>
      </left>
      <right style="medium">
        <color auto="1"/>
      </right>
      <top/>
      <bottom style="thin">
        <color auto="1"/>
      </bottom>
      <diagonal/>
    </border>
    <border>
      <left style="medium">
        <color auto="1"/>
      </left>
      <right style="medium">
        <color auto="1"/>
      </right>
      <top/>
      <bottom style="thin">
        <color auto="1"/>
      </bottom>
      <diagonal/>
    </border>
    <border>
      <left style="medium">
        <color auto="1"/>
      </left>
      <right style="thick">
        <color auto="1"/>
      </right>
      <top/>
      <bottom style="thin">
        <color auto="1"/>
      </bottom>
      <diagonal/>
    </border>
    <border>
      <left style="medium">
        <color auto="1"/>
      </left>
      <right style="medium">
        <color auto="1"/>
      </right>
      <top style="medium">
        <color auto="1"/>
      </top>
      <bottom/>
      <diagonal/>
    </border>
    <border>
      <left style="thick">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ck">
        <color auto="1"/>
      </right>
      <top style="thin">
        <color auto="1"/>
      </top>
      <bottom style="thin">
        <color auto="1"/>
      </bottom>
      <diagonal/>
    </border>
    <border>
      <left style="thick">
        <color auto="1"/>
      </left>
      <right style="medium">
        <color auto="1"/>
      </right>
      <top style="thin">
        <color auto="1"/>
      </top>
      <bottom/>
      <diagonal/>
    </border>
    <border>
      <left style="thick">
        <color auto="1"/>
      </left>
      <right style="medium">
        <color auto="1"/>
      </right>
      <top/>
      <bottom style="double">
        <color auto="1"/>
      </bottom>
      <diagonal/>
    </border>
    <border>
      <left style="medium">
        <color auto="1"/>
      </left>
      <right style="medium">
        <color auto="1"/>
      </right>
      <top/>
      <bottom style="double">
        <color auto="1"/>
      </bottom>
      <diagonal/>
    </border>
    <border>
      <left style="medium">
        <color auto="1"/>
      </left>
      <right style="medium">
        <color auto="1"/>
      </right>
      <top style="thin">
        <color auto="1"/>
      </top>
      <bottom style="double">
        <color auto="1"/>
      </bottom>
      <diagonal/>
    </border>
    <border>
      <left style="medium">
        <color auto="1"/>
      </left>
      <right style="medium">
        <color auto="1"/>
      </right>
      <top/>
      <bottom/>
      <diagonal/>
    </border>
    <border>
      <left style="thick">
        <color auto="1"/>
      </left>
      <right style="medium">
        <color auto="1"/>
      </right>
      <top style="double">
        <color auto="1"/>
      </top>
      <bottom style="thin">
        <color auto="1"/>
      </bottom>
      <diagonal/>
    </border>
    <border>
      <left style="medium">
        <color auto="1"/>
      </left>
      <right style="medium">
        <color auto="1"/>
      </right>
      <top style="double">
        <color auto="1"/>
      </top>
      <bottom/>
      <diagonal/>
    </border>
    <border>
      <left style="thick">
        <color auto="1"/>
      </left>
      <right style="medium">
        <color auto="1"/>
      </right>
      <top style="thin">
        <color auto="1"/>
      </top>
      <bottom style="thick">
        <color auto="1"/>
      </bottom>
      <diagonal/>
    </border>
    <border>
      <left style="medium">
        <color auto="1"/>
      </left>
      <right style="medium">
        <color auto="1"/>
      </right>
      <top/>
      <bottom style="thick">
        <color auto="1"/>
      </bottom>
      <diagonal/>
    </border>
    <border>
      <left style="medium">
        <color auto="1"/>
      </left>
      <right style="medium">
        <color auto="1"/>
      </right>
      <top style="thin">
        <color auto="1"/>
      </top>
      <bottom style="thick">
        <color auto="1"/>
      </bottom>
      <diagonal/>
    </border>
    <border>
      <left style="medium">
        <color auto="1"/>
      </left>
      <right style="thick">
        <color auto="1"/>
      </right>
      <top style="thin">
        <color auto="1"/>
      </top>
      <bottom style="thick">
        <color auto="1"/>
      </bottom>
      <diagonal/>
    </border>
    <border>
      <left style="medium">
        <color auto="1"/>
      </left>
      <right/>
      <top style="thin">
        <color auto="1"/>
      </top>
      <bottom style="thin">
        <color auto="1"/>
      </bottom>
      <diagonal/>
    </border>
    <border diagonalUp="1">
      <left style="medium">
        <color auto="1"/>
      </left>
      <right style="thick">
        <color auto="1"/>
      </right>
      <top style="thin">
        <color auto="1"/>
      </top>
      <bottom style="thin">
        <color auto="1"/>
      </bottom>
      <diagonal style="thin">
        <color auto="1"/>
      </diagonal>
    </border>
    <border>
      <left style="medium">
        <color auto="1"/>
      </left>
      <right/>
      <top style="thin">
        <color auto="1"/>
      </top>
      <bottom/>
      <diagonal/>
    </border>
    <border diagonalUp="1">
      <left style="medium">
        <color auto="1"/>
      </left>
      <right style="thick">
        <color auto="1"/>
      </right>
      <top style="thin">
        <color auto="1"/>
      </top>
      <bottom style="double">
        <color auto="1"/>
      </bottom>
      <diagonal style="thin">
        <color auto="1"/>
      </diagonal>
    </border>
    <border>
      <left style="medium">
        <color auto="1"/>
      </left>
      <right style="medium">
        <color auto="1"/>
      </right>
      <top style="double">
        <color auto="1"/>
      </top>
      <bottom style="thick">
        <color auto="1"/>
      </bottom>
      <diagonal/>
    </border>
    <border>
      <left style="medium">
        <color auto="1"/>
      </left>
      <right style="thick">
        <color auto="1"/>
      </right>
      <top/>
      <bottom style="medium">
        <color auto="1"/>
      </bottom>
      <diagonal/>
    </border>
    <border>
      <left style="medium">
        <color auto="1"/>
      </left>
      <right style="medium">
        <color auto="1"/>
      </right>
      <top/>
      <bottom style="medium">
        <color auto="1"/>
      </bottom>
      <diagonal/>
    </border>
    <border>
      <left style="thin">
        <color auto="1"/>
      </left>
      <right/>
      <top style="thin">
        <color auto="1"/>
      </top>
      <bottom style="thick">
        <color auto="1"/>
      </bottom>
      <diagonal/>
    </border>
    <border>
      <left style="thick">
        <color auto="1"/>
      </left>
      <right style="medium">
        <color auto="1"/>
      </right>
      <top style="thick">
        <color auto="1"/>
      </top>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medium">
        <color auto="1"/>
      </left>
      <right style="thick">
        <color auto="1"/>
      </right>
      <top/>
      <bottom/>
      <diagonal/>
    </border>
    <border diagonalUp="1">
      <left style="medium">
        <color auto="1"/>
      </left>
      <right style="medium">
        <color auto="1"/>
      </right>
      <top style="double">
        <color auto="1"/>
      </top>
      <bottom style="thick">
        <color auto="1"/>
      </bottom>
      <diagonal style="hair">
        <color auto="1"/>
      </diagonal>
    </border>
    <border diagonalUp="1">
      <left style="medium">
        <color auto="1"/>
      </left>
      <right style="medium">
        <color auto="1"/>
      </right>
      <top style="double">
        <color auto="1"/>
      </top>
      <bottom style="thick">
        <color auto="1"/>
      </bottom>
      <diagonal style="thin">
        <color auto="1"/>
      </diagonal>
    </border>
    <border>
      <left style="medium">
        <color auto="1"/>
      </left>
      <right/>
      <top/>
      <bottom style="medium">
        <color auto="1"/>
      </bottom>
      <diagonal/>
    </border>
    <border>
      <left style="medium">
        <color auto="1"/>
      </left>
      <right/>
      <top/>
      <bottom style="thin">
        <color auto="1"/>
      </bottom>
      <diagonal/>
    </border>
    <border diagonalUp="1">
      <left style="medium">
        <color auto="1"/>
      </left>
      <right style="medium">
        <color auto="1"/>
      </right>
      <top style="thin">
        <color auto="1"/>
      </top>
      <bottom/>
      <diagonal style="thin">
        <color auto="1"/>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top style="medium">
        <color auto="1"/>
      </top>
      <bottom style="thick">
        <color auto="1"/>
      </bottom>
      <diagonal/>
    </border>
    <border>
      <left style="thin">
        <color auto="1"/>
      </left>
      <right style="medium">
        <color auto="1"/>
      </right>
      <top style="thick">
        <color auto="1"/>
      </top>
      <bottom style="medium">
        <color auto="1"/>
      </bottom>
      <diagonal/>
    </border>
    <border>
      <left style="thin">
        <color auto="1"/>
      </left>
      <right style="medium">
        <color auto="1"/>
      </right>
      <top/>
      <bottom style="thin">
        <color auto="1"/>
      </bottom>
      <diagonal/>
    </border>
    <border>
      <left/>
      <right style="thick">
        <color auto="1"/>
      </right>
      <top/>
      <bottom style="thin">
        <color auto="1"/>
      </bottom>
      <diagonal/>
    </border>
    <border>
      <left style="thin">
        <color auto="1"/>
      </left>
      <right style="medium">
        <color auto="1"/>
      </right>
      <top style="thin">
        <color auto="1"/>
      </top>
      <bottom style="thin">
        <color auto="1"/>
      </bottom>
      <diagonal/>
    </border>
    <border>
      <left/>
      <right style="thick">
        <color auto="1"/>
      </right>
      <top style="thin">
        <color auto="1"/>
      </top>
      <bottom style="thin">
        <color auto="1"/>
      </bottom>
      <diagonal/>
    </border>
    <border>
      <left style="thick">
        <color auto="1"/>
      </left>
      <right/>
      <top style="double">
        <color auto="1"/>
      </top>
      <bottom style="double">
        <color auto="1"/>
      </bottom>
      <diagonal/>
    </border>
    <border>
      <left style="thick">
        <color auto="1"/>
      </left>
      <right style="thin">
        <color auto="1"/>
      </right>
      <top style="thin">
        <color auto="1"/>
      </top>
      <bottom style="thick">
        <color auto="1"/>
      </bottom>
      <diagonal/>
    </border>
    <border>
      <left style="thin">
        <color auto="1"/>
      </left>
      <right style="medium">
        <color auto="1"/>
      </right>
      <top style="thin">
        <color auto="1"/>
      </top>
      <bottom style="thick">
        <color auto="1"/>
      </bottom>
      <diagonal/>
    </border>
    <border>
      <left/>
      <right style="thick">
        <color auto="1"/>
      </right>
      <top style="thin">
        <color auto="1"/>
      </top>
      <bottom style="thick">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medium">
        <color auto="1"/>
      </left>
      <right style="thick">
        <color auto="1"/>
      </right>
      <top/>
      <bottom style="double">
        <color auto="1"/>
      </bottom>
      <diagonal/>
    </border>
    <border>
      <left style="medium">
        <color auto="1"/>
      </left>
      <right style="thick">
        <color auto="1"/>
      </right>
      <top style="double">
        <color auto="1"/>
      </top>
      <bottom style="thin">
        <color auto="1"/>
      </bottom>
      <diagonal/>
    </border>
    <border>
      <left style="medium">
        <color auto="1"/>
      </left>
      <right style="medium">
        <color auto="1"/>
      </right>
      <top style="double">
        <color auto="1"/>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style="medium">
        <color auto="1"/>
      </left>
      <right/>
      <top style="hair">
        <color auto="1"/>
      </top>
      <bottom/>
      <diagonal/>
    </border>
    <border>
      <left style="medium">
        <color auto="1"/>
      </left>
      <right/>
      <top style="hair">
        <color auto="1"/>
      </top>
      <bottom style="thick">
        <color auto="1"/>
      </bottom>
      <diagonal/>
    </border>
    <border>
      <left style="thin">
        <color auto="1"/>
      </left>
      <right style="thin">
        <color auto="1"/>
      </right>
      <top style="medium">
        <color auto="1"/>
      </top>
      <bottom style="hair">
        <color auto="1"/>
      </bottom>
      <diagonal/>
    </border>
    <border>
      <left style="thick">
        <color auto="1"/>
      </left>
      <right style="medium">
        <color auto="1"/>
      </right>
      <top style="hair">
        <color auto="1"/>
      </top>
      <bottom style="thin">
        <color auto="1"/>
      </bottom>
      <diagonal/>
    </border>
    <border>
      <left style="medium">
        <color auto="1"/>
      </left>
      <right style="medium">
        <color auto="1"/>
      </right>
      <top style="hair">
        <color auto="1"/>
      </top>
      <bottom style="thin">
        <color auto="1"/>
      </bottom>
      <diagonal/>
    </border>
    <border>
      <left style="medium">
        <color auto="1"/>
      </left>
      <right/>
      <top style="hair">
        <color auto="1"/>
      </top>
      <bottom style="thin">
        <color auto="1"/>
      </bottom>
      <diagonal/>
    </border>
    <border>
      <left style="medium">
        <color auto="1"/>
      </left>
      <right style="thick">
        <color auto="1"/>
      </right>
      <top style="hair">
        <color auto="1"/>
      </top>
      <bottom style="thin">
        <color auto="1"/>
      </bottom>
      <diagonal/>
    </border>
    <border>
      <left/>
      <right/>
      <top style="thin">
        <color indexed="64"/>
      </top>
      <bottom/>
      <diagonal/>
    </border>
    <border>
      <left style="thin">
        <color indexed="64"/>
      </left>
      <right/>
      <top/>
      <bottom/>
      <diagonal/>
    </border>
    <border>
      <left/>
      <right/>
      <top/>
      <bottom style="thin">
        <color indexed="64"/>
      </bottom>
      <diagonal/>
    </border>
    <border>
      <left style="thick">
        <color auto="1"/>
      </left>
      <right style="thin">
        <color auto="1"/>
      </right>
      <top style="hair">
        <color auto="1"/>
      </top>
      <bottom style="medium">
        <color indexed="64"/>
      </bottom>
      <diagonal/>
    </border>
    <border>
      <left/>
      <right/>
      <top style="hair">
        <color auto="1"/>
      </top>
      <bottom style="medium">
        <color indexed="64"/>
      </bottom>
      <diagonal/>
    </border>
    <border>
      <left style="thin">
        <color auto="1"/>
      </left>
      <right style="thin">
        <color auto="1"/>
      </right>
      <top style="hair">
        <color auto="1"/>
      </top>
      <bottom style="medium">
        <color indexed="64"/>
      </bottom>
      <diagonal/>
    </border>
    <border>
      <left/>
      <right style="thin">
        <color auto="1"/>
      </right>
      <top style="hair">
        <color auto="1"/>
      </top>
      <bottom style="medium">
        <color indexed="64"/>
      </bottom>
      <diagonal/>
    </border>
    <border>
      <left/>
      <right style="thick">
        <color auto="1"/>
      </right>
      <top style="hair">
        <color auto="1"/>
      </top>
      <bottom style="medium">
        <color indexed="64"/>
      </bottom>
      <diagonal/>
    </border>
    <border>
      <left style="thin">
        <color auto="1"/>
      </left>
      <right/>
      <top style="hair">
        <color auto="1"/>
      </top>
      <bottom style="medium">
        <color indexed="64"/>
      </bottom>
      <diagonal/>
    </border>
    <border>
      <left/>
      <right style="thin">
        <color auto="1"/>
      </right>
      <top/>
      <bottom style="medium">
        <color indexed="64"/>
      </bottom>
      <diagonal/>
    </border>
    <border>
      <left/>
      <right style="thick">
        <color auto="1"/>
      </right>
      <top/>
      <bottom style="medium">
        <color indexed="64"/>
      </bottom>
      <diagonal/>
    </border>
    <border>
      <left/>
      <right style="thick">
        <color auto="1"/>
      </right>
      <top/>
      <bottom style="hair">
        <color auto="1"/>
      </bottom>
      <diagonal/>
    </border>
    <border>
      <left style="thin">
        <color auto="1"/>
      </left>
      <right style="thin">
        <color auto="1"/>
      </right>
      <top style="hair">
        <color auto="1"/>
      </top>
      <bottom style="thin">
        <color indexed="64"/>
      </bottom>
      <diagonal/>
    </border>
    <border>
      <left/>
      <right style="thick">
        <color auto="1"/>
      </right>
      <top style="hair">
        <color auto="1"/>
      </top>
      <bottom style="thin">
        <color indexed="64"/>
      </bottom>
      <diagonal/>
    </border>
    <border>
      <left/>
      <right style="thick">
        <color auto="1"/>
      </right>
      <top style="thin">
        <color auto="1"/>
      </top>
      <bottom style="hair">
        <color auto="1"/>
      </bottom>
      <diagonal/>
    </border>
    <border>
      <left/>
      <right style="thick">
        <color auto="1"/>
      </right>
      <top style="hair">
        <color auto="1"/>
      </top>
      <bottom style="thick">
        <color auto="1"/>
      </bottom>
      <diagonal/>
    </border>
    <border>
      <left/>
      <right style="thick">
        <color auto="1"/>
      </right>
      <top style="thin">
        <color auto="1"/>
      </top>
      <bottom/>
      <diagonal/>
    </border>
    <border>
      <left/>
      <right style="thick">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style="medium">
        <color auto="1"/>
      </bottom>
      <diagonal/>
    </border>
    <border>
      <left style="thin">
        <color auto="1"/>
      </left>
      <right/>
      <top style="medium">
        <color indexed="64"/>
      </top>
      <bottom style="medium">
        <color auto="1"/>
      </bottom>
      <diagonal/>
    </border>
    <border>
      <left style="thin">
        <color auto="1"/>
      </left>
      <right style="medium">
        <color indexed="64"/>
      </right>
      <top style="medium">
        <color indexed="64"/>
      </top>
      <bottom style="medium">
        <color auto="1"/>
      </bottom>
      <diagonal/>
    </border>
    <border>
      <left style="thick">
        <color auto="1"/>
      </left>
      <right style="double">
        <color auto="1"/>
      </right>
      <top style="thick">
        <color auto="1"/>
      </top>
      <bottom style="hair">
        <color auto="1"/>
      </bottom>
      <diagonal/>
    </border>
    <border>
      <left style="thick">
        <color auto="1"/>
      </left>
      <right style="double">
        <color auto="1"/>
      </right>
      <top style="hair">
        <color auto="1"/>
      </top>
      <bottom style="medium">
        <color auto="1"/>
      </bottom>
      <diagonal/>
    </border>
    <border>
      <left style="thick">
        <color auto="1"/>
      </left>
      <right style="double">
        <color auto="1"/>
      </right>
      <top style="medium">
        <color auto="1"/>
      </top>
      <bottom style="hair">
        <color auto="1"/>
      </bottom>
      <diagonal/>
    </border>
    <border>
      <left/>
      <right style="medium">
        <color auto="1"/>
      </right>
      <top style="medium">
        <color auto="1"/>
      </top>
      <bottom style="hair">
        <color auto="1"/>
      </bottom>
      <diagonal/>
    </border>
    <border>
      <left style="thick">
        <color auto="1"/>
      </left>
      <right style="double">
        <color auto="1"/>
      </right>
      <top style="hair">
        <color auto="1"/>
      </top>
      <bottom style="hair">
        <color auto="1"/>
      </bottom>
      <diagonal/>
    </border>
    <border>
      <left style="thick">
        <color auto="1"/>
      </left>
      <right style="double">
        <color auto="1"/>
      </right>
      <top style="hair">
        <color auto="1"/>
      </top>
      <bottom/>
      <diagonal/>
    </border>
    <border>
      <left style="thick">
        <color auto="1"/>
      </left>
      <right style="double">
        <color auto="1"/>
      </right>
      <top style="hair">
        <color auto="1"/>
      </top>
      <bottom style="thin">
        <color auto="1"/>
      </bottom>
      <diagonal/>
    </border>
    <border>
      <left style="thick">
        <color auto="1"/>
      </left>
      <right style="double">
        <color auto="1"/>
      </right>
      <top style="thin">
        <color auto="1"/>
      </top>
      <bottom style="hair">
        <color auto="1"/>
      </bottom>
      <diagonal/>
    </border>
    <border>
      <left style="medium">
        <color auto="1"/>
      </left>
      <right/>
      <top style="thin">
        <color auto="1"/>
      </top>
      <bottom style="hair">
        <color auto="1"/>
      </bottom>
      <diagonal/>
    </border>
    <border>
      <left style="double">
        <color auto="1"/>
      </left>
      <right style="thin">
        <color auto="1"/>
      </right>
      <top style="thin">
        <color auto="1"/>
      </top>
      <bottom style="hair">
        <color auto="1"/>
      </bottom>
      <diagonal/>
    </border>
    <border>
      <left style="double">
        <color auto="1"/>
      </left>
      <right style="thin">
        <color auto="1"/>
      </right>
      <top style="hair">
        <color auto="1"/>
      </top>
      <bottom style="thin">
        <color auto="1"/>
      </bottom>
      <diagonal/>
    </border>
    <border>
      <left style="thick">
        <color auto="1"/>
      </left>
      <right/>
      <top style="hair">
        <color auto="1"/>
      </top>
      <bottom style="hair">
        <color auto="1"/>
      </bottom>
      <diagonal/>
    </border>
    <border>
      <left style="double">
        <color auto="1"/>
      </left>
      <right style="thin">
        <color auto="1"/>
      </right>
      <top style="hair">
        <color auto="1"/>
      </top>
      <bottom/>
      <diagonal/>
    </border>
    <border>
      <left style="thick">
        <color auto="1"/>
      </left>
      <right style="double">
        <color auto="1"/>
      </right>
      <top/>
      <bottom style="thick">
        <color auto="1"/>
      </bottom>
      <diagonal/>
    </border>
    <border>
      <left style="thick">
        <color auto="1"/>
      </left>
      <right style="double">
        <color auto="1"/>
      </right>
      <top style="thick">
        <color auto="1"/>
      </top>
      <bottom/>
      <diagonal/>
    </border>
    <border>
      <left style="thick">
        <color auto="1"/>
      </left>
      <right style="double">
        <color auto="1"/>
      </right>
      <top/>
      <bottom style="medium">
        <color auto="1"/>
      </bottom>
      <diagonal/>
    </border>
    <border>
      <left style="thick">
        <color auto="1"/>
      </left>
      <right style="double">
        <color auto="1"/>
      </right>
      <top/>
      <bottom style="hair">
        <color auto="1"/>
      </bottom>
      <diagonal/>
    </border>
    <border>
      <left style="thick">
        <color auto="1"/>
      </left>
      <right style="double">
        <color auto="1"/>
      </right>
      <top/>
      <bottom/>
      <diagonal/>
    </border>
    <border>
      <left style="thick">
        <color auto="1"/>
      </left>
      <right style="double">
        <color auto="1"/>
      </right>
      <top style="thin">
        <color auto="1"/>
      </top>
      <bottom style="thick">
        <color auto="1"/>
      </bottom>
      <diagonal/>
    </border>
    <border>
      <left style="medium">
        <color auto="1"/>
      </left>
      <right/>
      <top/>
      <bottom/>
      <diagonal/>
    </border>
    <border>
      <left style="medium">
        <color auto="1"/>
      </left>
      <right style="thick">
        <color auto="1"/>
      </right>
      <top style="hair">
        <color auto="1"/>
      </top>
      <bottom/>
      <diagonal/>
    </border>
    <border>
      <left style="thick">
        <color auto="1"/>
      </left>
      <right/>
      <top style="hair">
        <color auto="1"/>
      </top>
      <bottom style="thick">
        <color auto="1"/>
      </bottom>
      <diagonal/>
    </border>
    <border>
      <left style="thick">
        <color auto="1"/>
      </left>
      <right style="thin">
        <color auto="1"/>
      </right>
      <top/>
      <bottom style="medium">
        <color auto="1"/>
      </bottom>
      <diagonal/>
    </border>
    <border>
      <left style="thin">
        <color auto="1"/>
      </left>
      <right/>
      <top/>
      <bottom style="medium">
        <color auto="1"/>
      </bottom>
      <diagonal/>
    </border>
    <border>
      <left style="thick">
        <color auto="1"/>
      </left>
      <right style="thin">
        <color auto="1"/>
      </right>
      <top style="double">
        <color auto="1"/>
      </top>
      <bottom style="thick">
        <color auto="1"/>
      </bottom>
      <diagonal/>
    </border>
    <border diagonalDown="1">
      <left style="thin">
        <color auto="1"/>
      </left>
      <right style="thin">
        <color auto="1"/>
      </right>
      <top style="double">
        <color auto="1"/>
      </top>
      <bottom style="thick">
        <color auto="1"/>
      </bottom>
      <diagonal style="thin">
        <color auto="1"/>
      </diagonal>
    </border>
    <border>
      <left style="thin">
        <color auto="1"/>
      </left>
      <right style="thick">
        <color auto="1"/>
      </right>
      <top style="double">
        <color auto="1"/>
      </top>
      <bottom style="thick">
        <color auto="1"/>
      </bottom>
      <diagonal/>
    </border>
    <border>
      <left style="medium">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medium">
        <color auto="1"/>
      </right>
      <top style="thick">
        <color auto="1"/>
      </top>
      <bottom style="thin">
        <color auto="1"/>
      </bottom>
      <diagonal/>
    </border>
    <border>
      <left style="thin">
        <color auto="1"/>
      </left>
      <right style="thick">
        <color auto="1"/>
      </right>
      <top style="thick">
        <color auto="1"/>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indexed="64"/>
      </top>
      <bottom style="thin">
        <color auto="1"/>
      </bottom>
      <diagonal/>
    </border>
    <border>
      <left/>
      <right/>
      <top style="thick">
        <color indexed="64"/>
      </top>
      <bottom style="thin">
        <color auto="1"/>
      </bottom>
      <diagonal/>
    </border>
    <border>
      <left/>
      <right style="thick">
        <color indexed="64"/>
      </right>
      <top style="thick">
        <color indexed="64"/>
      </top>
      <bottom style="thin">
        <color indexed="64"/>
      </bottom>
      <diagonal/>
    </border>
    <border>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ck">
        <color auto="1"/>
      </right>
      <top style="thin">
        <color auto="1"/>
      </top>
      <bottom style="medium">
        <color auto="1"/>
      </bottom>
      <diagonal/>
    </border>
    <border>
      <left style="thick">
        <color auto="1"/>
      </left>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style="thick">
        <color auto="1"/>
      </right>
      <top style="medium">
        <color auto="1"/>
      </top>
      <bottom style="thick">
        <color auto="1"/>
      </bottom>
      <diagonal/>
    </border>
    <border>
      <left style="medium">
        <color auto="1"/>
      </left>
      <right/>
      <top style="thick">
        <color auto="1"/>
      </top>
      <bottom/>
      <diagonal/>
    </border>
    <border>
      <left/>
      <right style="medium">
        <color auto="1"/>
      </right>
      <top style="thick">
        <color auto="1"/>
      </top>
      <bottom/>
      <diagonal/>
    </border>
    <border>
      <left/>
      <right style="medium">
        <color auto="1"/>
      </right>
      <top/>
      <bottom/>
      <diagonal/>
    </border>
    <border diagonalUp="1">
      <left style="medium">
        <color auto="1"/>
      </left>
      <right style="thick">
        <color auto="1"/>
      </right>
      <top style="double">
        <color auto="1"/>
      </top>
      <bottom style="thick">
        <color auto="1"/>
      </bottom>
      <diagonal style="thin">
        <color auto="1"/>
      </diagonal>
    </border>
    <border>
      <left/>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auto="1"/>
      </right>
      <top style="thin">
        <color auto="1"/>
      </top>
      <bottom style="thin">
        <color auto="1"/>
      </bottom>
      <diagonal/>
    </border>
    <border>
      <left style="medium">
        <color auto="1"/>
      </left>
      <right/>
      <top/>
      <bottom style="thick">
        <color auto="1"/>
      </bottom>
      <diagonal/>
    </border>
    <border>
      <left/>
      <right style="thick">
        <color auto="1"/>
      </right>
      <top/>
      <bottom style="thick">
        <color auto="1"/>
      </bottom>
      <diagonal/>
    </border>
    <border diagonalUp="1">
      <left style="thick">
        <color auto="1"/>
      </left>
      <right style="medium">
        <color auto="1"/>
      </right>
      <top style="double">
        <color auto="1"/>
      </top>
      <bottom style="thick">
        <color auto="1"/>
      </bottom>
      <diagonal style="thin">
        <color auto="1"/>
      </diagonal>
    </border>
    <border>
      <left/>
      <right style="thick">
        <color auto="1"/>
      </right>
      <top style="medium">
        <color auto="1"/>
      </top>
      <bottom style="thick">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double">
        <color auto="1"/>
      </top>
      <bottom style="thick">
        <color auto="1"/>
      </bottom>
      <diagonal/>
    </border>
    <border>
      <left style="double">
        <color auto="1"/>
      </left>
      <right/>
      <top/>
      <bottom style="medium">
        <color auto="1"/>
      </bottom>
      <diagonal/>
    </border>
    <border>
      <left style="double">
        <color auto="1"/>
      </left>
      <right/>
      <top/>
      <bottom style="thin">
        <color auto="1"/>
      </bottom>
      <diagonal/>
    </border>
    <border>
      <left style="double">
        <color auto="1"/>
      </left>
      <right/>
      <top style="thin">
        <color auto="1"/>
      </top>
      <bottom style="thin">
        <color auto="1"/>
      </bottom>
      <diagonal/>
    </border>
    <border>
      <left style="double">
        <color auto="1"/>
      </left>
      <right/>
      <top style="thin">
        <color auto="1"/>
      </top>
      <bottom/>
      <diagonal/>
    </border>
    <border>
      <left style="double">
        <color auto="1"/>
      </left>
      <right/>
      <top style="medium">
        <color auto="1"/>
      </top>
      <bottom style="thick">
        <color auto="1"/>
      </bottom>
      <diagonal/>
    </border>
    <border diagonalUp="1">
      <left style="medium">
        <color auto="1"/>
      </left>
      <right style="medium">
        <color auto="1"/>
      </right>
      <top style="thin">
        <color auto="1"/>
      </top>
      <bottom style="thin">
        <color auto="1"/>
      </bottom>
      <diagonal style="thin">
        <color auto="1"/>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style="medium">
        <color auto="1"/>
      </top>
      <bottom style="thick">
        <color auto="1"/>
      </bottom>
      <diagonal/>
    </border>
    <border>
      <left style="thin">
        <color auto="1"/>
      </left>
      <right style="medium">
        <color auto="1"/>
      </right>
      <top style="double">
        <color auto="1"/>
      </top>
      <bottom style="thick">
        <color auto="1"/>
      </bottom>
      <diagonal/>
    </border>
    <border>
      <left style="thin">
        <color indexed="64"/>
      </left>
      <right style="thin">
        <color auto="1"/>
      </right>
      <top style="thin">
        <color auto="1"/>
      </top>
      <bottom style="double">
        <color auto="1"/>
      </bottom>
      <diagonal/>
    </border>
    <border>
      <left style="thin">
        <color indexed="64"/>
      </left>
      <right/>
      <top style="thin">
        <color auto="1"/>
      </top>
      <bottom style="double">
        <color auto="1"/>
      </bottom>
      <diagonal/>
    </border>
    <border>
      <left style="medium">
        <color auto="1"/>
      </left>
      <right style="thick">
        <color auto="1"/>
      </right>
      <top style="thin">
        <color auto="1"/>
      </top>
      <bottom style="double">
        <color auto="1"/>
      </bottom>
      <diagonal/>
    </border>
    <border>
      <left style="thick">
        <color auto="1"/>
      </left>
      <right style="double">
        <color auto="1"/>
      </right>
      <top style="thick">
        <color auto="1"/>
      </top>
      <bottom style="medium">
        <color auto="1"/>
      </bottom>
      <diagonal/>
    </border>
    <border diagonalUp="1">
      <left style="thick">
        <color auto="1"/>
      </left>
      <right/>
      <top style="hair">
        <color auto="1"/>
      </top>
      <bottom style="hair">
        <color auto="1"/>
      </bottom>
      <diagonal style="hair">
        <color auto="1"/>
      </diagonal>
    </border>
    <border>
      <left style="thick">
        <color auto="1"/>
      </left>
      <right/>
      <top style="hair">
        <color auto="1"/>
      </top>
      <bottom style="thin">
        <color auto="1"/>
      </bottom>
      <diagonal/>
    </border>
    <border diagonalUp="1">
      <left style="thin">
        <color auto="1"/>
      </left>
      <right style="thick">
        <color auto="1"/>
      </right>
      <top/>
      <bottom style="hair">
        <color auto="1"/>
      </bottom>
      <diagonal style="thin">
        <color auto="1"/>
      </diagonal>
    </border>
    <border>
      <left style="thick">
        <color auto="1"/>
      </left>
      <right/>
      <top style="hair">
        <color auto="1"/>
      </top>
      <bottom/>
      <diagonal/>
    </border>
    <border>
      <left style="thick">
        <color auto="1"/>
      </left>
      <right style="double">
        <color auto="1"/>
      </right>
      <top style="medium">
        <color auto="1"/>
      </top>
      <bottom style="thick">
        <color auto="1"/>
      </bottom>
      <diagonal/>
    </border>
    <border>
      <left style="thick">
        <color auto="1"/>
      </left>
      <right/>
      <top style="medium">
        <color auto="1"/>
      </top>
      <bottom style="thick">
        <color auto="1"/>
      </bottom>
      <diagonal/>
    </border>
    <border>
      <left style="thin">
        <color auto="1"/>
      </left>
      <right style="thick">
        <color auto="1"/>
      </right>
      <top style="medium">
        <color auto="1"/>
      </top>
      <bottom style="thick">
        <color auto="1"/>
      </bottom>
      <diagonal/>
    </border>
    <border>
      <left style="thick">
        <color auto="1"/>
      </left>
      <right/>
      <top style="thin">
        <color auto="1"/>
      </top>
      <bottom style="hair">
        <color auto="1"/>
      </bottom>
      <diagonal/>
    </border>
    <border diagonalUp="1">
      <left style="thin">
        <color auto="1"/>
      </left>
      <right style="thick">
        <color auto="1"/>
      </right>
      <top style="thin">
        <color auto="1"/>
      </top>
      <bottom style="hair">
        <color auto="1"/>
      </bottom>
      <diagonal style="thin">
        <color auto="1"/>
      </diagonal>
    </border>
    <border>
      <left style="thick">
        <color auto="1"/>
      </left>
      <right style="thin">
        <color auto="1"/>
      </right>
      <top style="medium">
        <color auto="1"/>
      </top>
      <bottom style="hair">
        <color auto="1"/>
      </bottom>
      <diagonal/>
    </border>
    <border>
      <left/>
      <right style="thick">
        <color auto="1"/>
      </right>
      <top style="medium">
        <color auto="1"/>
      </top>
      <bottom style="hair">
        <color auto="1"/>
      </bottom>
      <diagonal/>
    </border>
    <border>
      <left/>
      <right style="double">
        <color auto="1"/>
      </right>
      <top style="medium">
        <color auto="1"/>
      </top>
      <bottom style="hair">
        <color auto="1"/>
      </bottom>
      <diagonal/>
    </border>
    <border>
      <left style="double">
        <color auto="1"/>
      </left>
      <right style="thin">
        <color auto="1"/>
      </right>
      <top style="medium">
        <color auto="1"/>
      </top>
      <bottom style="hair">
        <color auto="1"/>
      </bottom>
      <diagonal/>
    </border>
    <border>
      <left style="thin">
        <color auto="1"/>
      </left>
      <right style="double">
        <color auto="1"/>
      </right>
      <top style="medium">
        <color auto="1"/>
      </top>
      <bottom style="hair">
        <color auto="1"/>
      </bottom>
      <diagonal/>
    </border>
    <border>
      <left style="thin">
        <color auto="1"/>
      </left>
      <right style="double">
        <color auto="1"/>
      </right>
      <top style="hair">
        <color auto="1"/>
      </top>
      <bottom/>
      <diagonal/>
    </border>
    <border>
      <left style="thin">
        <color auto="1"/>
      </left>
      <right style="double">
        <color auto="1"/>
      </right>
      <top style="thin">
        <color auto="1"/>
      </top>
      <bottom style="thick">
        <color auto="1"/>
      </bottom>
      <diagonal/>
    </border>
    <border>
      <left/>
      <right style="thin">
        <color auto="1"/>
      </right>
      <top style="thin">
        <color auto="1"/>
      </top>
      <bottom style="thick">
        <color auto="1"/>
      </bottom>
      <diagonal/>
    </border>
  </borders>
  <cellStyleXfs count="3">
    <xf numFmtId="0" fontId="0" fillId="0" borderId="0"/>
    <xf numFmtId="38" fontId="38" fillId="0" borderId="0" applyFont="0" applyFill="0" applyBorder="0" applyAlignment="0" applyProtection="0">
      <alignment vertical="center"/>
    </xf>
    <xf numFmtId="0" fontId="51" fillId="0" borderId="0" applyNumberFormat="0" applyFill="0" applyBorder="0" applyAlignment="0" applyProtection="0"/>
  </cellStyleXfs>
  <cellXfs count="1160">
    <xf numFmtId="0" fontId="0" fillId="0" borderId="0" xfId="0"/>
    <xf numFmtId="0" fontId="3" fillId="0" borderId="0" xfId="0" applyFont="1"/>
    <xf numFmtId="0" fontId="3" fillId="0" borderId="0" xfId="0" applyFont="1" applyFill="1" applyAlignment="1">
      <alignment vertical="center"/>
    </xf>
    <xf numFmtId="0" fontId="3" fillId="0" borderId="0" xfId="0" applyFont="1" applyFill="1" applyAlignment="1">
      <alignment horizontal="center" vertical="center"/>
    </xf>
    <xf numFmtId="3" fontId="3" fillId="0" borderId="0" xfId="0" applyNumberFormat="1" applyFont="1" applyFill="1" applyAlignment="1">
      <alignment vertical="center"/>
    </xf>
    <xf numFmtId="0" fontId="6" fillId="0" borderId="24" xfId="0" applyFont="1" applyFill="1" applyBorder="1" applyAlignment="1">
      <alignment vertical="center"/>
    </xf>
    <xf numFmtId="0" fontId="6" fillId="0" borderId="0" xfId="0" applyFont="1" applyFill="1" applyAlignment="1">
      <alignment vertical="center"/>
    </xf>
    <xf numFmtId="0" fontId="6" fillId="0" borderId="0" xfId="0" applyFont="1" applyFill="1" applyAlignment="1">
      <alignment horizontal="center" vertical="center"/>
    </xf>
    <xf numFmtId="3" fontId="6" fillId="0" borderId="0" xfId="0" applyNumberFormat="1" applyFont="1" applyFill="1" applyAlignment="1">
      <alignment vertical="center"/>
    </xf>
    <xf numFmtId="0" fontId="4" fillId="0" borderId="0" xfId="0" applyFont="1" applyFill="1" applyAlignment="1">
      <alignment vertical="center"/>
    </xf>
    <xf numFmtId="0" fontId="8" fillId="0" borderId="0" xfId="0" applyFont="1"/>
    <xf numFmtId="0" fontId="6" fillId="0" borderId="24" xfId="0" applyFont="1" applyFill="1" applyBorder="1" applyAlignment="1">
      <alignment horizontal="center" vertical="top"/>
    </xf>
    <xf numFmtId="0" fontId="3" fillId="0" borderId="0" xfId="0" applyFont="1" applyFill="1" applyAlignment="1">
      <alignment horizontal="center" vertical="top"/>
    </xf>
    <xf numFmtId="180" fontId="4" fillId="0" borderId="1" xfId="0" applyNumberFormat="1" applyFont="1" applyFill="1" applyBorder="1" applyAlignment="1">
      <alignment horizontal="center" vertical="center"/>
    </xf>
    <xf numFmtId="0" fontId="3" fillId="3" borderId="42" xfId="0" applyFont="1" applyFill="1" applyBorder="1" applyAlignment="1">
      <alignment horizontal="center" vertical="center"/>
    </xf>
    <xf numFmtId="3" fontId="3" fillId="3" borderId="43" xfId="0" applyNumberFormat="1" applyFont="1" applyFill="1" applyBorder="1" applyAlignment="1">
      <alignment horizontal="center" vertical="center"/>
    </xf>
    <xf numFmtId="3" fontId="3" fillId="3" borderId="45" xfId="0" applyNumberFormat="1" applyFont="1" applyFill="1" applyBorder="1" applyAlignment="1">
      <alignment horizontal="center" vertical="center"/>
    </xf>
    <xf numFmtId="3" fontId="3" fillId="0" borderId="0" xfId="0" applyNumberFormat="1"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Border="1"/>
    <xf numFmtId="0" fontId="3" fillId="0" borderId="50" xfId="0" applyFont="1" applyBorder="1"/>
    <xf numFmtId="0" fontId="3" fillId="0" borderId="1" xfId="0" applyFont="1" applyBorder="1"/>
    <xf numFmtId="0" fontId="3" fillId="0" borderId="53" xfId="0" applyFont="1" applyBorder="1"/>
    <xf numFmtId="0" fontId="3" fillId="0" borderId="54" xfId="0" applyFont="1" applyBorder="1"/>
    <xf numFmtId="0" fontId="3" fillId="0" borderId="55" xfId="0" applyFont="1" applyBorder="1"/>
    <xf numFmtId="0" fontId="3" fillId="0" borderId="56" xfId="0" applyFont="1" applyBorder="1"/>
    <xf numFmtId="0" fontId="3" fillId="0" borderId="57" xfId="0" applyFont="1" applyBorder="1"/>
    <xf numFmtId="0" fontId="3" fillId="0" borderId="59" xfId="0" applyFont="1" applyBorder="1"/>
    <xf numFmtId="0" fontId="3" fillId="0" borderId="60" xfId="0" applyFont="1" applyBorder="1"/>
    <xf numFmtId="0" fontId="3" fillId="0" borderId="10" xfId="0" applyFont="1" applyBorder="1"/>
    <xf numFmtId="0" fontId="3" fillId="0" borderId="62" xfId="0" applyFont="1" applyBorder="1"/>
    <xf numFmtId="0" fontId="3" fillId="0" borderId="63" xfId="0" applyFont="1" applyBorder="1"/>
    <xf numFmtId="0" fontId="6" fillId="0" borderId="24" xfId="0" applyFont="1" applyFill="1" applyBorder="1" applyAlignment="1">
      <alignment horizontal="left" vertical="center"/>
    </xf>
    <xf numFmtId="0" fontId="3" fillId="0" borderId="2" xfId="0" applyFont="1" applyBorder="1"/>
    <xf numFmtId="0" fontId="6" fillId="0" borderId="0" xfId="0" applyFont="1" applyFill="1" applyBorder="1" applyAlignment="1">
      <alignment vertical="center"/>
    </xf>
    <xf numFmtId="0" fontId="9" fillId="0" borderId="24" xfId="0" applyFont="1" applyFill="1" applyBorder="1" applyAlignment="1">
      <alignment horizontal="center" vertical="center"/>
    </xf>
    <xf numFmtId="0" fontId="9" fillId="0" borderId="0" xfId="0" applyFont="1" applyFill="1" applyAlignment="1">
      <alignment horizontal="center" vertical="center"/>
    </xf>
    <xf numFmtId="0" fontId="4" fillId="0" borderId="24" xfId="0" applyFont="1" applyFill="1" applyBorder="1" applyAlignment="1">
      <alignment horizontal="left" vertical="center"/>
    </xf>
    <xf numFmtId="180" fontId="4" fillId="0" borderId="0" xfId="0" applyNumberFormat="1" applyFont="1" applyFill="1" applyAlignment="1">
      <alignment horizontal="center" vertical="center"/>
    </xf>
    <xf numFmtId="0" fontId="3" fillId="0" borderId="0" xfId="0" applyFont="1" applyFill="1" applyAlignment="1">
      <alignment horizontal="left" vertical="center"/>
    </xf>
    <xf numFmtId="0" fontId="4" fillId="0" borderId="0" xfId="0" applyFont="1" applyAlignment="1">
      <alignment vertical="center"/>
    </xf>
    <xf numFmtId="0" fontId="4" fillId="0" borderId="0" xfId="0" applyFont="1" applyAlignment="1">
      <alignment horizontal="right" vertical="center"/>
    </xf>
    <xf numFmtId="0" fontId="4" fillId="0" borderId="0" xfId="0" applyFont="1" applyAlignment="1">
      <alignment horizontal="center" vertical="center"/>
    </xf>
    <xf numFmtId="3" fontId="9" fillId="0" borderId="8" xfId="0" applyNumberFormat="1" applyFont="1" applyBorder="1" applyAlignment="1">
      <alignment vertical="center"/>
    </xf>
    <xf numFmtId="3" fontId="9" fillId="0" borderId="60" xfId="0" applyNumberFormat="1" applyFont="1" applyBorder="1" applyAlignment="1">
      <alignment vertical="center"/>
    </xf>
    <xf numFmtId="3" fontId="9" fillId="0" borderId="2" xfId="0" applyNumberFormat="1" applyFont="1" applyBorder="1" applyAlignment="1">
      <alignment vertical="center"/>
    </xf>
    <xf numFmtId="3" fontId="9" fillId="0" borderId="55" xfId="0" applyNumberFormat="1" applyFont="1" applyBorder="1" applyAlignment="1">
      <alignment vertical="center"/>
    </xf>
    <xf numFmtId="3" fontId="9" fillId="0" borderId="11" xfId="0" applyNumberFormat="1" applyFont="1" applyBorder="1" applyAlignment="1">
      <alignment vertical="center"/>
    </xf>
    <xf numFmtId="0" fontId="4" fillId="0" borderId="31" xfId="0" applyFont="1" applyFill="1" applyBorder="1" applyAlignment="1">
      <alignment horizontal="left" vertical="center"/>
    </xf>
    <xf numFmtId="177" fontId="4" fillId="3" borderId="48" xfId="0" applyNumberFormat="1" applyFont="1" applyFill="1" applyBorder="1" applyAlignment="1">
      <alignment horizontal="center" vertical="center"/>
    </xf>
    <xf numFmtId="0" fontId="5" fillId="5" borderId="69" xfId="0" applyFont="1" applyFill="1" applyBorder="1" applyAlignment="1">
      <alignment horizontal="center" vertical="center"/>
    </xf>
    <xf numFmtId="0" fontId="3" fillId="0" borderId="0" xfId="0" applyFont="1" applyFill="1" applyAlignment="1">
      <alignment horizontal="center" vertical="center"/>
    </xf>
    <xf numFmtId="0" fontId="5" fillId="0" borderId="0" xfId="0" applyFont="1" applyFill="1" applyBorder="1" applyAlignment="1">
      <alignment horizontal="center" vertical="center"/>
    </xf>
    <xf numFmtId="0" fontId="9" fillId="0" borderId="0" xfId="0" applyNumberFormat="1" applyFont="1" applyFill="1" applyBorder="1" applyAlignment="1">
      <alignment horizontal="right" vertical="center"/>
    </xf>
    <xf numFmtId="3" fontId="4" fillId="0" borderId="39" xfId="0" applyNumberFormat="1" applyFont="1" applyFill="1" applyBorder="1" applyAlignment="1">
      <alignment vertical="center"/>
    </xf>
    <xf numFmtId="0" fontId="4" fillId="0" borderId="2" xfId="0" applyFont="1" applyFill="1" applyBorder="1" applyAlignment="1">
      <alignment horizontal="center" vertical="center"/>
    </xf>
    <xf numFmtId="0" fontId="4" fillId="0" borderId="18" xfId="0" applyFont="1" applyFill="1" applyBorder="1" applyAlignment="1">
      <alignment horizontal="center" vertical="center"/>
    </xf>
    <xf numFmtId="3" fontId="4" fillId="0" borderId="2" xfId="0" applyNumberFormat="1" applyFont="1" applyFill="1" applyBorder="1" applyAlignment="1">
      <alignment vertical="center"/>
    </xf>
    <xf numFmtId="3" fontId="4" fillId="0" borderId="18" xfId="0" applyNumberFormat="1" applyFont="1" applyFill="1" applyBorder="1" applyAlignment="1">
      <alignment vertical="center"/>
    </xf>
    <xf numFmtId="176" fontId="3" fillId="0" borderId="0" xfId="0" applyNumberFormat="1" applyFont="1" applyFill="1" applyAlignment="1">
      <alignment horizontal="right" vertical="center"/>
    </xf>
    <xf numFmtId="0" fontId="4" fillId="0" borderId="21" xfId="0" applyFont="1" applyFill="1" applyBorder="1" applyAlignment="1">
      <alignment horizontal="center" vertical="center"/>
    </xf>
    <xf numFmtId="0" fontId="10" fillId="3" borderId="41" xfId="0" applyFont="1" applyFill="1" applyBorder="1" applyAlignment="1">
      <alignment horizontal="center" vertical="center" textRotation="255"/>
    </xf>
    <xf numFmtId="0" fontId="10" fillId="3" borderId="44" xfId="0" applyFont="1" applyFill="1" applyBorder="1" applyAlignment="1">
      <alignment horizontal="center" vertical="center" textRotation="255"/>
    </xf>
    <xf numFmtId="3" fontId="4" fillId="0" borderId="0" xfId="0" applyNumberFormat="1" applyFont="1" applyFill="1" applyBorder="1" applyAlignment="1">
      <alignment vertical="center"/>
    </xf>
    <xf numFmtId="56" fontId="4" fillId="0" borderId="1" xfId="0" applyNumberFormat="1" applyFont="1" applyFill="1" applyBorder="1" applyAlignment="1">
      <alignment horizontal="center" vertical="center"/>
    </xf>
    <xf numFmtId="3" fontId="11" fillId="0" borderId="2" xfId="0" applyNumberFormat="1" applyFont="1" applyBorder="1" applyAlignment="1">
      <alignment horizontal="center"/>
    </xf>
    <xf numFmtId="3" fontId="4" fillId="0" borderId="22" xfId="0" applyNumberFormat="1" applyFont="1" applyFill="1" applyBorder="1" applyAlignment="1">
      <alignment vertical="center"/>
    </xf>
    <xf numFmtId="0" fontId="4" fillId="0" borderId="23" xfId="0" applyFont="1" applyFill="1" applyBorder="1" applyAlignment="1">
      <alignment vertical="center"/>
    </xf>
    <xf numFmtId="56" fontId="4" fillId="0" borderId="4" xfId="0" applyNumberFormat="1" applyFont="1" applyFill="1" applyBorder="1" applyAlignment="1">
      <alignment horizontal="center" vertical="center"/>
    </xf>
    <xf numFmtId="0" fontId="5" fillId="6" borderId="74" xfId="0" applyFont="1" applyFill="1" applyBorder="1" applyAlignment="1">
      <alignment horizontal="right" vertical="center"/>
    </xf>
    <xf numFmtId="0" fontId="5" fillId="6" borderId="76" xfId="0" applyFont="1" applyFill="1" applyBorder="1" applyAlignment="1">
      <alignment horizontal="right" vertical="center"/>
    </xf>
    <xf numFmtId="3" fontId="3" fillId="7" borderId="42" xfId="0" applyNumberFormat="1" applyFont="1" applyFill="1" applyBorder="1" applyAlignment="1">
      <alignment horizontal="center" vertical="center"/>
    </xf>
    <xf numFmtId="3" fontId="3" fillId="7" borderId="44" xfId="0" applyNumberFormat="1" applyFont="1" applyFill="1" applyBorder="1" applyAlignment="1">
      <alignment horizontal="center" vertical="center"/>
    </xf>
    <xf numFmtId="3" fontId="3" fillId="7" borderId="61" xfId="0" applyNumberFormat="1" applyFont="1" applyFill="1" applyBorder="1" applyAlignment="1">
      <alignment horizontal="center" vertical="center"/>
    </xf>
    <xf numFmtId="0" fontId="3" fillId="0" borderId="0" xfId="0" applyFont="1" applyBorder="1" applyAlignment="1">
      <alignment horizontal="center" vertical="center"/>
    </xf>
    <xf numFmtId="0" fontId="3" fillId="0" borderId="2" xfId="0" applyFont="1" applyBorder="1" applyAlignment="1">
      <alignment horizontal="center" vertical="center"/>
    </xf>
    <xf numFmtId="0" fontId="3" fillId="0" borderId="89" xfId="0" applyFont="1" applyFill="1" applyBorder="1" applyAlignment="1">
      <alignment horizontal="center" vertical="center"/>
    </xf>
    <xf numFmtId="0" fontId="3" fillId="0" borderId="108"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3" xfId="0" applyFont="1" applyFill="1" applyBorder="1" applyAlignment="1">
      <alignment horizontal="center" vertical="center"/>
    </xf>
    <xf numFmtId="0" fontId="9" fillId="0" borderId="71" xfId="0" applyFont="1" applyBorder="1" applyAlignment="1">
      <alignment vertical="center"/>
    </xf>
    <xf numFmtId="180" fontId="9" fillId="0" borderId="0" xfId="0" applyNumberFormat="1" applyFont="1" applyFill="1" applyBorder="1" applyAlignment="1">
      <alignment horizontal="center" vertical="center"/>
    </xf>
    <xf numFmtId="0" fontId="9" fillId="0" borderId="0" xfId="0" applyFont="1" applyFill="1" applyBorder="1" applyAlignment="1">
      <alignment vertical="center"/>
    </xf>
    <xf numFmtId="3" fontId="9" fillId="0" borderId="0" xfId="0" applyNumberFormat="1" applyFont="1" applyFill="1" applyBorder="1" applyAlignment="1">
      <alignment vertical="center"/>
    </xf>
    <xf numFmtId="0" fontId="5" fillId="0" borderId="0" xfId="0" applyFont="1" applyFill="1" applyBorder="1" applyAlignment="1">
      <alignment horizontal="right" vertical="center"/>
    </xf>
    <xf numFmtId="0" fontId="5" fillId="0" borderId="0" xfId="0" applyFont="1" applyFill="1" applyBorder="1" applyAlignment="1">
      <alignment vertical="center"/>
    </xf>
    <xf numFmtId="3" fontId="9" fillId="0" borderId="0" xfId="0" applyNumberFormat="1" applyFont="1" applyFill="1" applyBorder="1" applyAlignment="1">
      <alignment horizontal="center" vertical="center"/>
    </xf>
    <xf numFmtId="0" fontId="7" fillId="0" borderId="0" xfId="0" applyFont="1" applyAlignment="1">
      <alignment vertical="center"/>
    </xf>
    <xf numFmtId="0" fontId="13" fillId="0" borderId="0" xfId="0" applyFont="1"/>
    <xf numFmtId="0" fontId="13" fillId="0" borderId="0" xfId="0" applyFont="1" applyBorder="1"/>
    <xf numFmtId="0" fontId="3" fillId="9" borderId="38" xfId="0" applyFont="1" applyFill="1" applyBorder="1" applyAlignment="1">
      <alignment horizontal="center" vertical="center"/>
    </xf>
    <xf numFmtId="0" fontId="3" fillId="0" borderId="95" xfId="0" applyFont="1" applyBorder="1"/>
    <xf numFmtId="0" fontId="3" fillId="0" borderId="147" xfId="0" applyFont="1" applyBorder="1"/>
    <xf numFmtId="0" fontId="6" fillId="0" borderId="45" xfId="0" applyFont="1" applyBorder="1" applyAlignment="1">
      <alignment horizontal="center" vertical="center"/>
    </xf>
    <xf numFmtId="3" fontId="6" fillId="0" borderId="125" xfId="0" applyNumberFormat="1" applyFont="1" applyFill="1" applyBorder="1" applyAlignment="1">
      <alignment vertical="center"/>
    </xf>
    <xf numFmtId="3" fontId="6" fillId="0" borderId="122" xfId="0" applyNumberFormat="1" applyFont="1" applyFill="1" applyBorder="1" applyAlignment="1">
      <alignment horizontal="right" vertical="center"/>
    </xf>
    <xf numFmtId="0" fontId="15" fillId="0" borderId="125" xfId="0" applyFont="1" applyBorder="1" applyAlignment="1">
      <alignment horizontal="center" vertical="center"/>
    </xf>
    <xf numFmtId="3" fontId="6" fillId="0" borderId="123" xfId="0" applyNumberFormat="1" applyFont="1" applyFill="1" applyBorder="1" applyAlignment="1">
      <alignment horizontal="right" vertical="center"/>
    </xf>
    <xf numFmtId="3" fontId="6" fillId="0" borderId="78" xfId="0" applyNumberFormat="1" applyFont="1" applyFill="1" applyBorder="1" applyAlignment="1">
      <alignment vertical="center"/>
    </xf>
    <xf numFmtId="3" fontId="6" fillId="0" borderId="78" xfId="0" applyNumberFormat="1" applyFont="1" applyFill="1" applyBorder="1" applyAlignment="1">
      <alignment horizontal="center" vertical="center"/>
    </xf>
    <xf numFmtId="3" fontId="6" fillId="0" borderId="79" xfId="0" applyNumberFormat="1" applyFont="1" applyFill="1" applyBorder="1" applyAlignment="1">
      <alignment horizontal="right" vertical="center"/>
    </xf>
    <xf numFmtId="0" fontId="15" fillId="0" borderId="78" xfId="0" applyFont="1" applyBorder="1" applyAlignment="1">
      <alignment horizontal="center" vertical="center"/>
    </xf>
    <xf numFmtId="3" fontId="6" fillId="0" borderId="104" xfId="0" applyNumberFormat="1" applyFont="1" applyFill="1" applyBorder="1" applyAlignment="1">
      <alignment horizontal="right" vertical="center"/>
    </xf>
    <xf numFmtId="3" fontId="6" fillId="0" borderId="127" xfId="0" applyNumberFormat="1" applyFont="1" applyFill="1" applyBorder="1" applyAlignment="1">
      <alignment vertical="center"/>
    </xf>
    <xf numFmtId="3" fontId="6" fillId="0" borderId="124" xfId="0" applyNumberFormat="1" applyFont="1" applyFill="1" applyBorder="1" applyAlignment="1">
      <alignment horizontal="right" vertical="center"/>
    </xf>
    <xf numFmtId="3" fontId="6" fillId="0" borderId="137" xfId="0" applyNumberFormat="1" applyFont="1" applyFill="1" applyBorder="1" applyAlignment="1">
      <alignment horizontal="right" vertical="center"/>
    </xf>
    <xf numFmtId="3" fontId="6" fillId="0" borderId="132" xfId="0" applyNumberFormat="1" applyFont="1" applyFill="1" applyBorder="1" applyAlignment="1">
      <alignment vertical="center"/>
    </xf>
    <xf numFmtId="3" fontId="6" fillId="0" borderId="132" xfId="0" applyNumberFormat="1" applyFont="1" applyFill="1" applyBorder="1" applyAlignment="1">
      <alignment horizontal="right" vertical="center"/>
    </xf>
    <xf numFmtId="3" fontId="6" fillId="0" borderId="0" xfId="0" applyNumberFormat="1" applyFont="1" applyFill="1" applyBorder="1" applyAlignment="1">
      <alignment vertical="center"/>
    </xf>
    <xf numFmtId="3" fontId="6" fillId="0" borderId="0" xfId="0" applyNumberFormat="1" applyFont="1" applyFill="1" applyBorder="1" applyAlignment="1">
      <alignment horizontal="right" vertical="center"/>
    </xf>
    <xf numFmtId="3" fontId="6" fillId="0" borderId="126" xfId="0" applyNumberFormat="1" applyFont="1" applyFill="1" applyBorder="1" applyAlignment="1">
      <alignment vertical="center"/>
    </xf>
    <xf numFmtId="180" fontId="6" fillId="0" borderId="127" xfId="0" applyNumberFormat="1" applyFont="1" applyFill="1" applyBorder="1" applyAlignment="1">
      <alignment horizontal="left" vertical="center"/>
    </xf>
    <xf numFmtId="0" fontId="15" fillId="0" borderId="127" xfId="0" applyFont="1" applyBorder="1" applyAlignment="1">
      <alignment horizontal="left" vertical="center"/>
    </xf>
    <xf numFmtId="0" fontId="15" fillId="0" borderId="125" xfId="0" applyFont="1" applyBorder="1" applyAlignment="1">
      <alignment horizontal="left" vertical="center"/>
    </xf>
    <xf numFmtId="3" fontId="6" fillId="0" borderId="113" xfId="0" applyNumberFormat="1" applyFont="1" applyFill="1" applyBorder="1" applyAlignment="1">
      <alignment horizontal="right" vertical="center"/>
    </xf>
    <xf numFmtId="0" fontId="7" fillId="0" borderId="0" xfId="0" applyFont="1" applyBorder="1" applyAlignment="1">
      <alignment horizontal="center" vertical="center"/>
    </xf>
    <xf numFmtId="0" fontId="7" fillId="0" borderId="0" xfId="0" applyFont="1" applyBorder="1" applyAlignment="1">
      <alignment vertical="center"/>
    </xf>
    <xf numFmtId="0" fontId="7" fillId="0" borderId="0" xfId="0" applyFont="1" applyBorder="1" applyAlignment="1">
      <alignment horizontal="left" vertical="center"/>
    </xf>
    <xf numFmtId="0" fontId="4" fillId="0" borderId="0" xfId="0" applyFont="1" applyBorder="1" applyAlignment="1">
      <alignment horizontal="center" vertical="center"/>
    </xf>
    <xf numFmtId="0" fontId="4" fillId="0" borderId="0" xfId="0" applyFont="1" applyBorder="1" applyAlignment="1">
      <alignment vertical="center"/>
    </xf>
    <xf numFmtId="0" fontId="4" fillId="0" borderId="0" xfId="0" applyFont="1" applyBorder="1" applyAlignment="1">
      <alignment horizontal="left" vertical="center"/>
    </xf>
    <xf numFmtId="0" fontId="4" fillId="0" borderId="0" xfId="0" applyFont="1" applyBorder="1" applyAlignment="1">
      <alignment horizontal="right" vertical="center"/>
    </xf>
    <xf numFmtId="0" fontId="17" fillId="0" borderId="0" xfId="0" applyFont="1" applyBorder="1" applyAlignment="1">
      <alignment horizontal="left" vertical="center"/>
    </xf>
    <xf numFmtId="0" fontId="6" fillId="0" borderId="0" xfId="0" applyFont="1" applyBorder="1" applyAlignment="1">
      <alignment vertical="center"/>
    </xf>
    <xf numFmtId="0" fontId="6" fillId="0" borderId="0" xfId="0" applyFont="1" applyBorder="1" applyAlignment="1">
      <alignment horizontal="center" vertical="center"/>
    </xf>
    <xf numFmtId="0" fontId="17" fillId="0" borderId="0" xfId="0" applyFont="1" applyBorder="1" applyAlignment="1">
      <alignment vertical="center"/>
    </xf>
    <xf numFmtId="0" fontId="18" fillId="0" borderId="143" xfId="0" applyFont="1" applyBorder="1" applyAlignment="1">
      <alignment horizontal="center" vertical="center"/>
    </xf>
    <xf numFmtId="0" fontId="18" fillId="0" borderId="157" xfId="0" applyFont="1" applyBorder="1" applyAlignment="1">
      <alignment horizontal="center" vertical="center"/>
    </xf>
    <xf numFmtId="0" fontId="18" fillId="0" borderId="69" xfId="0" applyFont="1" applyBorder="1" applyAlignment="1">
      <alignment horizontal="center" vertical="center"/>
    </xf>
    <xf numFmtId="180" fontId="4" fillId="0" borderId="0" xfId="0" applyNumberFormat="1" applyFont="1" applyFill="1" applyBorder="1" applyAlignment="1">
      <alignment vertical="center" textRotation="255"/>
    </xf>
    <xf numFmtId="0" fontId="20" fillId="0" borderId="69" xfId="0" applyFont="1" applyBorder="1" applyAlignment="1">
      <alignment horizontal="center" vertical="center" wrapText="1"/>
    </xf>
    <xf numFmtId="0" fontId="20" fillId="0" borderId="0" xfId="0" applyFont="1" applyBorder="1" applyAlignment="1">
      <alignment vertical="center" textRotation="255" wrapText="1"/>
    </xf>
    <xf numFmtId="0" fontId="20" fillId="0" borderId="0" xfId="0" applyFont="1" applyBorder="1" applyAlignment="1">
      <alignment horizontal="center" vertical="center"/>
    </xf>
    <xf numFmtId="0" fontId="18" fillId="0" borderId="0" xfId="0" applyFont="1" applyBorder="1" applyAlignment="1">
      <alignment horizontal="center" vertical="center"/>
    </xf>
    <xf numFmtId="180" fontId="4" fillId="0" borderId="0" xfId="0" applyNumberFormat="1" applyFont="1" applyFill="1" applyBorder="1" applyAlignment="1">
      <alignment horizontal="right" vertical="center"/>
    </xf>
    <xf numFmtId="0" fontId="3" fillId="0" borderId="160" xfId="0" applyFont="1" applyFill="1" applyBorder="1" applyAlignment="1">
      <alignment horizontal="center" vertical="center"/>
    </xf>
    <xf numFmtId="3" fontId="4" fillId="0" borderId="0" xfId="0" applyNumberFormat="1" applyFont="1" applyFill="1" applyBorder="1" applyAlignment="1">
      <alignment horizontal="right" vertical="center"/>
    </xf>
    <xf numFmtId="3" fontId="3" fillId="0" borderId="164" xfId="0" applyNumberFormat="1" applyFont="1" applyFill="1" applyBorder="1" applyAlignment="1">
      <alignment horizontal="center" vertical="center"/>
    </xf>
    <xf numFmtId="0" fontId="3" fillId="0" borderId="164" xfId="0" applyFont="1" applyFill="1" applyBorder="1" applyAlignment="1">
      <alignment horizontal="center" vertical="center"/>
    </xf>
    <xf numFmtId="0" fontId="21" fillId="0" borderId="0" xfId="0" applyFont="1" applyBorder="1" applyAlignment="1">
      <alignment vertical="center" wrapText="1"/>
    </xf>
    <xf numFmtId="0" fontId="20" fillId="0" borderId="0" xfId="0" applyFont="1" applyBorder="1" applyAlignment="1">
      <alignment vertical="center"/>
    </xf>
    <xf numFmtId="0" fontId="20" fillId="0" borderId="0" xfId="0" applyFont="1" applyBorder="1" applyAlignment="1">
      <alignment vertical="center" wrapText="1"/>
    </xf>
    <xf numFmtId="0" fontId="18" fillId="0" borderId="0" xfId="0" applyFont="1" applyBorder="1" applyAlignment="1">
      <alignment vertical="center"/>
    </xf>
    <xf numFmtId="3" fontId="4" fillId="0" borderId="164" xfId="0" applyNumberFormat="1" applyFont="1" applyFill="1" applyBorder="1" applyAlignment="1">
      <alignment horizontal="center" vertical="center" wrapText="1"/>
    </xf>
    <xf numFmtId="3" fontId="3" fillId="0" borderId="0" xfId="0" applyNumberFormat="1" applyFont="1" applyFill="1" applyBorder="1" applyAlignment="1">
      <alignment horizontal="left" vertical="center"/>
    </xf>
    <xf numFmtId="3" fontId="3" fillId="0" borderId="167" xfId="0" applyNumberFormat="1" applyFont="1" applyFill="1" applyBorder="1" applyAlignment="1">
      <alignment horizontal="center" vertical="center"/>
    </xf>
    <xf numFmtId="3" fontId="3" fillId="0" borderId="148" xfId="0" applyNumberFormat="1" applyFont="1" applyFill="1" applyBorder="1" applyAlignment="1">
      <alignment horizontal="center" vertical="center"/>
    </xf>
    <xf numFmtId="3" fontId="4" fillId="0" borderId="0" xfId="0" applyNumberFormat="1" applyFont="1" applyFill="1" applyBorder="1" applyAlignment="1">
      <alignment horizontal="center" vertical="center"/>
    </xf>
    <xf numFmtId="3" fontId="3" fillId="0" borderId="0" xfId="0" applyNumberFormat="1" applyFont="1" applyFill="1" applyBorder="1" applyAlignment="1">
      <alignment vertical="center"/>
    </xf>
    <xf numFmtId="3" fontId="9" fillId="0" borderId="0" xfId="0" applyNumberFormat="1" applyFont="1" applyFill="1" applyBorder="1" applyAlignment="1">
      <alignment horizontal="left" vertical="center"/>
    </xf>
    <xf numFmtId="0" fontId="4" fillId="0" borderId="0" xfId="0" applyFont="1" applyAlignment="1">
      <alignment horizontal="left" vertical="center"/>
    </xf>
    <xf numFmtId="180" fontId="9" fillId="0" borderId="187" xfId="0" applyNumberFormat="1" applyFont="1" applyFill="1" applyBorder="1" applyAlignment="1">
      <alignment vertical="center" wrapText="1"/>
    </xf>
    <xf numFmtId="180" fontId="9" fillId="0" borderId="187" xfId="0" applyNumberFormat="1" applyFont="1" applyFill="1" applyBorder="1" applyAlignment="1">
      <alignment vertical="center"/>
    </xf>
    <xf numFmtId="0" fontId="16" fillId="0" borderId="187" xfId="0" applyFont="1" applyBorder="1" applyAlignment="1">
      <alignment vertical="center" wrapText="1"/>
    </xf>
    <xf numFmtId="0" fontId="16" fillId="0" borderId="187" xfId="0" applyFont="1" applyBorder="1" applyAlignment="1">
      <alignment vertical="center"/>
    </xf>
    <xf numFmtId="0" fontId="9" fillId="0" borderId="187" xfId="0" applyFont="1" applyFill="1" applyBorder="1" applyAlignment="1">
      <alignment vertical="center"/>
    </xf>
    <xf numFmtId="0" fontId="9" fillId="0" borderId="187" xfId="0" applyFont="1" applyBorder="1" applyAlignment="1">
      <alignment vertical="center"/>
    </xf>
    <xf numFmtId="0" fontId="9" fillId="0" borderId="0" xfId="0" applyFont="1" applyAlignment="1">
      <alignment vertical="center"/>
    </xf>
    <xf numFmtId="0" fontId="9" fillId="0" borderId="171" xfId="0" applyFont="1" applyBorder="1" applyAlignment="1">
      <alignment horizontal="center" vertical="center"/>
    </xf>
    <xf numFmtId="0" fontId="9" fillId="0" borderId="0" xfId="0" applyFont="1" applyAlignment="1">
      <alignment horizontal="center" vertical="center"/>
    </xf>
    <xf numFmtId="3" fontId="9" fillId="0" borderId="73" xfId="0" applyNumberFormat="1" applyFont="1" applyFill="1" applyBorder="1" applyAlignment="1">
      <alignment horizontal="center" vertical="center"/>
    </xf>
    <xf numFmtId="3" fontId="9" fillId="0" borderId="184" xfId="0" applyNumberFormat="1" applyFont="1" applyFill="1" applyBorder="1" applyAlignment="1">
      <alignment horizontal="center" vertical="center"/>
    </xf>
    <xf numFmtId="0" fontId="9" fillId="0" borderId="184" xfId="0" applyFont="1" applyBorder="1" applyAlignment="1">
      <alignment horizontal="center" vertical="center" wrapText="1"/>
    </xf>
    <xf numFmtId="3" fontId="3" fillId="0" borderId="190" xfId="0" applyNumberFormat="1" applyFont="1" applyFill="1" applyBorder="1" applyAlignment="1">
      <alignment horizontal="center" vertical="center"/>
    </xf>
    <xf numFmtId="3" fontId="4" fillId="0" borderId="190" xfId="0" applyNumberFormat="1" applyFont="1" applyFill="1" applyBorder="1" applyAlignment="1">
      <alignment horizontal="right" vertical="center"/>
    </xf>
    <xf numFmtId="180" fontId="4" fillId="0" borderId="190" xfId="0" applyNumberFormat="1" applyFont="1" applyFill="1" applyBorder="1" applyAlignment="1">
      <alignment vertical="center"/>
    </xf>
    <xf numFmtId="3" fontId="4" fillId="0" borderId="190" xfId="0" applyNumberFormat="1" applyFont="1" applyFill="1" applyBorder="1" applyAlignment="1">
      <alignment vertical="center"/>
    </xf>
    <xf numFmtId="180" fontId="4" fillId="0" borderId="0" xfId="0" applyNumberFormat="1" applyFont="1" applyFill="1" applyBorder="1" applyAlignment="1">
      <alignment vertical="center"/>
    </xf>
    <xf numFmtId="0" fontId="3" fillId="0" borderId="0" xfId="0" applyFont="1" applyAlignment="1">
      <alignment vertical="center"/>
    </xf>
    <xf numFmtId="0" fontId="3" fillId="0" borderId="73" xfId="0" applyFont="1" applyFill="1" applyBorder="1" applyAlignment="1">
      <alignment horizontal="center" vertical="center"/>
    </xf>
    <xf numFmtId="0" fontId="3" fillId="0" borderId="184" xfId="0" applyFont="1" applyFill="1" applyBorder="1" applyAlignment="1">
      <alignment horizontal="center" vertical="center"/>
    </xf>
    <xf numFmtId="180" fontId="3" fillId="0" borderId="192" xfId="0" applyNumberFormat="1" applyFont="1" applyFill="1" applyBorder="1" applyAlignment="1">
      <alignment horizontal="center" vertical="center"/>
    </xf>
    <xf numFmtId="0" fontId="3" fillId="0" borderId="164" xfId="0" applyFont="1" applyBorder="1" applyAlignment="1">
      <alignment horizontal="center" vertical="center"/>
    </xf>
    <xf numFmtId="0" fontId="3" fillId="0" borderId="167" xfId="0" applyFont="1" applyFill="1" applyBorder="1" applyAlignment="1">
      <alignment horizontal="center" vertical="center"/>
    </xf>
    <xf numFmtId="0" fontId="3" fillId="0" borderId="195" xfId="0" applyFont="1" applyFill="1" applyBorder="1" applyAlignment="1">
      <alignment horizontal="center" vertical="center"/>
    </xf>
    <xf numFmtId="0" fontId="13" fillId="0" borderId="0" xfId="0" applyFont="1" applyAlignment="1">
      <alignment vertical="center"/>
    </xf>
    <xf numFmtId="0" fontId="6" fillId="0" borderId="69" xfId="0" applyFont="1" applyBorder="1" applyAlignment="1">
      <alignment horizontal="center" vertical="center"/>
    </xf>
    <xf numFmtId="0" fontId="6" fillId="0" borderId="61" xfId="0" applyFont="1" applyBorder="1" applyAlignment="1">
      <alignment horizontal="center" vertical="center"/>
    </xf>
    <xf numFmtId="180" fontId="6" fillId="0" borderId="166" xfId="0" applyNumberFormat="1" applyFont="1" applyFill="1" applyBorder="1" applyAlignment="1">
      <alignment horizontal="right" vertical="center"/>
    </xf>
    <xf numFmtId="3" fontId="6" fillId="0" borderId="202" xfId="0" applyNumberFormat="1" applyFont="1" applyFill="1" applyBorder="1" applyAlignment="1">
      <alignment vertical="center"/>
    </xf>
    <xf numFmtId="3" fontId="6" fillId="0" borderId="166" xfId="0" applyNumberFormat="1" applyFont="1" applyFill="1" applyBorder="1" applyAlignment="1">
      <alignment horizontal="right" vertical="center"/>
    </xf>
    <xf numFmtId="3" fontId="6" fillId="0" borderId="126" xfId="0" applyNumberFormat="1" applyFont="1" applyFill="1" applyBorder="1" applyAlignment="1">
      <alignment horizontal="left" vertical="center"/>
    </xf>
    <xf numFmtId="3" fontId="6" fillId="0" borderId="177" xfId="0" applyNumberFormat="1" applyFont="1" applyFill="1" applyBorder="1" applyAlignment="1">
      <alignment horizontal="right" vertical="center"/>
    </xf>
    <xf numFmtId="3" fontId="6" fillId="0" borderId="206" xfId="0" applyNumberFormat="1" applyFont="1" applyFill="1" applyBorder="1" applyAlignment="1">
      <alignment vertical="center"/>
    </xf>
    <xf numFmtId="3" fontId="26" fillId="0" borderId="201" xfId="0" applyNumberFormat="1" applyFont="1" applyFill="1" applyBorder="1" applyAlignment="1">
      <alignment horizontal="center" vertical="center"/>
    </xf>
    <xf numFmtId="3" fontId="26" fillId="0" borderId="205" xfId="0" applyNumberFormat="1" applyFont="1" applyFill="1" applyBorder="1" applyAlignment="1">
      <alignment horizontal="center" vertical="center"/>
    </xf>
    <xf numFmtId="3" fontId="26" fillId="0" borderId="125" xfId="0" applyNumberFormat="1" applyFont="1" applyFill="1" applyBorder="1" applyAlignment="1">
      <alignment horizontal="center" vertical="center"/>
    </xf>
    <xf numFmtId="3" fontId="26" fillId="0" borderId="78" xfId="0" applyNumberFormat="1" applyFont="1" applyFill="1" applyBorder="1" applyAlignment="1">
      <alignment horizontal="center" vertical="center"/>
    </xf>
    <xf numFmtId="3" fontId="26" fillId="0" borderId="127" xfId="0" applyNumberFormat="1" applyFont="1" applyFill="1" applyBorder="1" applyAlignment="1">
      <alignment horizontal="center" vertical="center"/>
    </xf>
    <xf numFmtId="3" fontId="26" fillId="0" borderId="126" xfId="0" applyNumberFormat="1" applyFont="1" applyFill="1" applyBorder="1" applyAlignment="1">
      <alignment horizontal="center" vertical="center"/>
    </xf>
    <xf numFmtId="0" fontId="27" fillId="0" borderId="127" xfId="0" applyFont="1" applyBorder="1" applyAlignment="1">
      <alignment horizontal="center" vertical="center"/>
    </xf>
    <xf numFmtId="0" fontId="27" fillId="0" borderId="125" xfId="0" applyFont="1" applyBorder="1" applyAlignment="1">
      <alignment horizontal="center" vertical="center"/>
    </xf>
    <xf numFmtId="0" fontId="27" fillId="0" borderId="78" xfId="0" applyFont="1" applyBorder="1" applyAlignment="1">
      <alignment horizontal="center" vertical="center"/>
    </xf>
    <xf numFmtId="0" fontId="27" fillId="0" borderId="141" xfId="0" applyFont="1" applyBorder="1" applyAlignment="1">
      <alignment horizontal="center" vertical="center"/>
    </xf>
    <xf numFmtId="182" fontId="4" fillId="0" borderId="0" xfId="0" applyNumberFormat="1" applyFont="1" applyAlignment="1">
      <alignment vertical="center"/>
    </xf>
    <xf numFmtId="0" fontId="13" fillId="0" borderId="0" xfId="0" applyFont="1" applyBorder="1" applyAlignment="1">
      <alignment vertical="center"/>
    </xf>
    <xf numFmtId="177" fontId="4" fillId="0" borderId="0" xfId="0" applyNumberFormat="1" applyFont="1" applyBorder="1" applyAlignment="1">
      <alignment horizontal="center" vertical="center"/>
    </xf>
    <xf numFmtId="56" fontId="4" fillId="0" borderId="0" xfId="0" applyNumberFormat="1" applyFont="1" applyBorder="1" applyAlignment="1">
      <alignment horizontal="center" vertical="center"/>
    </xf>
    <xf numFmtId="180" fontId="26" fillId="0" borderId="124" xfId="0" applyNumberFormat="1" applyFont="1" applyFill="1" applyBorder="1" applyAlignment="1">
      <alignment horizontal="center" vertical="center"/>
    </xf>
    <xf numFmtId="3" fontId="26" fillId="0" borderId="123" xfId="0" applyNumberFormat="1" applyFont="1" applyFill="1" applyBorder="1" applyAlignment="1">
      <alignment horizontal="center" vertical="center"/>
    </xf>
    <xf numFmtId="180" fontId="9" fillId="0" borderId="199" xfId="0" applyNumberFormat="1" applyFont="1" applyFill="1" applyBorder="1" applyAlignment="1">
      <alignment horizontal="center" vertical="center"/>
    </xf>
    <xf numFmtId="3" fontId="9" fillId="0" borderId="201" xfId="0" applyNumberFormat="1" applyFont="1" applyFill="1" applyBorder="1" applyAlignment="1">
      <alignment horizontal="center" vertical="center"/>
    </xf>
    <xf numFmtId="3" fontId="9" fillId="0" borderId="123" xfId="0" applyNumberFormat="1" applyFont="1" applyFill="1" applyBorder="1" applyAlignment="1">
      <alignment horizontal="center" vertical="center"/>
    </xf>
    <xf numFmtId="3" fontId="9" fillId="0" borderId="185" xfId="0" applyNumberFormat="1" applyFont="1" applyFill="1" applyBorder="1" applyAlignment="1">
      <alignment horizontal="center" vertical="center"/>
    </xf>
    <xf numFmtId="0" fontId="3" fillId="0" borderId="216" xfId="0" applyFont="1" applyBorder="1"/>
    <xf numFmtId="0" fontId="3" fillId="0" borderId="217" xfId="0" applyFont="1" applyBorder="1"/>
    <xf numFmtId="0" fontId="3" fillId="0" borderId="218" xfId="0" applyFont="1" applyBorder="1"/>
    <xf numFmtId="0" fontId="3" fillId="0" borderId="219" xfId="0" applyFont="1" applyBorder="1"/>
    <xf numFmtId="0" fontId="3" fillId="0" borderId="220" xfId="0" applyFont="1" applyBorder="1"/>
    <xf numFmtId="0" fontId="3" fillId="0" borderId="7" xfId="0" applyFont="1" applyBorder="1"/>
    <xf numFmtId="181" fontId="24" fillId="5" borderId="145" xfId="0" applyNumberFormat="1" applyFont="1" applyFill="1" applyBorder="1" applyAlignment="1">
      <alignment horizontal="center" vertical="center"/>
    </xf>
    <xf numFmtId="180" fontId="4" fillId="0" borderId="228" xfId="0" applyNumberFormat="1" applyFont="1" applyFill="1" applyBorder="1" applyAlignment="1">
      <alignment horizontal="center" vertical="center"/>
    </xf>
    <xf numFmtId="3" fontId="4" fillId="0" borderId="230" xfId="0" applyNumberFormat="1" applyFont="1" applyFill="1" applyBorder="1" applyAlignment="1">
      <alignment vertical="center"/>
    </xf>
    <xf numFmtId="3" fontId="4" fillId="0" borderId="231" xfId="0" applyNumberFormat="1" applyFont="1" applyFill="1" applyBorder="1" applyAlignment="1">
      <alignment vertical="center"/>
    </xf>
    <xf numFmtId="3" fontId="4" fillId="0" borderId="232" xfId="0" applyNumberFormat="1" applyFont="1" applyFill="1" applyBorder="1" applyAlignment="1">
      <alignment vertical="center"/>
    </xf>
    <xf numFmtId="0" fontId="4" fillId="0" borderId="230" xfId="0" applyFont="1" applyFill="1" applyBorder="1" applyAlignment="1">
      <alignment horizontal="center" vertical="center"/>
    </xf>
    <xf numFmtId="3" fontId="29" fillId="0" borderId="0" xfId="0" applyNumberFormat="1" applyFont="1" applyFill="1" applyBorder="1" applyAlignment="1">
      <alignment vertical="center"/>
    </xf>
    <xf numFmtId="0" fontId="33" fillId="0" borderId="0" xfId="0" applyFont="1" applyFill="1" applyAlignment="1">
      <alignment horizontal="center" shrinkToFit="1"/>
    </xf>
    <xf numFmtId="176" fontId="34" fillId="0" borderId="0" xfId="0" applyNumberFormat="1" applyFont="1" applyFill="1" applyAlignment="1">
      <alignment horizontal="center" vertical="center" shrinkToFit="1"/>
    </xf>
    <xf numFmtId="0" fontId="34" fillId="0" borderId="0" xfId="0" applyFont="1" applyFill="1" applyAlignment="1">
      <alignment horizontal="center" vertical="center" shrinkToFit="1"/>
    </xf>
    <xf numFmtId="3" fontId="34" fillId="0" borderId="0" xfId="0" applyNumberFormat="1" applyFont="1" applyFill="1" applyBorder="1" applyAlignment="1">
      <alignment horizontal="center" vertical="center" shrinkToFit="1"/>
    </xf>
    <xf numFmtId="3" fontId="34" fillId="0" borderId="0" xfId="0" applyNumberFormat="1" applyFont="1" applyFill="1" applyAlignment="1">
      <alignment horizontal="center" vertical="center" shrinkToFit="1"/>
    </xf>
    <xf numFmtId="3" fontId="9" fillId="6" borderId="242" xfId="0" applyNumberFormat="1" applyFont="1" applyFill="1" applyBorder="1" applyAlignment="1">
      <alignment vertical="center"/>
    </xf>
    <xf numFmtId="3" fontId="9" fillId="6" borderId="243" xfId="0" applyNumberFormat="1" applyFont="1" applyFill="1" applyBorder="1" applyAlignment="1">
      <alignment vertical="center"/>
    </xf>
    <xf numFmtId="0" fontId="3" fillId="0" borderId="0" xfId="0" applyFont="1" applyAlignment="1">
      <alignment horizontal="left"/>
    </xf>
    <xf numFmtId="0" fontId="3" fillId="0" borderId="0" xfId="0" applyFont="1" applyBorder="1" applyAlignment="1">
      <alignment horizontal="left"/>
    </xf>
    <xf numFmtId="0" fontId="3" fillId="0" borderId="0" xfId="0" applyFont="1" applyFill="1" applyBorder="1"/>
    <xf numFmtId="0" fontId="3" fillId="0" borderId="2" xfId="0" applyFont="1" applyBorder="1" applyAlignment="1">
      <alignment horizontal="center"/>
    </xf>
    <xf numFmtId="0" fontId="3" fillId="0" borderId="3"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2" fillId="0" borderId="0" xfId="0" applyFont="1"/>
    <xf numFmtId="0" fontId="3" fillId="0" borderId="0" xfId="0" applyFont="1" applyFill="1" applyAlignment="1">
      <alignment horizontal="left"/>
    </xf>
    <xf numFmtId="3" fontId="9" fillId="0" borderId="199" xfId="0" applyNumberFormat="1" applyFont="1" applyBorder="1" applyAlignment="1">
      <alignment vertical="center"/>
    </xf>
    <xf numFmtId="3" fontId="9" fillId="0" borderId="96" xfId="0" applyNumberFormat="1" applyFont="1" applyBorder="1" applyAlignment="1">
      <alignment vertical="center"/>
    </xf>
    <xf numFmtId="3" fontId="9" fillId="0" borderId="95" xfId="0" applyNumberFormat="1" applyFont="1" applyBorder="1" applyAlignment="1">
      <alignment vertical="center"/>
    </xf>
    <xf numFmtId="0" fontId="3" fillId="0" borderId="106" xfId="0" applyFont="1" applyBorder="1"/>
    <xf numFmtId="0" fontId="3" fillId="0" borderId="107" xfId="0" applyFont="1" applyBorder="1"/>
    <xf numFmtId="0" fontId="3" fillId="0" borderId="96" xfId="0" applyFont="1" applyBorder="1"/>
    <xf numFmtId="0" fontId="3" fillId="0" borderId="47" xfId="0" applyFont="1" applyBorder="1"/>
    <xf numFmtId="0" fontId="3" fillId="0" borderId="71" xfId="0" applyFont="1" applyBorder="1"/>
    <xf numFmtId="0" fontId="35" fillId="0" borderId="95" xfId="0" applyFont="1" applyFill="1" applyBorder="1"/>
    <xf numFmtId="0" fontId="35" fillId="0" borderId="216" xfId="0" applyFont="1" applyFill="1" applyBorder="1"/>
    <xf numFmtId="0" fontId="35" fillId="0" borderId="192" xfId="0" applyFont="1" applyBorder="1"/>
    <xf numFmtId="0" fontId="35" fillId="0" borderId="0" xfId="0" applyFont="1" applyFill="1" applyBorder="1"/>
    <xf numFmtId="0" fontId="35" fillId="0" borderId="119" xfId="0" applyFont="1" applyFill="1" applyBorder="1" applyAlignment="1">
      <alignment horizontal="center" vertical="center"/>
    </xf>
    <xf numFmtId="0" fontId="35" fillId="0" borderId="28" xfId="0" applyFont="1" applyFill="1" applyBorder="1" applyAlignment="1">
      <alignment horizontal="center" vertical="center"/>
    </xf>
    <xf numFmtId="0" fontId="35" fillId="0" borderId="29" xfId="0" applyFont="1" applyFill="1" applyBorder="1" applyAlignment="1">
      <alignment horizontal="center" vertical="center"/>
    </xf>
    <xf numFmtId="0" fontId="35" fillId="0" borderId="17" xfId="0" applyFont="1" applyFill="1" applyBorder="1" applyAlignment="1">
      <alignment horizontal="center" vertical="center"/>
    </xf>
    <xf numFmtId="0" fontId="35" fillId="0" borderId="9" xfId="0" applyFont="1" applyFill="1" applyBorder="1" applyAlignment="1">
      <alignment horizontal="center" vertical="center"/>
    </xf>
    <xf numFmtId="0" fontId="35" fillId="0" borderId="19" xfId="0" applyFont="1" applyFill="1" applyBorder="1" applyAlignment="1">
      <alignment horizontal="center" vertical="center"/>
    </xf>
    <xf numFmtId="0" fontId="35" fillId="0" borderId="12" xfId="0" applyFont="1" applyFill="1" applyBorder="1" applyAlignment="1">
      <alignment horizontal="center" vertical="center"/>
    </xf>
    <xf numFmtId="0" fontId="35" fillId="0" borderId="87" xfId="0" applyFont="1" applyFill="1" applyBorder="1" applyAlignment="1">
      <alignment horizontal="center" vertical="center"/>
    </xf>
    <xf numFmtId="0" fontId="35" fillId="0" borderId="2" xfId="0" applyFont="1" applyFill="1" applyBorder="1" applyAlignment="1">
      <alignment horizontal="center" vertical="center"/>
    </xf>
    <xf numFmtId="0" fontId="35" fillId="0" borderId="3" xfId="0" applyFont="1" applyFill="1" applyBorder="1" applyAlignment="1">
      <alignment horizontal="center" vertical="center"/>
    </xf>
    <xf numFmtId="0" fontId="35" fillId="0" borderId="2" xfId="0" applyFont="1" applyFill="1" applyBorder="1" applyAlignment="1">
      <alignment horizontal="center"/>
    </xf>
    <xf numFmtId="0" fontId="35" fillId="0" borderId="3" xfId="0" applyFont="1" applyFill="1" applyBorder="1" applyAlignment="1">
      <alignment horizontal="center"/>
    </xf>
    <xf numFmtId="180" fontId="6" fillId="0" borderId="113" xfId="0" applyNumberFormat="1" applyFont="1" applyFill="1" applyBorder="1" applyAlignment="1">
      <alignment horizontal="right" vertical="center"/>
    </xf>
    <xf numFmtId="183" fontId="3" fillId="0" borderId="0" xfId="0" applyNumberFormat="1" applyFont="1" applyFill="1" applyAlignment="1">
      <alignment horizontal="center" vertical="center"/>
    </xf>
    <xf numFmtId="183" fontId="9" fillId="0" borderId="0" xfId="0" applyNumberFormat="1" applyFont="1" applyFill="1" applyBorder="1" applyAlignment="1">
      <alignment horizontal="right" vertical="center"/>
    </xf>
    <xf numFmtId="183" fontId="6" fillId="0" borderId="0" xfId="0" applyNumberFormat="1" applyFont="1" applyFill="1" applyAlignment="1">
      <alignment horizontal="center" vertical="center"/>
    </xf>
    <xf numFmtId="183" fontId="3" fillId="0" borderId="89" xfId="0" applyNumberFormat="1" applyFont="1" applyFill="1" applyBorder="1" applyAlignment="1">
      <alignment horizontal="right" vertical="center"/>
    </xf>
    <xf numFmtId="183" fontId="3" fillId="0" borderId="66" xfId="0" applyNumberFormat="1" applyFont="1" applyFill="1" applyBorder="1" applyAlignment="1">
      <alignment horizontal="right" vertical="center"/>
    </xf>
    <xf numFmtId="183" fontId="3" fillId="0" borderId="106" xfId="0" applyNumberFormat="1" applyFont="1" applyFill="1" applyBorder="1" applyAlignment="1">
      <alignment horizontal="right" vertical="center"/>
    </xf>
    <xf numFmtId="183" fontId="3" fillId="0" borderId="250" xfId="0" applyNumberFormat="1" applyFont="1" applyFill="1" applyBorder="1" applyAlignment="1">
      <alignment horizontal="right" vertical="center"/>
    </xf>
    <xf numFmtId="183" fontId="3" fillId="0" borderId="108" xfId="0" applyNumberFormat="1" applyFont="1" applyFill="1" applyBorder="1" applyAlignment="1">
      <alignment horizontal="right" vertical="center"/>
    </xf>
    <xf numFmtId="183" fontId="3" fillId="0" borderId="18" xfId="0" applyNumberFormat="1" applyFont="1" applyFill="1" applyBorder="1" applyAlignment="1">
      <alignment horizontal="right" vertical="center"/>
    </xf>
    <xf numFmtId="183" fontId="3" fillId="0" borderId="14" xfId="0" applyNumberFormat="1" applyFont="1" applyFill="1" applyBorder="1" applyAlignment="1">
      <alignment horizontal="right" vertical="center"/>
    </xf>
    <xf numFmtId="183" fontId="3" fillId="0" borderId="217" xfId="0" applyNumberFormat="1" applyFont="1" applyFill="1" applyBorder="1" applyAlignment="1">
      <alignment horizontal="right" vertical="center"/>
    </xf>
    <xf numFmtId="183" fontId="3" fillId="0" borderId="96" xfId="0" applyNumberFormat="1" applyFont="1" applyFill="1" applyBorder="1" applyAlignment="1">
      <alignment horizontal="right" vertical="center"/>
    </xf>
    <xf numFmtId="183" fontId="3" fillId="0" borderId="9" xfId="0" applyNumberFormat="1" applyFont="1" applyFill="1" applyBorder="1" applyAlignment="1">
      <alignment horizontal="right" vertical="center"/>
    </xf>
    <xf numFmtId="183" fontId="3" fillId="0" borderId="19" xfId="0" applyNumberFormat="1" applyFont="1" applyFill="1" applyBorder="1" applyAlignment="1">
      <alignment horizontal="right" vertical="center"/>
    </xf>
    <xf numFmtId="183" fontId="3" fillId="0" borderId="15" xfId="0" applyNumberFormat="1" applyFont="1" applyFill="1" applyBorder="1" applyAlignment="1">
      <alignment horizontal="right" vertical="center"/>
    </xf>
    <xf numFmtId="183" fontId="3" fillId="0" borderId="218" xfId="0" applyNumberFormat="1" applyFont="1" applyFill="1" applyBorder="1" applyAlignment="1">
      <alignment horizontal="right" vertical="center"/>
    </xf>
    <xf numFmtId="183" fontId="3" fillId="0" borderId="52" xfId="0" applyNumberFormat="1" applyFont="1" applyFill="1" applyBorder="1" applyAlignment="1">
      <alignment horizontal="right" vertical="center"/>
    </xf>
    <xf numFmtId="183" fontId="37" fillId="0" borderId="0" xfId="0" applyNumberFormat="1" applyFont="1" applyFill="1" applyAlignment="1">
      <alignment horizontal="left" vertical="center"/>
    </xf>
    <xf numFmtId="183" fontId="3" fillId="14" borderId="18" xfId="0" applyNumberFormat="1" applyFont="1" applyFill="1" applyBorder="1" applyAlignment="1">
      <alignment horizontal="right" vertical="center"/>
    </xf>
    <xf numFmtId="183" fontId="3" fillId="14" borderId="14" xfId="0" applyNumberFormat="1" applyFont="1" applyFill="1" applyBorder="1" applyAlignment="1">
      <alignment horizontal="right" vertical="center"/>
    </xf>
    <xf numFmtId="183" fontId="3" fillId="14" borderId="217" xfId="0" applyNumberFormat="1" applyFont="1" applyFill="1" applyBorder="1" applyAlignment="1">
      <alignment horizontal="right" vertical="center"/>
    </xf>
    <xf numFmtId="183" fontId="3" fillId="14" borderId="96" xfId="0" applyNumberFormat="1" applyFont="1" applyFill="1" applyBorder="1" applyAlignment="1">
      <alignment horizontal="right" vertical="center"/>
    </xf>
    <xf numFmtId="183" fontId="3" fillId="14" borderId="3" xfId="0" applyNumberFormat="1" applyFont="1" applyFill="1" applyBorder="1" applyAlignment="1">
      <alignment horizontal="right" vertical="center"/>
    </xf>
    <xf numFmtId="183" fontId="3" fillId="14" borderId="9" xfId="0" applyNumberFormat="1" applyFont="1" applyFill="1" applyBorder="1" applyAlignment="1">
      <alignment horizontal="right" vertical="center"/>
    </xf>
    <xf numFmtId="183" fontId="3" fillId="0" borderId="17" xfId="0" applyNumberFormat="1" applyFont="1" applyFill="1" applyBorder="1" applyAlignment="1">
      <alignment horizontal="right" vertical="center"/>
    </xf>
    <xf numFmtId="183" fontId="3" fillId="0" borderId="13" xfId="0" applyNumberFormat="1" applyFont="1" applyFill="1" applyBorder="1" applyAlignment="1">
      <alignment horizontal="right" vertical="center"/>
    </xf>
    <xf numFmtId="183" fontId="3" fillId="0" borderId="216" xfId="0" applyNumberFormat="1" applyFont="1" applyFill="1" applyBorder="1" applyAlignment="1">
      <alignment horizontal="right" vertical="center"/>
    </xf>
    <xf numFmtId="183" fontId="3" fillId="0" borderId="115" xfId="0" applyNumberFormat="1" applyFont="1" applyFill="1" applyBorder="1" applyAlignment="1">
      <alignment horizontal="right" vertical="center"/>
    </xf>
    <xf numFmtId="183" fontId="3" fillId="0" borderId="28" xfId="0" applyNumberFormat="1" applyFont="1" applyFill="1" applyBorder="1" applyAlignment="1">
      <alignment horizontal="right" vertical="center"/>
    </xf>
    <xf numFmtId="183" fontId="3" fillId="0" borderId="110" xfId="0" applyNumberFormat="1" applyFont="1" applyFill="1" applyBorder="1" applyAlignment="1">
      <alignment horizontal="right" vertical="center"/>
    </xf>
    <xf numFmtId="183" fontId="3" fillId="0" borderId="223" xfId="0" applyNumberFormat="1" applyFont="1" applyFill="1" applyBorder="1" applyAlignment="1">
      <alignment horizontal="right" vertical="center"/>
    </xf>
    <xf numFmtId="183" fontId="3" fillId="0" borderId="112" xfId="0" applyNumberFormat="1" applyFont="1" applyFill="1" applyBorder="1" applyAlignment="1">
      <alignment horizontal="right" vertical="center"/>
    </xf>
    <xf numFmtId="183" fontId="3" fillId="0" borderId="29" xfId="0" applyNumberFormat="1" applyFont="1" applyFill="1" applyBorder="1" applyAlignment="1">
      <alignment horizontal="right" vertical="center"/>
    </xf>
    <xf numFmtId="183" fontId="3" fillId="0" borderId="87" xfId="0" applyNumberFormat="1" applyFont="1" applyFill="1" applyBorder="1" applyAlignment="1">
      <alignment horizontal="right" vertical="center"/>
    </xf>
    <xf numFmtId="183" fontId="3" fillId="0" borderId="88" xfId="0" applyNumberFormat="1" applyFont="1" applyFill="1" applyBorder="1" applyAlignment="1">
      <alignment horizontal="right" vertical="center"/>
    </xf>
    <xf numFmtId="183" fontId="3" fillId="0" borderId="255" xfId="0" applyNumberFormat="1" applyFont="1" applyFill="1" applyBorder="1" applyAlignment="1">
      <alignment horizontal="right" vertical="center"/>
    </xf>
    <xf numFmtId="183" fontId="3" fillId="0" borderId="118" xfId="0" applyNumberFormat="1" applyFont="1" applyFill="1" applyBorder="1" applyAlignment="1">
      <alignment horizontal="right" vertical="center"/>
    </xf>
    <xf numFmtId="183" fontId="3" fillId="0" borderId="119" xfId="0" applyNumberFormat="1" applyFont="1" applyFill="1" applyBorder="1" applyAlignment="1">
      <alignment horizontal="right" vertical="center"/>
    </xf>
    <xf numFmtId="183" fontId="3" fillId="0" borderId="256" xfId="0" applyNumberFormat="1" applyFont="1" applyFill="1" applyBorder="1" applyAlignment="1">
      <alignment horizontal="right" vertical="center"/>
    </xf>
    <xf numFmtId="183" fontId="3" fillId="0" borderId="257" xfId="0" applyNumberFormat="1" applyFont="1" applyFill="1" applyBorder="1" applyAlignment="1">
      <alignment horizontal="right" vertical="center"/>
    </xf>
    <xf numFmtId="183" fontId="3" fillId="0" borderId="180" xfId="0" applyNumberFormat="1" applyFont="1" applyFill="1" applyBorder="1" applyAlignment="1">
      <alignment horizontal="right" vertical="center"/>
    </xf>
    <xf numFmtId="183" fontId="3" fillId="0" borderId="103" xfId="0" applyNumberFormat="1" applyFont="1" applyFill="1" applyBorder="1" applyAlignment="1">
      <alignment horizontal="right" vertical="center"/>
    </xf>
    <xf numFmtId="183" fontId="3" fillId="0" borderId="77" xfId="0" applyNumberFormat="1" applyFont="1" applyFill="1" applyBorder="1" applyAlignment="1">
      <alignment horizontal="right" vertical="center"/>
    </xf>
    <xf numFmtId="183" fontId="3" fillId="0" borderId="21" xfId="0" applyNumberFormat="1" applyFont="1" applyFill="1" applyBorder="1" applyAlignment="1">
      <alignment horizontal="right" vertical="center"/>
    </xf>
    <xf numFmtId="183" fontId="3" fillId="0" borderId="3" xfId="0" applyNumberFormat="1" applyFont="1" applyFill="1" applyBorder="1" applyAlignment="1">
      <alignment horizontal="right" vertical="center"/>
    </xf>
    <xf numFmtId="183" fontId="3" fillId="0" borderId="259" xfId="0" applyNumberFormat="1" applyFont="1" applyFill="1" applyBorder="1" applyAlignment="1">
      <alignment horizontal="right" vertical="center"/>
    </xf>
    <xf numFmtId="183" fontId="3" fillId="0" borderId="94" xfId="0" applyNumberFormat="1" applyFont="1" applyFill="1" applyBorder="1" applyAlignment="1">
      <alignment horizontal="right" vertical="center"/>
    </xf>
    <xf numFmtId="183" fontId="3" fillId="0" borderId="12" xfId="0" applyNumberFormat="1" applyFont="1" applyFill="1" applyBorder="1" applyAlignment="1">
      <alignment horizontal="right" vertical="center"/>
    </xf>
    <xf numFmtId="183" fontId="3" fillId="0" borderId="95" xfId="0" applyNumberFormat="1" applyFont="1" applyFill="1" applyBorder="1" applyAlignment="1">
      <alignment horizontal="right" vertical="center"/>
    </xf>
    <xf numFmtId="183" fontId="3" fillId="0" borderId="26" xfId="0" applyNumberFormat="1" applyFont="1" applyFill="1" applyBorder="1" applyAlignment="1">
      <alignment horizontal="right" vertical="center"/>
    </xf>
    <xf numFmtId="183" fontId="3" fillId="0" borderId="34" xfId="0" applyNumberFormat="1" applyFont="1" applyFill="1" applyBorder="1" applyAlignment="1">
      <alignment horizontal="right" vertical="center"/>
    </xf>
    <xf numFmtId="183" fontId="3" fillId="0" borderId="27" xfId="0" applyNumberFormat="1" applyFont="1" applyFill="1" applyBorder="1" applyAlignment="1">
      <alignment horizontal="right" vertical="center"/>
    </xf>
    <xf numFmtId="183" fontId="3" fillId="0" borderId="90" xfId="0" applyNumberFormat="1" applyFont="1" applyFill="1" applyBorder="1" applyAlignment="1">
      <alignment horizontal="right" vertical="center"/>
    </xf>
    <xf numFmtId="183" fontId="14" fillId="0" borderId="0" xfId="0" applyNumberFormat="1" applyFont="1" applyFill="1" applyAlignment="1">
      <alignment horizontal="left" vertical="center"/>
    </xf>
    <xf numFmtId="183" fontId="14" fillId="0" borderId="0" xfId="0" applyNumberFormat="1" applyFont="1" applyFill="1" applyAlignment="1">
      <alignment horizontal="center" vertical="center"/>
    </xf>
    <xf numFmtId="183" fontId="3" fillId="0" borderId="89" xfId="0" applyNumberFormat="1" applyFont="1" applyFill="1" applyBorder="1" applyAlignment="1">
      <alignment vertical="center"/>
    </xf>
    <xf numFmtId="183" fontId="3" fillId="0" borderId="66" xfId="0" applyNumberFormat="1" applyFont="1" applyFill="1" applyBorder="1" applyAlignment="1">
      <alignment vertical="center"/>
    </xf>
    <xf numFmtId="183" fontId="3" fillId="0" borderId="106" xfId="0" applyNumberFormat="1" applyFont="1" applyFill="1" applyBorder="1" applyAlignment="1">
      <alignment vertical="center"/>
    </xf>
    <xf numFmtId="183" fontId="3" fillId="0" borderId="107" xfId="0" applyNumberFormat="1" applyFont="1" applyFill="1" applyBorder="1" applyAlignment="1">
      <alignment vertical="center"/>
    </xf>
    <xf numFmtId="183" fontId="3" fillId="15" borderId="106" xfId="0" applyNumberFormat="1" applyFont="1" applyFill="1" applyBorder="1" applyAlignment="1">
      <alignment vertical="center"/>
    </xf>
    <xf numFmtId="183" fontId="3" fillId="0" borderId="108" xfId="0" applyNumberFormat="1" applyFont="1" applyFill="1" applyBorder="1" applyAlignment="1">
      <alignment vertical="center"/>
    </xf>
    <xf numFmtId="183" fontId="3" fillId="0" borderId="21" xfId="0" applyNumberFormat="1" applyFont="1" applyFill="1" applyBorder="1" applyAlignment="1">
      <alignment vertical="center"/>
    </xf>
    <xf numFmtId="183" fontId="3" fillId="0" borderId="14" xfId="0" applyNumberFormat="1" applyFont="1" applyFill="1" applyBorder="1" applyAlignment="1">
      <alignment vertical="center"/>
    </xf>
    <xf numFmtId="183" fontId="3" fillId="0" borderId="95" xfId="0" applyNumberFormat="1" applyFont="1" applyFill="1" applyBorder="1" applyAlignment="1">
      <alignment vertical="center"/>
    </xf>
    <xf numFmtId="183" fontId="3" fillId="0" borderId="96" xfId="0" applyNumberFormat="1" applyFont="1" applyFill="1" applyBorder="1" applyAlignment="1">
      <alignment vertical="center"/>
    </xf>
    <xf numFmtId="183" fontId="3" fillId="0" borderId="18" xfId="0" applyNumberFormat="1" applyFont="1" applyFill="1" applyBorder="1" applyAlignment="1">
      <alignment vertical="center"/>
    </xf>
    <xf numFmtId="183" fontId="3" fillId="15" borderId="95" xfId="0" applyNumberFormat="1" applyFont="1" applyFill="1" applyBorder="1" applyAlignment="1">
      <alignment vertical="center"/>
    </xf>
    <xf numFmtId="183" fontId="3" fillId="0" borderId="3" xfId="0" applyNumberFormat="1" applyFont="1" applyFill="1" applyBorder="1" applyAlignment="1">
      <alignment vertical="center"/>
    </xf>
    <xf numFmtId="183" fontId="3" fillId="0" borderId="28" xfId="0" applyNumberFormat="1" applyFont="1" applyFill="1" applyBorder="1" applyAlignment="1">
      <alignment vertical="center"/>
    </xf>
    <xf numFmtId="183" fontId="3" fillId="0" borderId="110" xfId="0" applyNumberFormat="1" applyFont="1" applyFill="1" applyBorder="1" applyAlignment="1">
      <alignment vertical="center"/>
    </xf>
    <xf numFmtId="183" fontId="3" fillId="0" borderId="111" xfId="0" applyNumberFormat="1" applyFont="1" applyFill="1" applyBorder="1" applyAlignment="1">
      <alignment vertical="center"/>
    </xf>
    <xf numFmtId="183" fontId="3" fillId="0" borderId="112" xfId="0" applyNumberFormat="1" applyFont="1" applyFill="1" applyBorder="1" applyAlignment="1">
      <alignment vertical="center"/>
    </xf>
    <xf numFmtId="183" fontId="3" fillId="15" borderId="111" xfId="0" applyNumberFormat="1" applyFont="1" applyFill="1" applyBorder="1" applyAlignment="1">
      <alignment vertical="center"/>
    </xf>
    <xf numFmtId="183" fontId="3" fillId="0" borderId="29" xfId="0" applyNumberFormat="1" applyFont="1" applyFill="1" applyBorder="1" applyAlignment="1">
      <alignment vertical="center"/>
    </xf>
    <xf numFmtId="183" fontId="3" fillId="0" borderId="87" xfId="0" applyNumberFormat="1" applyFont="1" applyFill="1" applyBorder="1" applyAlignment="1">
      <alignment vertical="center"/>
    </xf>
    <xf numFmtId="183" fontId="3" fillId="0" borderId="88" xfId="0" applyNumberFormat="1" applyFont="1" applyFill="1" applyBorder="1" applyAlignment="1">
      <alignment vertical="center"/>
    </xf>
    <xf numFmtId="183" fontId="3" fillId="0" borderId="117" xfId="0" applyNumberFormat="1" applyFont="1" applyFill="1" applyBorder="1" applyAlignment="1">
      <alignment vertical="center"/>
    </xf>
    <xf numFmtId="183" fontId="3" fillId="0" borderId="118" xfId="0" applyNumberFormat="1" applyFont="1" applyFill="1" applyBorder="1" applyAlignment="1">
      <alignment vertical="center"/>
    </xf>
    <xf numFmtId="183" fontId="3" fillId="15" borderId="119" xfId="0" applyNumberFormat="1" applyFont="1" applyFill="1" applyBorder="1" applyAlignment="1">
      <alignment vertical="center"/>
    </xf>
    <xf numFmtId="183" fontId="3" fillId="15" borderId="29" xfId="0" applyNumberFormat="1" applyFont="1" applyFill="1" applyBorder="1" applyAlignment="1">
      <alignment vertical="center"/>
    </xf>
    <xf numFmtId="183" fontId="3" fillId="15" borderId="88" xfId="0" applyNumberFormat="1" applyFont="1" applyFill="1" applyBorder="1" applyAlignment="1">
      <alignment vertical="center"/>
    </xf>
    <xf numFmtId="183" fontId="3" fillId="0" borderId="119" xfId="0" applyNumberFormat="1" applyFont="1" applyFill="1" applyBorder="1" applyAlignment="1">
      <alignment vertical="center"/>
    </xf>
    <xf numFmtId="183" fontId="3" fillId="15" borderId="110" xfId="0" applyNumberFormat="1" applyFont="1" applyFill="1" applyBorder="1" applyAlignment="1">
      <alignment vertical="center"/>
    </xf>
    <xf numFmtId="183" fontId="3" fillId="0" borderId="17" xfId="0" applyNumberFormat="1" applyFont="1" applyFill="1" applyBorder="1" applyAlignment="1">
      <alignment vertical="center"/>
    </xf>
    <xf numFmtId="183" fontId="3" fillId="0" borderId="13" xfId="0" applyNumberFormat="1" applyFont="1" applyFill="1" applyBorder="1" applyAlignment="1">
      <alignment vertical="center"/>
    </xf>
    <xf numFmtId="183" fontId="3" fillId="0" borderId="93" xfId="0" applyNumberFormat="1" applyFont="1" applyFill="1" applyBorder="1" applyAlignment="1">
      <alignment vertical="center"/>
    </xf>
    <xf numFmtId="183" fontId="3" fillId="0" borderId="94" xfId="0" applyNumberFormat="1" applyFont="1" applyFill="1" applyBorder="1" applyAlignment="1">
      <alignment vertical="center"/>
    </xf>
    <xf numFmtId="183" fontId="3" fillId="15" borderId="130" xfId="0" applyNumberFormat="1" applyFont="1" applyFill="1" applyBorder="1" applyAlignment="1">
      <alignment vertical="center"/>
    </xf>
    <xf numFmtId="183" fontId="3" fillId="0" borderId="146" xfId="0" applyNumberFormat="1" applyFont="1" applyFill="1" applyBorder="1" applyAlignment="1">
      <alignment vertical="center"/>
    </xf>
    <xf numFmtId="183" fontId="3" fillId="0" borderId="9" xfId="0" applyNumberFormat="1" applyFont="1" applyFill="1" applyBorder="1" applyAlignment="1">
      <alignment vertical="center"/>
    </xf>
    <xf numFmtId="183" fontId="3" fillId="15" borderId="19" xfId="0" applyNumberFormat="1" applyFont="1" applyFill="1" applyBorder="1" applyAlignment="1">
      <alignment vertical="center"/>
    </xf>
    <xf numFmtId="183" fontId="3" fillId="0" borderId="114" xfId="0" applyNumberFormat="1" applyFont="1" applyFill="1" applyBorder="1" applyAlignment="1">
      <alignment vertical="center"/>
    </xf>
    <xf numFmtId="183" fontId="3" fillId="0" borderId="19" xfId="0" applyNumberFormat="1" applyFont="1" applyFill="1" applyBorder="1" applyAlignment="1">
      <alignment vertical="center"/>
    </xf>
    <xf numFmtId="183" fontId="3" fillId="0" borderId="15" xfId="0" applyNumberFormat="1" applyFont="1" applyFill="1" applyBorder="1" applyAlignment="1">
      <alignment vertical="center"/>
    </xf>
    <xf numFmtId="183" fontId="3" fillId="0" borderId="226" xfId="0" applyNumberFormat="1" applyFont="1" applyFill="1" applyBorder="1" applyAlignment="1">
      <alignment vertical="center"/>
    </xf>
    <xf numFmtId="183" fontId="3" fillId="0" borderId="52" xfId="0" applyNumberFormat="1" applyFont="1" applyFill="1" applyBorder="1" applyAlignment="1">
      <alignment vertical="center"/>
    </xf>
    <xf numFmtId="183" fontId="3" fillId="0" borderId="115" xfId="0" applyNumberFormat="1" applyFont="1" applyFill="1" applyBorder="1" applyAlignment="1">
      <alignment vertical="center"/>
    </xf>
    <xf numFmtId="183" fontId="3" fillId="0" borderId="12" xfId="0" applyNumberFormat="1" applyFont="1" applyFill="1" applyBorder="1" applyAlignment="1">
      <alignment vertical="center"/>
    </xf>
    <xf numFmtId="183" fontId="3" fillId="0" borderId="20" xfId="0" applyNumberFormat="1" applyFont="1" applyFill="1" applyBorder="1" applyAlignment="1">
      <alignment vertical="center"/>
    </xf>
    <xf numFmtId="183" fontId="3" fillId="0" borderId="16" xfId="0" applyNumberFormat="1" applyFont="1" applyFill="1" applyBorder="1" applyAlignment="1">
      <alignment vertical="center"/>
    </xf>
    <xf numFmtId="183" fontId="3" fillId="0" borderId="97" xfId="0" applyNumberFormat="1" applyFont="1" applyFill="1" applyBorder="1" applyAlignment="1">
      <alignment vertical="center"/>
    </xf>
    <xf numFmtId="183" fontId="3" fillId="0" borderId="98" xfId="0" applyNumberFormat="1" applyFont="1" applyFill="1" applyBorder="1" applyAlignment="1">
      <alignment vertical="center"/>
    </xf>
    <xf numFmtId="183" fontId="3" fillId="0" borderId="6" xfId="0" applyNumberFormat="1" applyFont="1" applyFill="1" applyBorder="1" applyAlignment="1">
      <alignment vertical="center"/>
    </xf>
    <xf numFmtId="183" fontId="3" fillId="0" borderId="132" xfId="0" applyNumberFormat="1" applyFont="1" applyFill="1" applyBorder="1" applyAlignment="1">
      <alignment horizontal="right" vertical="center"/>
    </xf>
    <xf numFmtId="183" fontId="3" fillId="0" borderId="90" xfId="0" applyNumberFormat="1" applyFont="1" applyFill="1" applyBorder="1" applyAlignment="1">
      <alignment vertical="center"/>
    </xf>
    <xf numFmtId="183" fontId="3" fillId="0" borderId="0" xfId="0" applyNumberFormat="1" applyFont="1" applyFill="1" applyAlignment="1">
      <alignment vertical="center"/>
    </xf>
    <xf numFmtId="183" fontId="14" fillId="0" borderId="0" xfId="0" applyNumberFormat="1" applyFont="1" applyFill="1" applyAlignment="1">
      <alignment vertical="center"/>
    </xf>
    <xf numFmtId="3" fontId="4" fillId="0" borderId="125" xfId="0" applyNumberFormat="1" applyFont="1" applyFill="1" applyBorder="1" applyAlignment="1">
      <alignment vertical="center"/>
    </xf>
    <xf numFmtId="184" fontId="3" fillId="0" borderId="161" xfId="0" applyNumberFormat="1" applyFont="1" applyFill="1" applyBorder="1" applyAlignment="1">
      <alignment horizontal="right" vertical="center"/>
    </xf>
    <xf numFmtId="184" fontId="4" fillId="0" borderId="162" xfId="0" applyNumberFormat="1" applyFont="1" applyFill="1" applyBorder="1" applyAlignment="1">
      <alignment horizontal="right" vertical="center"/>
    </xf>
    <xf numFmtId="184" fontId="3" fillId="0" borderId="165" xfId="0" applyNumberFormat="1" applyFont="1" applyFill="1" applyBorder="1" applyAlignment="1">
      <alignment horizontal="right" vertical="center"/>
    </xf>
    <xf numFmtId="184" fontId="4" fillId="0" borderId="166" xfId="0" applyNumberFormat="1" applyFont="1" applyFill="1" applyBorder="1" applyAlignment="1">
      <alignment horizontal="right" vertical="center"/>
    </xf>
    <xf numFmtId="184" fontId="3" fillId="0" borderId="178" xfId="0" applyNumberFormat="1" applyFont="1" applyFill="1" applyBorder="1" applyAlignment="1">
      <alignment horizontal="right" vertical="center"/>
    </xf>
    <xf numFmtId="184" fontId="4" fillId="0" borderId="179" xfId="0" applyNumberFormat="1" applyFont="1" applyFill="1" applyBorder="1" applyAlignment="1">
      <alignment horizontal="right" vertical="center"/>
    </xf>
    <xf numFmtId="184" fontId="3" fillId="0" borderId="180" xfId="0" applyNumberFormat="1" applyFont="1" applyFill="1" applyBorder="1" applyAlignment="1">
      <alignment horizontal="right" vertical="center"/>
    </xf>
    <xf numFmtId="184" fontId="4" fillId="0" borderId="181" xfId="0" applyNumberFormat="1" applyFont="1" applyFill="1" applyBorder="1" applyAlignment="1">
      <alignment horizontal="right" vertical="center"/>
    </xf>
    <xf numFmtId="184" fontId="3" fillId="0" borderId="182" xfId="0" applyNumberFormat="1" applyFont="1" applyFill="1" applyBorder="1" applyAlignment="1">
      <alignment horizontal="right" vertical="center"/>
    </xf>
    <xf numFmtId="184" fontId="4" fillId="0" borderId="84" xfId="0" applyNumberFormat="1" applyFont="1" applyFill="1" applyBorder="1" applyAlignment="1">
      <alignment horizontal="right" vertical="center"/>
    </xf>
    <xf numFmtId="180" fontId="36" fillId="0" borderId="90" xfId="0" applyNumberFormat="1" applyFont="1" applyBorder="1" applyAlignment="1">
      <alignment horizontal="center" vertical="center"/>
    </xf>
    <xf numFmtId="0" fontId="3" fillId="15" borderId="58" xfId="0" applyFont="1" applyFill="1" applyBorder="1"/>
    <xf numFmtId="0" fontId="3" fillId="15" borderId="53" xfId="0" applyFont="1" applyFill="1" applyBorder="1"/>
    <xf numFmtId="0" fontId="3" fillId="15" borderId="221" xfId="0" applyFont="1" applyFill="1" applyBorder="1"/>
    <xf numFmtId="0" fontId="3" fillId="0" borderId="266" xfId="0" applyFont="1" applyBorder="1"/>
    <xf numFmtId="0" fontId="3" fillId="0" borderId="230" xfId="0" applyFont="1" applyBorder="1"/>
    <xf numFmtId="0" fontId="3" fillId="0" borderId="267" xfId="0" applyFont="1" applyBorder="1"/>
    <xf numFmtId="0" fontId="3" fillId="2" borderId="59" xfId="0" applyFont="1" applyFill="1" applyBorder="1"/>
    <xf numFmtId="0" fontId="3" fillId="2" borderId="54" xfId="0" applyFont="1" applyFill="1" applyBorder="1"/>
    <xf numFmtId="0" fontId="3" fillId="2" borderId="217" xfId="0" applyFont="1" applyFill="1" applyBorder="1"/>
    <xf numFmtId="0" fontId="3" fillId="2" borderId="55" xfId="0" applyFont="1" applyFill="1" applyBorder="1"/>
    <xf numFmtId="0" fontId="3" fillId="2" borderId="218" xfId="0" applyFont="1" applyFill="1" applyBorder="1"/>
    <xf numFmtId="0" fontId="3" fillId="2" borderId="267" xfId="0" applyFont="1" applyFill="1" applyBorder="1"/>
    <xf numFmtId="0" fontId="3" fillId="2" borderId="222" xfId="0" applyFont="1" applyFill="1" applyBorder="1"/>
    <xf numFmtId="0" fontId="3" fillId="2" borderId="223" xfId="0" applyFont="1" applyFill="1" applyBorder="1"/>
    <xf numFmtId="0" fontId="3" fillId="2" borderId="224" xfId="0" applyFont="1" applyFill="1" applyBorder="1"/>
    <xf numFmtId="0" fontId="3" fillId="0" borderId="65" xfId="0" applyFont="1" applyBorder="1"/>
    <xf numFmtId="0" fontId="3" fillId="0" borderId="258" xfId="0" applyFont="1" applyBorder="1"/>
    <xf numFmtId="0" fontId="3" fillId="0" borderId="268" xfId="0" applyFont="1" applyBorder="1"/>
    <xf numFmtId="0" fontId="3" fillId="0" borderId="0" xfId="0" applyFont="1" applyAlignment="1">
      <alignment horizontal="left" vertical="center"/>
    </xf>
    <xf numFmtId="0" fontId="3" fillId="9" borderId="244" xfId="0" applyFont="1" applyFill="1" applyBorder="1" applyAlignment="1">
      <alignment horizontal="center" vertical="center"/>
    </xf>
    <xf numFmtId="0" fontId="3" fillId="9" borderId="245" xfId="0" applyFont="1" applyFill="1" applyBorder="1" applyAlignment="1">
      <alignment horizontal="center" vertical="center"/>
    </xf>
    <xf numFmtId="0" fontId="3" fillId="9" borderId="246" xfId="0" applyFont="1" applyFill="1" applyBorder="1" applyAlignment="1">
      <alignment horizontal="center" vertical="center"/>
    </xf>
    <xf numFmtId="0" fontId="3" fillId="9" borderId="143" xfId="0" applyFont="1" applyFill="1" applyBorder="1" applyAlignment="1">
      <alignment vertical="center"/>
    </xf>
    <xf numFmtId="0" fontId="3" fillId="0" borderId="0" xfId="0" applyFont="1" applyBorder="1" applyAlignment="1">
      <alignment vertical="center"/>
    </xf>
    <xf numFmtId="0" fontId="3" fillId="9" borderId="49" xfId="0" applyFont="1" applyFill="1" applyBorder="1" applyAlignment="1">
      <alignment horizontal="center" vertical="center"/>
    </xf>
    <xf numFmtId="0" fontId="3" fillId="9" borderId="144" xfId="0" applyFont="1" applyFill="1" applyBorder="1" applyAlignment="1">
      <alignment horizontal="center" vertical="center"/>
    </xf>
    <xf numFmtId="0" fontId="3" fillId="9" borderId="69" xfId="0" applyFont="1" applyFill="1" applyBorder="1" applyAlignment="1">
      <alignment horizontal="center" vertical="center"/>
    </xf>
    <xf numFmtId="180" fontId="36" fillId="0" borderId="90" xfId="0" applyNumberFormat="1" applyFont="1" applyBorder="1" applyAlignment="1">
      <alignment vertical="center"/>
    </xf>
    <xf numFmtId="186" fontId="3" fillId="7" borderId="49" xfId="0" applyNumberFormat="1" applyFont="1" applyFill="1" applyBorder="1" applyAlignment="1">
      <alignment horizontal="center" vertical="center"/>
    </xf>
    <xf numFmtId="187" fontId="3" fillId="0" borderId="0" xfId="0" applyNumberFormat="1" applyFont="1" applyFill="1" applyAlignment="1">
      <alignment horizontal="center" vertical="center"/>
    </xf>
    <xf numFmtId="0" fontId="3" fillId="16" borderId="211" xfId="0" applyFont="1" applyFill="1" applyBorder="1" applyAlignment="1">
      <alignment horizontal="center" vertical="center" wrapText="1"/>
    </xf>
    <xf numFmtId="0" fontId="12" fillId="16" borderId="212" xfId="0" applyNumberFormat="1" applyFont="1" applyFill="1" applyBorder="1" applyAlignment="1" applyProtection="1">
      <alignment horizontal="center" vertical="center" wrapText="1"/>
      <protection hidden="1"/>
    </xf>
    <xf numFmtId="38" fontId="12" fillId="16" borderId="212" xfId="1" applyNumberFormat="1" applyFont="1" applyFill="1" applyBorder="1" applyAlignment="1" applyProtection="1">
      <alignment horizontal="center" vertical="center" wrapText="1"/>
      <protection hidden="1"/>
    </xf>
    <xf numFmtId="38" fontId="12" fillId="16" borderId="212" xfId="1" applyFont="1" applyFill="1" applyBorder="1" applyAlignment="1" applyProtection="1">
      <alignment horizontal="center" vertical="center" wrapText="1"/>
      <protection hidden="1"/>
    </xf>
    <xf numFmtId="187" fontId="12" fillId="16" borderId="212" xfId="0" applyNumberFormat="1" applyFont="1" applyFill="1" applyBorder="1" applyAlignment="1" applyProtection="1">
      <alignment horizontal="center" vertical="center" wrapText="1"/>
      <protection hidden="1"/>
    </xf>
    <xf numFmtId="188" fontId="12" fillId="16" borderId="212" xfId="0" applyNumberFormat="1" applyFont="1" applyFill="1" applyBorder="1" applyAlignment="1" applyProtection="1">
      <alignment horizontal="center" vertical="center" wrapText="1"/>
      <protection hidden="1"/>
    </xf>
    <xf numFmtId="0" fontId="12" fillId="16" borderId="212" xfId="0" applyFont="1" applyFill="1" applyBorder="1" applyAlignment="1" applyProtection="1">
      <alignment horizontal="center" vertical="center" wrapText="1"/>
      <protection hidden="1"/>
    </xf>
    <xf numFmtId="0" fontId="12" fillId="16" borderId="38" xfId="0" applyFont="1" applyFill="1" applyBorder="1" applyAlignment="1" applyProtection="1">
      <alignment horizontal="center" vertical="center" wrapText="1"/>
      <protection hidden="1"/>
    </xf>
    <xf numFmtId="0" fontId="0" fillId="0" borderId="0" xfId="0" applyAlignment="1">
      <alignment vertical="center"/>
    </xf>
    <xf numFmtId="0" fontId="24" fillId="16" borderId="269" xfId="0" applyFont="1" applyFill="1" applyBorder="1" applyAlignment="1">
      <alignment horizontal="right"/>
    </xf>
    <xf numFmtId="0" fontId="39" fillId="16" borderId="139" xfId="0" applyNumberFormat="1" applyFont="1" applyFill="1" applyBorder="1" applyAlignment="1" applyProtection="1">
      <alignment horizontal="right" wrapText="1"/>
      <protection hidden="1"/>
    </xf>
    <xf numFmtId="38" fontId="39" fillId="16" borderId="139" xfId="1" applyNumberFormat="1" applyFont="1" applyFill="1" applyBorder="1" applyAlignment="1" applyProtection="1">
      <alignment horizontal="right" vertical="center" wrapText="1"/>
      <protection hidden="1"/>
    </xf>
    <xf numFmtId="0" fontId="39" fillId="16" borderId="139" xfId="0" applyNumberFormat="1" applyFont="1" applyFill="1" applyBorder="1" applyAlignment="1" applyProtection="1">
      <alignment horizontal="right" vertical="center" wrapText="1"/>
      <protection hidden="1"/>
    </xf>
    <xf numFmtId="0" fontId="39" fillId="16" borderId="270" xfId="0" applyNumberFormat="1" applyFont="1" applyFill="1" applyBorder="1" applyAlignment="1" applyProtection="1">
      <alignment horizontal="center" vertical="center" wrapText="1"/>
      <protection hidden="1"/>
    </xf>
    <xf numFmtId="0" fontId="39" fillId="16" borderId="234" xfId="0" applyFont="1" applyFill="1" applyBorder="1" applyAlignment="1" applyProtection="1">
      <alignment horizontal="center" vertical="center" wrapText="1"/>
      <protection hidden="1"/>
    </xf>
    <xf numFmtId="38" fontId="39" fillId="16" borderId="139" xfId="1" applyFont="1" applyFill="1" applyBorder="1" applyAlignment="1" applyProtection="1">
      <alignment horizontal="right" vertical="center" wrapText="1"/>
      <protection hidden="1"/>
    </xf>
    <xf numFmtId="187" fontId="39" fillId="16" borderId="139" xfId="0" applyNumberFormat="1" applyFont="1" applyFill="1" applyBorder="1" applyAlignment="1" applyProtection="1">
      <alignment horizontal="right" vertical="center" wrapText="1"/>
      <protection hidden="1"/>
    </xf>
    <xf numFmtId="188" fontId="39" fillId="16" borderId="139" xfId="0" applyNumberFormat="1" applyFont="1" applyFill="1" applyBorder="1" applyAlignment="1" applyProtection="1">
      <alignment horizontal="right" vertical="center" wrapText="1"/>
      <protection hidden="1"/>
    </xf>
    <xf numFmtId="0" fontId="39" fillId="16" borderId="139" xfId="0" applyFont="1" applyFill="1" applyBorder="1" applyAlignment="1" applyProtection="1">
      <alignment horizontal="right" vertical="center" wrapText="1"/>
      <protection hidden="1"/>
    </xf>
    <xf numFmtId="0" fontId="39" fillId="16" borderId="156" xfId="0" applyFont="1" applyFill="1" applyBorder="1" applyAlignment="1" applyProtection="1">
      <alignment horizontal="right" wrapText="1"/>
      <protection hidden="1"/>
    </xf>
    <xf numFmtId="0" fontId="0" fillId="15" borderId="7" xfId="0" applyFill="1" applyBorder="1" applyAlignment="1">
      <alignment horizontal="center" vertical="center"/>
    </xf>
    <xf numFmtId="0" fontId="0" fillId="15" borderId="8" xfId="0" applyFill="1" applyBorder="1" applyAlignment="1">
      <alignment vertical="center"/>
    </xf>
    <xf numFmtId="189" fontId="0" fillId="17" borderId="8" xfId="0" applyNumberFormat="1" applyFill="1" applyBorder="1" applyAlignment="1">
      <alignment horizontal="right" vertical="center"/>
    </xf>
    <xf numFmtId="189" fontId="0" fillId="0" borderId="2" xfId="0" applyNumberFormat="1" applyFill="1" applyBorder="1" applyAlignment="1">
      <alignment horizontal="right" vertical="center"/>
    </xf>
    <xf numFmtId="189" fontId="0" fillId="15" borderId="8" xfId="0" applyNumberFormat="1" applyFill="1" applyBorder="1" applyAlignment="1">
      <alignment horizontal="center" vertical="center"/>
    </xf>
    <xf numFmtId="189" fontId="0" fillId="15" borderId="8" xfId="0" applyNumberFormat="1" applyFill="1" applyBorder="1" applyAlignment="1">
      <alignment horizontal="right" vertical="center"/>
    </xf>
    <xf numFmtId="189" fontId="0" fillId="0" borderId="8" xfId="0" applyNumberFormat="1" applyBorder="1" applyAlignment="1">
      <alignment horizontal="right" vertical="center"/>
    </xf>
    <xf numFmtId="189" fontId="0" fillId="0" borderId="8" xfId="0" applyNumberFormat="1" applyBorder="1" applyAlignment="1">
      <alignment horizontal="center" vertical="center"/>
    </xf>
    <xf numFmtId="187" fontId="0" fillId="0" borderId="8" xfId="0" applyNumberFormat="1" applyBorder="1" applyAlignment="1">
      <alignment horizontal="center" vertical="center"/>
    </xf>
    <xf numFmtId="190" fontId="0" fillId="0" borderId="8" xfId="0" applyNumberFormat="1" applyBorder="1" applyAlignment="1">
      <alignment horizontal="center" vertical="center"/>
    </xf>
    <xf numFmtId="189" fontId="0" fillId="18" borderId="8" xfId="0" applyNumberFormat="1" applyFill="1" applyBorder="1" applyAlignment="1">
      <alignment horizontal="right" vertical="center"/>
    </xf>
    <xf numFmtId="189" fontId="0" fillId="17" borderId="8" xfId="0" applyNumberFormat="1" applyFill="1" applyBorder="1" applyAlignment="1">
      <alignment vertical="center"/>
    </xf>
    <xf numFmtId="0" fontId="0" fillId="0" borderId="9" xfId="0" applyBorder="1" applyAlignment="1">
      <alignment vertical="center"/>
    </xf>
    <xf numFmtId="0" fontId="0" fillId="15" borderId="1" xfId="0" applyFill="1" applyBorder="1" applyAlignment="1">
      <alignment horizontal="center" vertical="center"/>
    </xf>
    <xf numFmtId="189" fontId="0" fillId="17" borderId="2" xfId="0" applyNumberFormat="1" applyFill="1" applyBorder="1" applyAlignment="1">
      <alignment horizontal="right" vertical="center"/>
    </xf>
    <xf numFmtId="189" fontId="0" fillId="15" borderId="2" xfId="0" applyNumberFormat="1" applyFill="1" applyBorder="1" applyAlignment="1">
      <alignment horizontal="center" vertical="center"/>
    </xf>
    <xf numFmtId="189" fontId="0" fillId="15" borderId="2" xfId="0" applyNumberFormat="1" applyFill="1" applyBorder="1" applyAlignment="1">
      <alignment horizontal="right" vertical="center"/>
    </xf>
    <xf numFmtId="189" fontId="0" fillId="0" borderId="2" xfId="0" applyNumberFormat="1" applyBorder="1" applyAlignment="1">
      <alignment horizontal="center" vertical="center"/>
    </xf>
    <xf numFmtId="0" fontId="0" fillId="0" borderId="3" xfId="0" applyBorder="1" applyAlignment="1">
      <alignment vertical="center"/>
    </xf>
    <xf numFmtId="0" fontId="0" fillId="15" borderId="11" xfId="0" applyFill="1" applyBorder="1" applyAlignment="1">
      <alignment vertical="center"/>
    </xf>
    <xf numFmtId="189" fontId="0" fillId="17" borderId="11" xfId="0" applyNumberFormat="1" applyFill="1" applyBorder="1" applyAlignment="1">
      <alignment horizontal="right" vertical="center"/>
    </xf>
    <xf numFmtId="189" fontId="0" fillId="15" borderId="11" xfId="0" applyNumberFormat="1" applyFill="1" applyBorder="1" applyAlignment="1">
      <alignment horizontal="center" vertical="center"/>
    </xf>
    <xf numFmtId="189" fontId="0" fillId="15" borderId="11" xfId="0" applyNumberFormat="1" applyFill="1" applyBorder="1" applyAlignment="1">
      <alignment horizontal="right" vertical="center"/>
    </xf>
    <xf numFmtId="189" fontId="0" fillId="0" borderId="11" xfId="0" applyNumberFormat="1" applyBorder="1" applyAlignment="1">
      <alignment horizontal="center" vertical="center"/>
    </xf>
    <xf numFmtId="0" fontId="0" fillId="0" borderId="12" xfId="0" applyBorder="1" applyAlignment="1">
      <alignment vertical="center"/>
    </xf>
    <xf numFmtId="0" fontId="0" fillId="15" borderId="10" xfId="0" applyFill="1" applyBorder="1" applyAlignment="1">
      <alignment horizontal="center" vertical="center"/>
    </xf>
    <xf numFmtId="189" fontId="0" fillId="0" borderId="131" xfId="0" applyNumberFormat="1" applyBorder="1" applyAlignment="1">
      <alignment horizontal="right" vertical="center"/>
    </xf>
    <xf numFmtId="189" fontId="0" fillId="15" borderId="131" xfId="0" applyNumberFormat="1" applyFill="1" applyBorder="1" applyAlignment="1">
      <alignment horizontal="center" vertical="center"/>
    </xf>
    <xf numFmtId="187" fontId="0" fillId="0" borderId="131" xfId="0" applyNumberFormat="1" applyBorder="1" applyAlignment="1">
      <alignment horizontal="center" vertical="center"/>
    </xf>
    <xf numFmtId="190" fontId="0" fillId="0" borderId="131" xfId="0" applyNumberFormat="1" applyBorder="1" applyAlignment="1">
      <alignment horizontal="center" vertical="center"/>
    </xf>
    <xf numFmtId="189" fontId="0" fillId="0" borderId="131" xfId="0" applyNumberFormat="1" applyBorder="1" applyAlignment="1">
      <alignment horizontal="center" vertical="center"/>
    </xf>
    <xf numFmtId="189" fontId="0" fillId="17" borderId="131" xfId="0" applyNumberFormat="1" applyFill="1" applyBorder="1" applyAlignment="1">
      <alignment vertical="center"/>
    </xf>
    <xf numFmtId="0" fontId="0" fillId="0" borderId="271" xfId="0" applyFill="1" applyBorder="1" applyAlignment="1">
      <alignment horizontal="center" vertical="center"/>
    </xf>
    <xf numFmtId="0" fontId="40" fillId="0" borderId="83" xfId="0" applyFont="1" applyFill="1" applyBorder="1" applyAlignment="1">
      <alignment horizontal="center" vertical="center"/>
    </xf>
    <xf numFmtId="189" fontId="0" fillId="0" borderId="272" xfId="0" applyNumberFormat="1" applyFill="1" applyBorder="1" applyAlignment="1">
      <alignment horizontal="right" vertical="center"/>
    </xf>
    <xf numFmtId="189" fontId="0" fillId="0" borderId="272" xfId="0" applyNumberFormat="1" applyFill="1" applyBorder="1" applyAlignment="1">
      <alignment horizontal="center" vertical="center"/>
    </xf>
    <xf numFmtId="187" fontId="0" fillId="0" borderId="272" xfId="0" applyNumberFormat="1" applyFill="1" applyBorder="1" applyAlignment="1">
      <alignment horizontal="center" vertical="center"/>
    </xf>
    <xf numFmtId="190" fontId="0" fillId="0" borderId="272" xfId="0" applyNumberFormat="1" applyFill="1" applyBorder="1" applyAlignment="1">
      <alignment horizontal="center" vertical="center"/>
    </xf>
    <xf numFmtId="189" fontId="0" fillId="0" borderId="83" xfId="0" applyNumberFormat="1" applyFill="1" applyBorder="1" applyAlignment="1">
      <alignment horizontal="right" vertical="center"/>
    </xf>
    <xf numFmtId="189" fontId="0" fillId="9" borderId="83" xfId="0" applyNumberFormat="1" applyFill="1" applyBorder="1" applyAlignment="1">
      <alignment horizontal="right" vertical="center"/>
    </xf>
    <xf numFmtId="189" fontId="0" fillId="17" borderId="83" xfId="0" applyNumberFormat="1" applyFill="1" applyBorder="1" applyAlignment="1">
      <alignment horizontal="right" vertical="center"/>
    </xf>
    <xf numFmtId="0" fontId="0" fillId="0" borderId="273" xfId="0" applyFill="1" applyBorder="1" applyAlignment="1">
      <alignment vertical="center"/>
    </xf>
    <xf numFmtId="189" fontId="0" fillId="0" borderId="132" xfId="0" applyNumberFormat="1" applyBorder="1" applyAlignment="1">
      <alignment horizontal="center" vertical="center"/>
    </xf>
    <xf numFmtId="0" fontId="0" fillId="0" borderId="0" xfId="0" applyAlignment="1">
      <alignment horizontal="center" vertical="center"/>
    </xf>
    <xf numFmtId="187" fontId="0" fillId="0" borderId="0" xfId="0" applyNumberFormat="1" applyAlignment="1">
      <alignment vertical="center"/>
    </xf>
    <xf numFmtId="189" fontId="0" fillId="0" borderId="11" xfId="0" applyNumberFormat="1" applyFill="1" applyBorder="1" applyAlignment="1">
      <alignment horizontal="right" vertical="center"/>
    </xf>
    <xf numFmtId="189" fontId="0" fillId="18" borderId="131" xfId="0" applyNumberFormat="1" applyFill="1" applyBorder="1" applyAlignment="1">
      <alignment horizontal="right" vertical="center"/>
    </xf>
    <xf numFmtId="0" fontId="3" fillId="0" borderId="0" xfId="0" applyFont="1" applyAlignment="1">
      <alignment horizontal="center" vertical="center"/>
    </xf>
    <xf numFmtId="0" fontId="3" fillId="0" borderId="0" xfId="0" applyFont="1" applyAlignment="1">
      <alignment horizontal="right" vertical="center"/>
    </xf>
    <xf numFmtId="49" fontId="3" fillId="0" borderId="186" xfId="0" applyNumberFormat="1" applyFont="1" applyFill="1" applyBorder="1" applyAlignment="1">
      <alignment vertical="center"/>
    </xf>
    <xf numFmtId="49" fontId="3" fillId="0" borderId="278" xfId="0" applyNumberFormat="1" applyFont="1" applyBorder="1" applyAlignment="1">
      <alignment horizontal="center" vertical="center"/>
    </xf>
    <xf numFmtId="49" fontId="3" fillId="0" borderId="72" xfId="0" applyNumberFormat="1" applyFont="1" applyFill="1" applyBorder="1" applyAlignment="1">
      <alignment vertical="center"/>
    </xf>
    <xf numFmtId="49" fontId="5" fillId="0" borderId="165" xfId="0" applyNumberFormat="1" applyFont="1" applyBorder="1" applyAlignment="1">
      <alignment horizontal="center" vertical="center"/>
    </xf>
    <xf numFmtId="49" fontId="3" fillId="0" borderId="73" xfId="0" applyNumberFormat="1" applyFont="1" applyFill="1" applyBorder="1" applyAlignment="1">
      <alignment vertical="center"/>
    </xf>
    <xf numFmtId="49" fontId="3" fillId="0" borderId="283" xfId="0" applyNumberFormat="1" applyFont="1" applyBorder="1" applyAlignment="1">
      <alignment horizontal="center" vertical="center"/>
    </xf>
    <xf numFmtId="49" fontId="3" fillId="0" borderId="284" xfId="0" applyNumberFormat="1" applyFont="1" applyBorder="1" applyAlignment="1">
      <alignment horizontal="center" vertical="center"/>
    </xf>
    <xf numFmtId="49" fontId="3" fillId="0" borderId="243" xfId="0" applyNumberFormat="1" applyFont="1" applyBorder="1" applyAlignment="1">
      <alignment horizontal="center" vertical="center"/>
    </xf>
    <xf numFmtId="49" fontId="3" fillId="0" borderId="285" xfId="0" applyNumberFormat="1" applyFont="1" applyBorder="1" applyAlignment="1">
      <alignment horizontal="center" vertical="center"/>
    </xf>
    <xf numFmtId="49" fontId="3" fillId="0" borderId="74" xfId="0" applyNumberFormat="1" applyFont="1" applyBorder="1" applyAlignment="1">
      <alignment horizontal="center" vertical="center"/>
    </xf>
    <xf numFmtId="49" fontId="3" fillId="0" borderId="75" xfId="0" applyNumberFormat="1" applyFont="1" applyBorder="1" applyAlignment="1">
      <alignment horizontal="center" vertical="center"/>
    </xf>
    <xf numFmtId="0" fontId="3" fillId="0" borderId="286" xfId="0" applyFont="1" applyBorder="1" applyAlignment="1">
      <alignment horizontal="center" vertical="center"/>
    </xf>
    <xf numFmtId="191" fontId="3" fillId="0" borderId="106" xfId="0" applyNumberFormat="1" applyFont="1" applyBorder="1" applyAlignment="1">
      <alignment horizontal="right" vertical="center"/>
    </xf>
    <xf numFmtId="0" fontId="3" fillId="0" borderId="220" xfId="0" applyFont="1" applyBorder="1" applyAlignment="1">
      <alignment horizontal="center" vertical="center"/>
    </xf>
    <xf numFmtId="0" fontId="3" fillId="0" borderId="107" xfId="0" applyFont="1" applyBorder="1" applyAlignment="1">
      <alignment horizontal="center" vertical="center"/>
    </xf>
    <xf numFmtId="191" fontId="3" fillId="0" borderId="220" xfId="0" applyNumberFormat="1" applyFont="1" applyBorder="1" applyAlignment="1">
      <alignment horizontal="center" vertical="center"/>
    </xf>
    <xf numFmtId="192" fontId="3" fillId="0" borderId="107" xfId="0" applyNumberFormat="1" applyFont="1" applyBorder="1" applyAlignment="1">
      <alignment horizontal="center" vertical="center"/>
    </xf>
    <xf numFmtId="191" fontId="3" fillId="0" borderId="106" xfId="0" applyNumberFormat="1" applyFont="1" applyBorder="1" applyAlignment="1">
      <alignment horizontal="center" vertical="center"/>
    </xf>
    <xf numFmtId="191" fontId="3" fillId="0" borderId="108" xfId="0" applyNumberFormat="1" applyFont="1" applyBorder="1" applyAlignment="1">
      <alignment horizontal="center" vertical="center"/>
    </xf>
    <xf numFmtId="191" fontId="3" fillId="0" borderId="287" xfId="0" applyNumberFormat="1" applyFont="1" applyBorder="1" applyAlignment="1">
      <alignment horizontal="right" vertical="center"/>
    </xf>
    <xf numFmtId="191" fontId="3" fillId="0" borderId="89" xfId="0" applyNumberFormat="1" applyFont="1" applyBorder="1" applyAlignment="1">
      <alignment horizontal="right" vertical="center"/>
    </xf>
    <xf numFmtId="0" fontId="3" fillId="0" borderId="108" xfId="0" applyFont="1" applyBorder="1" applyAlignment="1">
      <alignment horizontal="center" vertical="center"/>
    </xf>
    <xf numFmtId="0" fontId="3" fillId="0" borderId="258" xfId="0" applyFont="1" applyBorder="1" applyAlignment="1">
      <alignment horizontal="center" vertical="center"/>
    </xf>
    <xf numFmtId="191" fontId="3" fillId="0" borderId="95" xfId="0" applyNumberFormat="1" applyFont="1" applyBorder="1" applyAlignment="1">
      <alignment horizontal="right" vertical="center"/>
    </xf>
    <xf numFmtId="0" fontId="3" fillId="0" borderId="96" xfId="0" applyFont="1" applyBorder="1" applyAlignment="1">
      <alignment horizontal="center" vertical="center"/>
    </xf>
    <xf numFmtId="191" fontId="3" fillId="0" borderId="2" xfId="0" applyNumberFormat="1" applyFont="1" applyBorder="1" applyAlignment="1">
      <alignment horizontal="right" vertical="center"/>
    </xf>
    <xf numFmtId="192" fontId="3" fillId="0" borderId="96" xfId="0" applyNumberFormat="1" applyFont="1" applyBorder="1" applyAlignment="1">
      <alignment horizontal="right" vertical="center"/>
    </xf>
    <xf numFmtId="191" fontId="3" fillId="0" borderId="54" xfId="0" applyNumberFormat="1" applyFont="1" applyBorder="1" applyAlignment="1">
      <alignment horizontal="right" vertical="center"/>
    </xf>
    <xf numFmtId="191" fontId="3" fillId="0" borderId="18" xfId="0" applyNumberFormat="1" applyFont="1" applyBorder="1" applyAlignment="1">
      <alignment horizontal="right" vertical="center"/>
    </xf>
    <xf numFmtId="192" fontId="3" fillId="0" borderId="3" xfId="0" applyNumberFormat="1" applyFont="1" applyBorder="1" applyAlignment="1">
      <alignment horizontal="right" vertical="center"/>
    </xf>
    <xf numFmtId="0" fontId="3" fillId="0" borderId="268" xfId="0" applyFont="1" applyBorder="1" applyAlignment="1">
      <alignment horizontal="center" vertical="center"/>
    </xf>
    <xf numFmtId="191" fontId="3" fillId="0" borderId="114" xfId="0" applyNumberFormat="1" applyFont="1" applyBorder="1" applyAlignment="1">
      <alignment horizontal="right" vertical="center"/>
    </xf>
    <xf numFmtId="0" fontId="3" fillId="0" borderId="11" xfId="0" applyFont="1" applyBorder="1" applyAlignment="1">
      <alignment horizontal="center" vertical="center"/>
    </xf>
    <xf numFmtId="0" fontId="3" fillId="0" borderId="115" xfId="0" applyFont="1" applyBorder="1" applyAlignment="1">
      <alignment horizontal="center" vertical="center"/>
    </xf>
    <xf numFmtId="191" fontId="3" fillId="0" borderId="11" xfId="0" applyNumberFormat="1" applyFont="1" applyBorder="1" applyAlignment="1">
      <alignment horizontal="right" vertical="center"/>
    </xf>
    <xf numFmtId="192" fontId="3" fillId="0" borderId="115" xfId="0" applyNumberFormat="1" applyFont="1" applyBorder="1" applyAlignment="1">
      <alignment horizontal="right" vertical="center"/>
    </xf>
    <xf numFmtId="0" fontId="3" fillId="0" borderId="12" xfId="0" applyFont="1" applyBorder="1" applyAlignment="1">
      <alignment horizontal="center" vertical="center"/>
    </xf>
    <xf numFmtId="191" fontId="3" fillId="0" borderId="56" xfId="0" applyNumberFormat="1" applyFont="1" applyBorder="1" applyAlignment="1">
      <alignment horizontal="right" vertical="center"/>
    </xf>
    <xf numFmtId="191" fontId="3" fillId="0" borderId="20" xfId="0" applyNumberFormat="1" applyFont="1" applyBorder="1" applyAlignment="1">
      <alignment horizontal="right" vertical="center"/>
    </xf>
    <xf numFmtId="191" fontId="3" fillId="0" borderId="5" xfId="0" applyNumberFormat="1" applyFont="1" applyBorder="1" applyAlignment="1">
      <alignment horizontal="right" vertical="center"/>
    </xf>
    <xf numFmtId="192" fontId="3" fillId="0" borderId="6" xfId="0" applyNumberFormat="1" applyFont="1" applyBorder="1" applyAlignment="1">
      <alignment horizontal="right" vertical="center"/>
    </xf>
    <xf numFmtId="183" fontId="4" fillId="0" borderId="160" xfId="0" applyNumberFormat="1" applyFont="1" applyFill="1" applyBorder="1" applyAlignment="1">
      <alignment horizontal="center" vertical="center"/>
    </xf>
    <xf numFmtId="183" fontId="3" fillId="0" borderId="161" xfId="0" applyNumberFormat="1" applyFont="1" applyFill="1" applyBorder="1" applyAlignment="1">
      <alignment horizontal="center" vertical="center"/>
    </xf>
    <xf numFmtId="183" fontId="4" fillId="0" borderId="161" xfId="0" applyNumberFormat="1" applyFont="1" applyFill="1" applyBorder="1" applyAlignment="1">
      <alignment horizontal="center" vertical="center"/>
    </xf>
    <xf numFmtId="183" fontId="4" fillId="0" borderId="161" xfId="0" applyNumberFormat="1" applyFont="1" applyFill="1" applyBorder="1" applyAlignment="1">
      <alignment horizontal="right" vertical="center"/>
    </xf>
    <xf numFmtId="183" fontId="20" fillId="0" borderId="161" xfId="0" applyNumberFormat="1" applyFont="1" applyBorder="1" applyAlignment="1">
      <alignment horizontal="center" vertical="center" wrapText="1"/>
    </xf>
    <xf numFmtId="183" fontId="18" fillId="0" borderId="161" xfId="0" applyNumberFormat="1" applyFont="1" applyBorder="1" applyAlignment="1">
      <alignment horizontal="center" vertical="center"/>
    </xf>
    <xf numFmtId="183" fontId="4" fillId="0" borderId="162" xfId="0" applyNumberFormat="1" applyFont="1" applyBorder="1" applyAlignment="1">
      <alignment horizontal="center" vertical="center"/>
    </xf>
    <xf numFmtId="183" fontId="4" fillId="0" borderId="148" xfId="0" applyNumberFormat="1" applyFont="1" applyFill="1" applyBorder="1" applyAlignment="1">
      <alignment horizontal="center" vertical="center"/>
    </xf>
    <xf numFmtId="183" fontId="3" fillId="0" borderId="190" xfId="0" applyNumberFormat="1" applyFont="1" applyFill="1" applyBorder="1" applyAlignment="1">
      <alignment horizontal="center" vertical="center"/>
    </xf>
    <xf numFmtId="183" fontId="4" fillId="0" borderId="190" xfId="0" applyNumberFormat="1" applyFont="1" applyFill="1" applyBorder="1" applyAlignment="1">
      <alignment horizontal="center" vertical="center"/>
    </xf>
    <xf numFmtId="183" fontId="4" fillId="0" borderId="182" xfId="0" applyNumberFormat="1" applyFont="1" applyFill="1" applyBorder="1" applyAlignment="1">
      <alignment horizontal="center" vertical="center"/>
    </xf>
    <xf numFmtId="183" fontId="9" fillId="0" borderId="191" xfId="0" applyNumberFormat="1" applyFont="1" applyFill="1" applyBorder="1" applyAlignment="1">
      <alignment horizontal="center" vertical="center"/>
    </xf>
    <xf numFmtId="183" fontId="9" fillId="0" borderId="182" xfId="0" applyNumberFormat="1" applyFont="1" applyFill="1" applyBorder="1" applyAlignment="1">
      <alignment horizontal="right" vertical="center"/>
    </xf>
    <xf numFmtId="183" fontId="4" fillId="0" borderId="182" xfId="0" applyNumberFormat="1" applyFont="1" applyBorder="1" applyAlignment="1">
      <alignment horizontal="right" vertical="center"/>
    </xf>
    <xf numFmtId="183" fontId="4" fillId="0" borderId="292" xfId="0" applyNumberFormat="1" applyFont="1" applyBorder="1" applyAlignment="1">
      <alignment horizontal="center" vertical="center"/>
    </xf>
    <xf numFmtId="184" fontId="6" fillId="0" borderId="200" xfId="0" applyNumberFormat="1" applyFont="1" applyFill="1" applyBorder="1" applyAlignment="1">
      <alignment vertical="center"/>
    </xf>
    <xf numFmtId="3" fontId="4" fillId="0" borderId="300" xfId="0" applyNumberFormat="1" applyFont="1" applyFill="1" applyBorder="1" applyAlignment="1">
      <alignment vertical="center"/>
    </xf>
    <xf numFmtId="0" fontId="4" fillId="0" borderId="292" xfId="0" applyFont="1" applyBorder="1" applyAlignment="1">
      <alignment vertical="center"/>
    </xf>
    <xf numFmtId="3" fontId="6" fillId="0" borderId="34" xfId="0" applyNumberFormat="1" applyFont="1" applyFill="1" applyBorder="1" applyAlignment="1">
      <alignment horizontal="right" vertical="center"/>
    </xf>
    <xf numFmtId="180" fontId="3" fillId="0" borderId="235" xfId="0" applyNumberFormat="1" applyFont="1" applyFill="1" applyBorder="1" applyAlignment="1">
      <alignment horizontal="center" vertical="center"/>
    </xf>
    <xf numFmtId="0" fontId="3" fillId="0" borderId="302" xfId="0" applyFont="1" applyFill="1" applyBorder="1" applyAlignment="1">
      <alignment horizontal="center" vertical="center"/>
    </xf>
    <xf numFmtId="183" fontId="3" fillId="0" borderId="200" xfId="0" applyNumberFormat="1" applyFont="1" applyFill="1" applyBorder="1" applyAlignment="1">
      <alignment horizontal="right" vertical="center"/>
    </xf>
    <xf numFmtId="183" fontId="3" fillId="0" borderId="202" xfId="0" applyNumberFormat="1" applyFont="1" applyFill="1" applyBorder="1" applyAlignment="1">
      <alignment horizontal="right" vertical="center"/>
    </xf>
    <xf numFmtId="183" fontId="3" fillId="0" borderId="241" xfId="0" applyNumberFormat="1" applyFont="1" applyFill="1" applyBorder="1" applyAlignment="1">
      <alignment horizontal="right" vertical="center"/>
    </xf>
    <xf numFmtId="183" fontId="3" fillId="0" borderId="161" xfId="0" applyNumberFormat="1" applyFont="1" applyFill="1" applyBorder="1" applyAlignment="1">
      <alignment horizontal="right" vertical="center"/>
    </xf>
    <xf numFmtId="183" fontId="3" fillId="0" borderId="193" xfId="0" applyNumberFormat="1" applyFont="1" applyFill="1" applyBorder="1" applyAlignment="1">
      <alignment horizontal="right" vertical="center"/>
    </xf>
    <xf numFmtId="183" fontId="3" fillId="0" borderId="165" xfId="0" applyNumberFormat="1" applyFont="1" applyFill="1" applyBorder="1" applyAlignment="1">
      <alignment horizontal="right" vertical="center"/>
    </xf>
    <xf numFmtId="183" fontId="3" fillId="0" borderId="194" xfId="0" applyNumberFormat="1" applyFont="1" applyFill="1" applyBorder="1" applyAlignment="1">
      <alignment horizontal="right" vertical="center"/>
    </xf>
    <xf numFmtId="183" fontId="3" fillId="0" borderId="196" xfId="0" applyNumberFormat="1" applyFont="1" applyFill="1" applyBorder="1" applyAlignment="1">
      <alignment horizontal="right" vertical="center"/>
    </xf>
    <xf numFmtId="183" fontId="3" fillId="0" borderId="197" xfId="0" applyNumberFormat="1" applyFont="1" applyFill="1" applyBorder="1" applyAlignment="1">
      <alignment horizontal="right" vertical="center"/>
    </xf>
    <xf numFmtId="183" fontId="3" fillId="15" borderId="12" xfId="0" applyNumberFormat="1" applyFont="1" applyFill="1" applyBorder="1" applyAlignment="1">
      <alignment vertical="center"/>
    </xf>
    <xf numFmtId="183" fontId="3" fillId="0" borderId="301" xfId="0" applyNumberFormat="1" applyFont="1" applyFill="1" applyBorder="1" applyAlignment="1">
      <alignment horizontal="right" vertical="center"/>
    </xf>
    <xf numFmtId="181" fontId="24" fillId="5" borderId="42" xfId="0" applyNumberFormat="1" applyFont="1" applyFill="1" applyBorder="1" applyAlignment="1">
      <alignment horizontal="center" vertical="center"/>
    </xf>
    <xf numFmtId="181" fontId="24" fillId="5" borderId="198" xfId="0" applyNumberFormat="1" applyFont="1" applyFill="1" applyBorder="1" applyAlignment="1">
      <alignment horizontal="center" vertical="center"/>
    </xf>
    <xf numFmtId="3" fontId="9" fillId="0" borderId="93" xfId="0" applyNumberFormat="1" applyFont="1" applyBorder="1" applyAlignment="1">
      <alignment vertical="center"/>
    </xf>
    <xf numFmtId="3" fontId="9" fillId="0" borderId="94" xfId="0" applyNumberFormat="1" applyFont="1" applyBorder="1" applyAlignment="1">
      <alignment vertical="center"/>
    </xf>
    <xf numFmtId="3" fontId="9" fillId="0" borderId="114" xfId="0" applyNumberFormat="1" applyFont="1" applyBorder="1" applyAlignment="1">
      <alignment vertical="center"/>
    </xf>
    <xf numFmtId="3" fontId="9" fillId="0" borderId="115" xfId="0" applyNumberFormat="1" applyFont="1" applyBorder="1" applyAlignment="1">
      <alignment vertical="center"/>
    </xf>
    <xf numFmtId="3" fontId="9" fillId="6" borderId="283" xfId="0" applyNumberFormat="1" applyFont="1" applyFill="1" applyBorder="1" applyAlignment="1">
      <alignment vertical="center"/>
    </xf>
    <xf numFmtId="3" fontId="9" fillId="6" borderId="284" xfId="0" applyNumberFormat="1" applyFont="1" applyFill="1" applyBorder="1" applyAlignment="1">
      <alignment vertical="center"/>
    </xf>
    <xf numFmtId="3" fontId="9" fillId="0" borderId="146" xfId="0" applyNumberFormat="1" applyFont="1" applyBorder="1" applyAlignment="1">
      <alignment vertical="center"/>
    </xf>
    <xf numFmtId="3" fontId="9" fillId="0" borderId="131" xfId="0" applyNumberFormat="1" applyFont="1" applyBorder="1" applyAlignment="1">
      <alignment vertical="center"/>
    </xf>
    <xf numFmtId="3" fontId="9" fillId="0" borderId="303" xfId="0" applyNumberFormat="1" applyFont="1" applyBorder="1" applyAlignment="1">
      <alignment vertical="center"/>
    </xf>
    <xf numFmtId="183" fontId="4" fillId="13" borderId="101" xfId="0" applyNumberFormat="1" applyFont="1" applyFill="1" applyBorder="1" applyAlignment="1">
      <alignment horizontal="center" vertical="center"/>
    </xf>
    <xf numFmtId="183" fontId="4" fillId="13" borderId="79" xfId="0" applyNumberFormat="1" applyFont="1" applyFill="1" applyBorder="1" applyAlignment="1">
      <alignment horizontal="center" vertical="center"/>
    </xf>
    <xf numFmtId="183" fontId="4" fillId="13" borderId="102" xfId="0" applyNumberFormat="1" applyFont="1" applyFill="1" applyBorder="1" applyAlignment="1">
      <alignment horizontal="center" vertical="center"/>
    </xf>
    <xf numFmtId="183" fontId="4" fillId="13" borderId="103" xfId="0" applyNumberFormat="1" applyFont="1" applyFill="1" applyBorder="1" applyAlignment="1">
      <alignment horizontal="center" vertical="center"/>
    </xf>
    <xf numFmtId="183" fontId="4" fillId="13" borderId="77" xfId="0" applyNumberFormat="1" applyFont="1" applyFill="1" applyBorder="1" applyAlignment="1">
      <alignment horizontal="center" vertical="center"/>
    </xf>
    <xf numFmtId="183" fontId="4" fillId="13" borderId="104" xfId="0" applyNumberFormat="1" applyFont="1" applyFill="1" applyBorder="1" applyAlignment="1">
      <alignment horizontal="center" vertical="center"/>
    </xf>
    <xf numFmtId="183" fontId="3" fillId="0" borderId="249" xfId="0" applyNumberFormat="1" applyFont="1" applyFill="1" applyBorder="1" applyAlignment="1">
      <alignment horizontal="left" vertical="center"/>
    </xf>
    <xf numFmtId="183" fontId="3" fillId="0" borderId="251" xfId="0" applyNumberFormat="1" applyFont="1" applyFill="1" applyBorder="1" applyAlignment="1">
      <alignment horizontal="left" vertical="center"/>
    </xf>
    <xf numFmtId="183" fontId="3" fillId="0" borderId="253" xfId="0" applyNumberFormat="1" applyFont="1" applyFill="1" applyBorder="1" applyAlignment="1">
      <alignment horizontal="left" vertical="center"/>
    </xf>
    <xf numFmtId="183" fontId="3" fillId="0" borderId="254" xfId="0" applyNumberFormat="1" applyFont="1" applyFill="1" applyBorder="1" applyAlignment="1">
      <alignment horizontal="left" vertical="center"/>
    </xf>
    <xf numFmtId="183" fontId="3" fillId="0" borderId="263" xfId="0" applyNumberFormat="1" applyFont="1" applyFill="1" applyBorder="1" applyAlignment="1">
      <alignment horizontal="left" vertical="center"/>
    </xf>
    <xf numFmtId="183" fontId="3" fillId="0" borderId="252" xfId="0" applyNumberFormat="1" applyFont="1" applyFill="1" applyBorder="1" applyAlignment="1">
      <alignment horizontal="left" vertical="center"/>
    </xf>
    <xf numFmtId="183" fontId="3" fillId="0" borderId="264" xfId="0" applyNumberFormat="1" applyFont="1" applyFill="1" applyBorder="1" applyAlignment="1">
      <alignment horizontal="left" vertical="center"/>
    </xf>
    <xf numFmtId="183" fontId="5" fillId="0" borderId="265" xfId="0" applyNumberFormat="1" applyFont="1" applyFill="1" applyBorder="1" applyAlignment="1">
      <alignment horizontal="left" vertical="center"/>
    </xf>
    <xf numFmtId="183" fontId="4" fillId="14" borderId="251" xfId="0" applyNumberFormat="1" applyFont="1" applyFill="1" applyBorder="1" applyAlignment="1">
      <alignment horizontal="left" vertical="center"/>
    </xf>
    <xf numFmtId="183" fontId="3" fillId="0" borderId="260" xfId="0" applyNumberFormat="1" applyFont="1" applyFill="1" applyBorder="1" applyAlignment="1">
      <alignment horizontal="left" vertical="center"/>
    </xf>
    <xf numFmtId="180" fontId="3" fillId="0" borderId="304" xfId="0" applyNumberFormat="1" applyFont="1" applyFill="1" applyBorder="1" applyAlignment="1">
      <alignment horizontal="center" vertical="center"/>
    </xf>
    <xf numFmtId="180" fontId="3" fillId="0" borderId="305" xfId="0" applyNumberFormat="1" applyFont="1" applyFill="1" applyBorder="1" applyAlignment="1">
      <alignment horizontal="center" vertical="center"/>
    </xf>
    <xf numFmtId="3" fontId="3" fillId="0" borderId="306" xfId="0" applyNumberFormat="1" applyFont="1" applyFill="1" applyBorder="1" applyAlignment="1">
      <alignment horizontal="center" vertical="center"/>
    </xf>
    <xf numFmtId="3" fontId="24" fillId="0" borderId="307" xfId="0" applyNumberFormat="1" applyFont="1" applyFill="1" applyBorder="1" applyAlignment="1">
      <alignment horizontal="center" vertical="center" wrapText="1"/>
    </xf>
    <xf numFmtId="3" fontId="3" fillId="0" borderId="308" xfId="0" applyNumberFormat="1" applyFont="1" applyFill="1" applyBorder="1" applyAlignment="1">
      <alignment horizontal="center" vertical="center"/>
    </xf>
    <xf numFmtId="183" fontId="3" fillId="0" borderId="309" xfId="0" applyNumberFormat="1" applyFont="1" applyFill="1" applyBorder="1" applyAlignment="1">
      <alignment horizontal="right" vertical="center"/>
    </xf>
    <xf numFmtId="0" fontId="24" fillId="0" borderId="14" xfId="0" applyFont="1" applyFill="1" applyBorder="1" applyAlignment="1">
      <alignment horizontal="left" vertical="center"/>
    </xf>
    <xf numFmtId="0" fontId="24" fillId="0" borderId="31" xfId="0" applyFont="1" applyFill="1" applyBorder="1" applyAlignment="1">
      <alignment vertical="center"/>
    </xf>
    <xf numFmtId="0" fontId="24" fillId="0" borderId="18" xfId="0" applyFont="1" applyFill="1" applyBorder="1" applyAlignment="1">
      <alignment vertical="center"/>
    </xf>
    <xf numFmtId="0" fontId="4" fillId="0" borderId="33" xfId="0" applyFont="1" applyFill="1" applyBorder="1" applyAlignment="1">
      <alignment horizontal="left" vertical="center"/>
    </xf>
    <xf numFmtId="0" fontId="3" fillId="0" borderId="0" xfId="0" applyFont="1" applyFill="1" applyBorder="1" applyAlignment="1">
      <alignment vertical="center"/>
    </xf>
    <xf numFmtId="0" fontId="3" fillId="0" borderId="0" xfId="0" applyFont="1" applyFill="1" applyAlignment="1">
      <alignment horizontal="distributed" vertical="center"/>
    </xf>
    <xf numFmtId="0" fontId="3" fillId="0" borderId="310" xfId="0" applyFont="1" applyFill="1" applyBorder="1" applyAlignment="1">
      <alignment horizontal="distributed" vertical="center"/>
    </xf>
    <xf numFmtId="0" fontId="3" fillId="0" borderId="311" xfId="0" applyFont="1" applyFill="1" applyBorder="1" applyAlignment="1">
      <alignment horizontal="distributed" vertical="center"/>
    </xf>
    <xf numFmtId="0" fontId="18" fillId="0" borderId="311" xfId="0" applyFont="1" applyBorder="1" applyAlignment="1" applyProtection="1">
      <alignment horizontal="distributed" vertical="center"/>
    </xf>
    <xf numFmtId="189" fontId="18" fillId="0" borderId="312" xfId="0" applyNumberFormat="1" applyFont="1" applyBorder="1" applyAlignment="1" applyProtection="1">
      <alignment vertical="center"/>
    </xf>
    <xf numFmtId="0" fontId="18" fillId="0" borderId="0" xfId="0" applyFont="1" applyAlignment="1" applyProtection="1">
      <alignment vertical="center"/>
    </xf>
    <xf numFmtId="0" fontId="18" fillId="0" borderId="0" xfId="0" applyFont="1" applyBorder="1" applyAlignment="1" applyProtection="1">
      <alignment vertical="center"/>
    </xf>
    <xf numFmtId="0" fontId="18" fillId="0" borderId="0" xfId="0" applyFont="1" applyBorder="1" applyAlignment="1" applyProtection="1">
      <alignment horizontal="center" vertical="center"/>
    </xf>
    <xf numFmtId="0" fontId="18" fillId="0" borderId="0" xfId="0" applyFont="1" applyBorder="1" applyAlignment="1" applyProtection="1">
      <alignment horizontal="center" vertical="center" wrapText="1"/>
    </xf>
    <xf numFmtId="38" fontId="18" fillId="0" borderId="0" xfId="1" applyFont="1" applyFill="1" applyBorder="1" applyProtection="1">
      <alignment vertical="center"/>
    </xf>
    <xf numFmtId="0" fontId="18" fillId="0" borderId="0" xfId="0" applyFont="1" applyFill="1" applyBorder="1" applyAlignment="1" applyProtection="1">
      <alignment horizontal="center" vertical="center"/>
    </xf>
    <xf numFmtId="0" fontId="18" fillId="0" borderId="0" xfId="0" applyFont="1" applyFill="1" applyBorder="1" applyAlignment="1" applyProtection="1">
      <alignment horizontal="center" vertical="center" wrapText="1"/>
    </xf>
    <xf numFmtId="38" fontId="18" fillId="0" borderId="310" xfId="1" applyFont="1" applyFill="1" applyBorder="1" applyAlignment="1" applyProtection="1">
      <alignment horizontal="distributed" vertical="center"/>
    </xf>
    <xf numFmtId="38" fontId="18" fillId="0" borderId="311" xfId="0" applyNumberFormat="1" applyFont="1" applyBorder="1" applyAlignment="1" applyProtection="1">
      <alignment horizontal="distributed" vertical="center"/>
    </xf>
    <xf numFmtId="0" fontId="44" fillId="0" borderId="0" xfId="0" applyFont="1" applyAlignment="1" applyProtection="1">
      <alignment horizontal="center" vertical="center"/>
    </xf>
    <xf numFmtId="0" fontId="13" fillId="0" borderId="0" xfId="0" applyFont="1" applyFill="1" applyAlignment="1">
      <alignment horizontal="center" vertical="center"/>
    </xf>
    <xf numFmtId="0" fontId="3" fillId="0" borderId="0" xfId="0" applyFont="1" applyFill="1" applyAlignment="1" applyProtection="1">
      <alignment vertical="center"/>
      <protection locked="0"/>
    </xf>
    <xf numFmtId="0" fontId="4" fillId="0" borderId="24" xfId="0" applyFont="1" applyFill="1" applyBorder="1" applyAlignment="1" applyProtection="1">
      <alignment horizontal="left" vertical="center"/>
      <protection locked="0"/>
    </xf>
    <xf numFmtId="0" fontId="6" fillId="0" borderId="24" xfId="0" applyFont="1" applyFill="1" applyBorder="1" applyAlignment="1" applyProtection="1">
      <alignment horizontal="left" vertical="center"/>
      <protection locked="0"/>
    </xf>
    <xf numFmtId="0" fontId="6" fillId="0" borderId="24"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Fill="1" applyAlignment="1" applyProtection="1">
      <alignment horizontal="center" vertical="center"/>
      <protection locked="0"/>
    </xf>
    <xf numFmtId="3" fontId="6" fillId="0" borderId="0" xfId="0" applyNumberFormat="1" applyFont="1" applyFill="1" applyAlignment="1" applyProtection="1">
      <alignment vertical="center"/>
      <protection locked="0"/>
    </xf>
    <xf numFmtId="176" fontId="3" fillId="0" borderId="0" xfId="0" applyNumberFormat="1" applyFont="1" applyFill="1" applyAlignment="1" applyProtection="1">
      <alignment horizontal="right" vertical="center"/>
      <protection locked="0"/>
    </xf>
    <xf numFmtId="3" fontId="4" fillId="0" borderId="24" xfId="0" applyNumberFormat="1" applyFont="1" applyFill="1" applyBorder="1" applyAlignment="1" applyProtection="1">
      <alignment vertical="center"/>
      <protection locked="0"/>
    </xf>
    <xf numFmtId="0" fontId="6" fillId="0" borderId="0" xfId="0" applyFont="1" applyFill="1" applyAlignment="1" applyProtection="1">
      <alignment vertical="center"/>
      <protection locked="0"/>
    </xf>
    <xf numFmtId="186" fontId="4" fillId="10" borderId="49" xfId="0" applyNumberFormat="1" applyFont="1" applyFill="1" applyBorder="1" applyAlignment="1" applyProtection="1">
      <alignment horizontal="center" vertical="center"/>
      <protection locked="0"/>
    </xf>
    <xf numFmtId="0" fontId="10" fillId="10" borderId="42" xfId="0" applyFont="1" applyFill="1" applyBorder="1" applyAlignment="1" applyProtection="1">
      <alignment horizontal="center" vertical="center" textRotation="255"/>
      <protection locked="0"/>
    </xf>
    <xf numFmtId="3" fontId="4" fillId="10" borderId="42" xfId="0" applyNumberFormat="1" applyFont="1" applyFill="1" applyBorder="1" applyAlignment="1" applyProtection="1">
      <alignment horizontal="center" vertical="center"/>
      <protection locked="0"/>
    </xf>
    <xf numFmtId="3" fontId="4" fillId="10" borderId="44" xfId="0" applyNumberFormat="1" applyFont="1" applyFill="1" applyBorder="1" applyAlignment="1" applyProtection="1">
      <alignment horizontal="center" vertical="center"/>
      <protection locked="0"/>
    </xf>
    <xf numFmtId="3" fontId="4" fillId="10" borderId="61" xfId="0" applyNumberFormat="1" applyFont="1" applyFill="1" applyBorder="1" applyAlignment="1" applyProtection="1">
      <alignment horizontal="center" vertical="center"/>
      <protection locked="0"/>
    </xf>
    <xf numFmtId="0" fontId="3" fillId="0" borderId="0" xfId="0" applyFont="1" applyFill="1" applyAlignment="1" applyProtection="1">
      <alignment horizontal="center" vertical="center"/>
      <protection locked="0"/>
    </xf>
    <xf numFmtId="180" fontId="4" fillId="0" borderId="7" xfId="0" applyNumberFormat="1" applyFont="1" applyFill="1" applyBorder="1" applyAlignment="1" applyProtection="1">
      <alignment horizontal="center" vertical="center"/>
      <protection locked="0"/>
    </xf>
    <xf numFmtId="3" fontId="4" fillId="0" borderId="39" xfId="0" applyNumberFormat="1" applyFont="1" applyFill="1" applyBorder="1" applyAlignment="1" applyProtection="1">
      <alignment vertical="center"/>
      <protection locked="0"/>
    </xf>
    <xf numFmtId="180" fontId="4" fillId="0" borderId="1" xfId="0" applyNumberFormat="1" applyFont="1" applyFill="1" applyBorder="1" applyAlignment="1" applyProtection="1">
      <alignment horizontal="center" vertical="center"/>
      <protection locked="0"/>
    </xf>
    <xf numFmtId="0" fontId="4" fillId="0" borderId="31" xfId="0" applyFont="1" applyFill="1" applyBorder="1" applyAlignment="1" applyProtection="1">
      <alignment horizontal="left" vertical="center"/>
      <protection locked="0"/>
    </xf>
    <xf numFmtId="0" fontId="4" fillId="0" borderId="31" xfId="0" applyFont="1" applyFill="1" applyBorder="1" applyAlignment="1" applyProtection="1">
      <alignment vertical="center"/>
      <protection locked="0"/>
    </xf>
    <xf numFmtId="0" fontId="4" fillId="0" borderId="2" xfId="0" applyFont="1" applyFill="1" applyBorder="1" applyAlignment="1" applyProtection="1">
      <alignment horizontal="center" vertical="center"/>
      <protection locked="0"/>
    </xf>
    <xf numFmtId="0" fontId="4" fillId="0" borderId="18" xfId="0" applyFont="1" applyFill="1" applyBorder="1" applyAlignment="1" applyProtection="1">
      <alignment horizontal="center" vertical="center"/>
      <protection locked="0"/>
    </xf>
    <xf numFmtId="3" fontId="4" fillId="0" borderId="2" xfId="0" applyNumberFormat="1" applyFont="1" applyFill="1" applyBorder="1" applyAlignment="1" applyProtection="1">
      <alignment vertical="center"/>
      <protection locked="0"/>
    </xf>
    <xf numFmtId="3" fontId="4" fillId="0" borderId="18" xfId="0" applyNumberFormat="1" applyFont="1" applyFill="1" applyBorder="1" applyAlignment="1" applyProtection="1">
      <alignment vertical="center"/>
      <protection locked="0"/>
    </xf>
    <xf numFmtId="3" fontId="4" fillId="0" borderId="237" xfId="0" applyNumberFormat="1" applyFont="1" applyFill="1" applyBorder="1" applyAlignment="1" applyProtection="1">
      <alignment vertical="center"/>
      <protection locked="0"/>
    </xf>
    <xf numFmtId="3" fontId="4" fillId="0" borderId="28" xfId="0" applyNumberFormat="1" applyFont="1" applyFill="1" applyBorder="1" applyAlignment="1" applyProtection="1">
      <alignment vertical="center"/>
      <protection locked="0"/>
    </xf>
    <xf numFmtId="180" fontId="4" fillId="0" borderId="228" xfId="0" applyNumberFormat="1" applyFont="1" applyFill="1" applyBorder="1" applyAlignment="1" applyProtection="1">
      <alignment horizontal="center" vertical="center"/>
      <protection locked="0"/>
    </xf>
    <xf numFmtId="180" fontId="4" fillId="0" borderId="0" xfId="0" applyNumberFormat="1" applyFont="1" applyFill="1" applyAlignment="1" applyProtection="1">
      <alignment horizontal="center" vertical="center"/>
      <protection locked="0"/>
    </xf>
    <xf numFmtId="0" fontId="3" fillId="0" borderId="0" xfId="0" applyFont="1" applyFill="1" applyAlignment="1" applyProtection="1">
      <alignment horizontal="left" vertical="center"/>
      <protection locked="0"/>
    </xf>
    <xf numFmtId="3" fontId="3" fillId="0" borderId="0" xfId="0" applyNumberFormat="1" applyFont="1" applyFill="1" applyAlignment="1" applyProtection="1">
      <alignment vertical="center"/>
      <protection locked="0"/>
    </xf>
    <xf numFmtId="3" fontId="4" fillId="0" borderId="39" xfId="0" applyNumberFormat="1" applyFont="1" applyFill="1" applyBorder="1" applyAlignment="1" applyProtection="1">
      <alignment vertical="center"/>
    </xf>
    <xf numFmtId="3" fontId="4" fillId="0" borderId="238" xfId="0" applyNumberFormat="1" applyFont="1" applyFill="1" applyBorder="1" applyAlignment="1" applyProtection="1">
      <alignment vertical="center"/>
    </xf>
    <xf numFmtId="3" fontId="4" fillId="0" borderId="236" xfId="0" applyNumberFormat="1" applyFont="1" applyFill="1" applyBorder="1" applyAlignment="1" applyProtection="1">
      <alignment vertical="center"/>
    </xf>
    <xf numFmtId="3" fontId="4" fillId="0" borderId="235" xfId="0" applyNumberFormat="1" applyFont="1" applyFill="1" applyBorder="1" applyAlignment="1" applyProtection="1">
      <alignment vertical="center"/>
    </xf>
    <xf numFmtId="3" fontId="31" fillId="0" borderId="0" xfId="0" applyNumberFormat="1" applyFont="1" applyFill="1" applyBorder="1" applyAlignment="1" applyProtection="1">
      <alignment horizontal="center" vertical="center"/>
    </xf>
    <xf numFmtId="0" fontId="4" fillId="0" borderId="2" xfId="0" applyFont="1" applyFill="1" applyBorder="1" applyAlignment="1" applyProtection="1">
      <alignment horizontal="center" vertical="center"/>
    </xf>
    <xf numFmtId="0" fontId="4" fillId="0" borderId="18" xfId="0" applyFont="1" applyFill="1" applyBorder="1" applyAlignment="1" applyProtection="1">
      <alignment horizontal="center" vertical="center"/>
    </xf>
    <xf numFmtId="3" fontId="4" fillId="0" borderId="8" xfId="0" applyNumberFormat="1" applyFont="1" applyFill="1" applyBorder="1" applyAlignment="1" applyProtection="1">
      <alignment vertical="center"/>
    </xf>
    <xf numFmtId="0" fontId="4" fillId="0" borderId="231" xfId="0" applyFont="1" applyFill="1" applyBorder="1" applyAlignment="1" applyProtection="1">
      <alignment horizontal="center" vertical="center"/>
    </xf>
    <xf numFmtId="3" fontId="4" fillId="0" borderId="139" xfId="0" applyNumberFormat="1" applyFont="1" applyFill="1" applyBorder="1" applyAlignment="1" applyProtection="1">
      <alignment vertical="center"/>
    </xf>
    <xf numFmtId="3" fontId="4" fillId="0" borderId="234" xfId="0" applyNumberFormat="1" applyFont="1" applyFill="1" applyBorder="1" applyAlignment="1" applyProtection="1">
      <alignment vertical="center"/>
    </xf>
    <xf numFmtId="0" fontId="3" fillId="0" borderId="0" xfId="0" applyFont="1" applyFill="1" applyAlignment="1" applyProtection="1">
      <alignment horizontal="left" vertical="center"/>
    </xf>
    <xf numFmtId="0" fontId="3" fillId="0" borderId="0" xfId="0" applyFont="1" applyFill="1" applyAlignment="1" applyProtection="1">
      <alignment vertical="center"/>
    </xf>
    <xf numFmtId="0" fontId="3" fillId="0" borderId="0" xfId="0" applyFont="1" applyFill="1" applyAlignment="1" applyProtection="1">
      <alignment horizontal="center" vertical="center"/>
    </xf>
    <xf numFmtId="3" fontId="28" fillId="0" borderId="0" xfId="0" applyNumberFormat="1" applyFont="1" applyFill="1" applyBorder="1" applyAlignment="1" applyProtection="1"/>
    <xf numFmtId="0" fontId="34" fillId="0" borderId="0" xfId="0" applyFont="1" applyFill="1" applyAlignment="1" applyProtection="1">
      <alignment horizontal="center" vertical="center"/>
      <protection locked="0"/>
    </xf>
    <xf numFmtId="3" fontId="4" fillId="0" borderId="11" xfId="0" applyNumberFormat="1" applyFont="1" applyFill="1" applyBorder="1" applyAlignment="1" applyProtection="1">
      <alignment vertical="center"/>
      <protection locked="0"/>
    </xf>
    <xf numFmtId="3" fontId="4" fillId="0" borderId="19" xfId="0" applyNumberFormat="1" applyFont="1" applyFill="1" applyBorder="1" applyAlignment="1" applyProtection="1">
      <alignment vertical="center"/>
      <protection locked="0"/>
    </xf>
    <xf numFmtId="180" fontId="4" fillId="0" borderId="10" xfId="0" applyNumberFormat="1" applyFont="1" applyFill="1" applyBorder="1" applyAlignment="1" applyProtection="1">
      <alignment horizontal="center" vertical="center"/>
      <protection locked="0"/>
    </xf>
    <xf numFmtId="3" fontId="4" fillId="0" borderId="85" xfId="0" applyNumberFormat="1" applyFont="1" applyFill="1" applyBorder="1" applyAlignment="1" applyProtection="1">
      <alignment vertical="center"/>
    </xf>
    <xf numFmtId="186" fontId="4" fillId="8" borderId="49" xfId="0" applyNumberFormat="1" applyFont="1" applyFill="1" applyBorder="1" applyAlignment="1" applyProtection="1">
      <alignment horizontal="center" vertical="center"/>
      <protection locked="0"/>
    </xf>
    <xf numFmtId="0" fontId="10" fillId="8" borderId="42" xfId="0" applyFont="1" applyFill="1" applyBorder="1" applyAlignment="1" applyProtection="1">
      <alignment horizontal="center" vertical="center" textRotation="255"/>
      <protection locked="0"/>
    </xf>
    <xf numFmtId="3" fontId="4" fillId="8" borderId="42" xfId="0" applyNumberFormat="1" applyFont="1" applyFill="1" applyBorder="1" applyAlignment="1" applyProtection="1">
      <alignment horizontal="center" vertical="center"/>
      <protection locked="0"/>
    </xf>
    <xf numFmtId="3" fontId="4" fillId="8" borderId="44" xfId="0" applyNumberFormat="1" applyFont="1" applyFill="1" applyBorder="1" applyAlignment="1" applyProtection="1">
      <alignment horizontal="center" vertical="center"/>
      <protection locked="0"/>
    </xf>
    <xf numFmtId="3" fontId="4" fillId="8" borderId="61" xfId="0" applyNumberFormat="1" applyFont="1" applyFill="1" applyBorder="1" applyAlignment="1" applyProtection="1">
      <alignment horizontal="center" vertical="center"/>
      <protection locked="0"/>
    </xf>
    <xf numFmtId="186" fontId="4" fillId="11" borderId="49" xfId="0" applyNumberFormat="1" applyFont="1" applyFill="1" applyBorder="1" applyAlignment="1" applyProtection="1">
      <alignment horizontal="center" vertical="center"/>
      <protection locked="0"/>
    </xf>
    <xf numFmtId="0" fontId="10" fillId="11" borderId="42" xfId="0" applyFont="1" applyFill="1" applyBorder="1" applyAlignment="1" applyProtection="1">
      <alignment horizontal="center" vertical="center" textRotation="255"/>
      <protection locked="0"/>
    </xf>
    <xf numFmtId="3" fontId="4" fillId="11" borderId="42" xfId="0" applyNumberFormat="1" applyFont="1" applyFill="1" applyBorder="1" applyAlignment="1" applyProtection="1">
      <alignment horizontal="center" vertical="center"/>
      <protection locked="0"/>
    </xf>
    <xf numFmtId="3" fontId="4" fillId="11" borderId="44" xfId="0" applyNumberFormat="1" applyFont="1" applyFill="1" applyBorder="1" applyAlignment="1" applyProtection="1">
      <alignment horizontal="center" vertical="center"/>
      <protection locked="0"/>
    </xf>
    <xf numFmtId="3" fontId="4" fillId="11" borderId="61" xfId="0" applyNumberFormat="1" applyFont="1" applyFill="1" applyBorder="1" applyAlignment="1" applyProtection="1">
      <alignment horizontal="center" vertical="center"/>
      <protection locked="0"/>
    </xf>
    <xf numFmtId="0" fontId="4" fillId="0" borderId="66" xfId="0" applyFont="1" applyFill="1" applyBorder="1" applyAlignment="1" applyProtection="1">
      <alignment vertical="center"/>
      <protection locked="0"/>
    </xf>
    <xf numFmtId="0" fontId="4" fillId="0" borderId="67" xfId="0" applyFont="1" applyFill="1" applyBorder="1" applyAlignment="1" applyProtection="1">
      <alignment vertical="center"/>
      <protection locked="0"/>
    </xf>
    <xf numFmtId="0" fontId="4" fillId="0" borderId="89" xfId="0" applyFont="1" applyFill="1" applyBorder="1" applyAlignment="1" applyProtection="1">
      <alignment vertical="center"/>
      <protection locked="0"/>
    </xf>
    <xf numFmtId="186" fontId="4" fillId="4" borderId="49" xfId="0" applyNumberFormat="1" applyFont="1" applyFill="1" applyBorder="1" applyAlignment="1" applyProtection="1">
      <alignment horizontal="center" vertical="center"/>
      <protection locked="0"/>
    </xf>
    <xf numFmtId="0" fontId="10" fillId="4" borderId="42" xfId="0" applyFont="1" applyFill="1" applyBorder="1" applyAlignment="1" applyProtection="1">
      <alignment horizontal="center" vertical="center" textRotation="255"/>
      <protection locked="0"/>
    </xf>
    <xf numFmtId="3" fontId="4" fillId="4" borderId="42" xfId="0" applyNumberFormat="1" applyFont="1" applyFill="1" applyBorder="1" applyAlignment="1" applyProtection="1">
      <alignment horizontal="center" vertical="center"/>
      <protection locked="0"/>
    </xf>
    <xf numFmtId="3" fontId="4" fillId="4" borderId="44" xfId="0" applyNumberFormat="1" applyFont="1" applyFill="1" applyBorder="1" applyAlignment="1" applyProtection="1">
      <alignment horizontal="center" vertical="center"/>
      <protection locked="0"/>
    </xf>
    <xf numFmtId="3" fontId="4" fillId="4" borderId="61" xfId="0" applyNumberFormat="1" applyFont="1" applyFill="1" applyBorder="1" applyAlignment="1" applyProtection="1">
      <alignment horizontal="center" vertical="center"/>
      <protection locked="0"/>
    </xf>
    <xf numFmtId="0" fontId="43" fillId="0" borderId="67" xfId="0" applyFont="1" applyFill="1" applyBorder="1" applyAlignment="1" applyProtection="1">
      <alignment vertical="center"/>
      <protection locked="0"/>
    </xf>
    <xf numFmtId="0" fontId="43" fillId="0" borderId="89" xfId="0" applyFont="1" applyFill="1" applyBorder="1" applyAlignment="1" applyProtection="1">
      <alignment vertical="center"/>
      <protection locked="0"/>
    </xf>
    <xf numFmtId="186" fontId="4" fillId="2" borderId="49" xfId="0" applyNumberFormat="1" applyFont="1" applyFill="1" applyBorder="1" applyAlignment="1" applyProtection="1">
      <alignment horizontal="center" vertical="center"/>
      <protection locked="0"/>
    </xf>
    <xf numFmtId="3" fontId="4" fillId="2" borderId="44" xfId="0" applyNumberFormat="1" applyFont="1" applyFill="1" applyBorder="1" applyAlignment="1" applyProtection="1">
      <alignment horizontal="center" vertical="center"/>
      <protection locked="0"/>
    </xf>
    <xf numFmtId="3" fontId="4" fillId="2" borderId="42" xfId="0" applyNumberFormat="1" applyFont="1" applyFill="1" applyBorder="1" applyAlignment="1" applyProtection="1">
      <alignment horizontal="center" vertical="center"/>
      <protection locked="0"/>
    </xf>
    <xf numFmtId="3" fontId="4" fillId="2" borderId="61" xfId="0" applyNumberFormat="1" applyFont="1" applyFill="1" applyBorder="1" applyAlignment="1" applyProtection="1">
      <alignment horizontal="center" vertical="center"/>
      <protection locked="0"/>
    </xf>
    <xf numFmtId="0" fontId="4" fillId="0" borderId="14" xfId="0" applyFont="1" applyFill="1" applyBorder="1" applyAlignment="1" applyProtection="1">
      <alignment horizontal="left" vertical="center"/>
      <protection locked="0"/>
    </xf>
    <xf numFmtId="0" fontId="4" fillId="0" borderId="18" xfId="0" applyFont="1" applyFill="1" applyBorder="1" applyAlignment="1" applyProtection="1">
      <alignment vertical="center"/>
      <protection locked="0"/>
    </xf>
    <xf numFmtId="3" fontId="4" fillId="0" borderId="239" xfId="0" applyNumberFormat="1" applyFont="1" applyFill="1" applyBorder="1" applyAlignment="1" applyProtection="1">
      <alignment vertical="center"/>
    </xf>
    <xf numFmtId="3" fontId="4" fillId="0" borderId="240" xfId="0" applyNumberFormat="1" applyFont="1" applyFill="1" applyBorder="1" applyAlignment="1" applyProtection="1">
      <alignment vertical="center"/>
    </xf>
    <xf numFmtId="3" fontId="4" fillId="0" borderId="86" xfId="0" applyNumberFormat="1" applyFont="1" applyFill="1" applyBorder="1" applyAlignment="1" applyProtection="1">
      <alignment vertical="center"/>
    </xf>
    <xf numFmtId="3" fontId="4" fillId="0" borderId="87" xfId="0" applyNumberFormat="1" applyFont="1" applyFill="1" applyBorder="1" applyAlignment="1" applyProtection="1">
      <alignment vertical="center"/>
    </xf>
    <xf numFmtId="0" fontId="4" fillId="0" borderId="20" xfId="0" applyFont="1" applyFill="1" applyBorder="1" applyAlignment="1" applyProtection="1">
      <alignment horizontal="center" vertical="center"/>
    </xf>
    <xf numFmtId="3" fontId="4" fillId="0" borderId="5" xfId="0" applyNumberFormat="1" applyFont="1" applyFill="1" applyBorder="1" applyAlignment="1" applyProtection="1">
      <alignment vertical="center"/>
    </xf>
    <xf numFmtId="3" fontId="4" fillId="0" borderId="20" xfId="0" applyNumberFormat="1" applyFont="1" applyFill="1" applyBorder="1" applyAlignment="1" applyProtection="1">
      <alignment vertical="center"/>
    </xf>
    <xf numFmtId="0" fontId="30" fillId="0" borderId="0" xfId="0"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3" fontId="9" fillId="0" borderId="83" xfId="0" applyNumberFormat="1" applyFont="1" applyBorder="1" applyAlignment="1">
      <alignment vertical="center"/>
    </xf>
    <xf numFmtId="3" fontId="9" fillId="0" borderId="313" xfId="0" applyNumberFormat="1" applyFont="1" applyBorder="1" applyAlignment="1">
      <alignment vertical="center"/>
    </xf>
    <xf numFmtId="183" fontId="3" fillId="0" borderId="0" xfId="0" applyNumberFormat="1" applyFont="1" applyFill="1" applyBorder="1" applyAlignment="1">
      <alignment vertical="center"/>
    </xf>
    <xf numFmtId="3" fontId="9" fillId="6" borderId="180" xfId="0" applyNumberFormat="1" applyFont="1" applyFill="1" applyBorder="1" applyAlignment="1">
      <alignment vertical="center"/>
    </xf>
    <xf numFmtId="3" fontId="9" fillId="6" borderId="314" xfId="0" applyNumberFormat="1" applyFont="1" applyFill="1" applyBorder="1" applyAlignment="1">
      <alignment vertical="center"/>
    </xf>
    <xf numFmtId="3" fontId="9" fillId="6" borderId="315" xfId="0" applyNumberFormat="1" applyFont="1" applyFill="1" applyBorder="1" applyAlignment="1">
      <alignment vertical="center"/>
    </xf>
    <xf numFmtId="3" fontId="9" fillId="6" borderId="316" xfId="0" applyNumberFormat="1" applyFont="1" applyFill="1" applyBorder="1" applyAlignment="1">
      <alignment vertical="center"/>
    </xf>
    <xf numFmtId="3" fontId="9" fillId="0" borderId="84" xfId="0" applyNumberFormat="1" applyFont="1" applyBorder="1" applyAlignment="1">
      <alignment vertical="center"/>
    </xf>
    <xf numFmtId="180" fontId="26" fillId="0" borderId="127" xfId="0" applyNumberFormat="1" applyFont="1" applyFill="1" applyBorder="1" applyAlignment="1">
      <alignment horizontal="center" vertical="center"/>
    </xf>
    <xf numFmtId="180" fontId="9" fillId="0" borderId="171" xfId="0" applyNumberFormat="1" applyFont="1" applyFill="1" applyBorder="1" applyAlignment="1">
      <alignment horizontal="center" vertical="center"/>
    </xf>
    <xf numFmtId="180" fontId="9" fillId="0" borderId="184" xfId="0" applyNumberFormat="1" applyFont="1" applyFill="1" applyBorder="1" applyAlignment="1">
      <alignment horizontal="center" vertical="center"/>
    </xf>
    <xf numFmtId="0" fontId="16" fillId="0" borderId="171" xfId="0" applyFont="1" applyBorder="1" applyAlignment="1">
      <alignment horizontal="center" vertical="center" wrapText="1"/>
    </xf>
    <xf numFmtId="3" fontId="9" fillId="0" borderId="171" xfId="0" applyNumberFormat="1" applyFont="1" applyFill="1" applyBorder="1" applyAlignment="1">
      <alignment horizontal="center" vertical="center" wrapText="1"/>
    </xf>
    <xf numFmtId="0" fontId="16" fillId="0" borderId="184" xfId="0" applyFont="1" applyBorder="1" applyAlignment="1">
      <alignment horizontal="center" vertical="center"/>
    </xf>
    <xf numFmtId="0" fontId="6" fillId="0" borderId="51" xfId="0" applyFont="1" applyBorder="1" applyAlignment="1">
      <alignment horizontal="center" vertical="center"/>
    </xf>
    <xf numFmtId="3" fontId="6" fillId="0" borderId="125" xfId="0" applyNumberFormat="1" applyFont="1" applyFill="1" applyBorder="1" applyAlignment="1">
      <alignment horizontal="left" vertical="center"/>
    </xf>
    <xf numFmtId="183" fontId="36" fillId="0" borderId="0" xfId="0" applyNumberFormat="1" applyFont="1" applyFill="1" applyAlignment="1">
      <alignment vertical="center"/>
    </xf>
    <xf numFmtId="0" fontId="9" fillId="0" borderId="0" xfId="0" applyFont="1" applyAlignment="1">
      <alignment horizontal="right" vertical="center"/>
    </xf>
    <xf numFmtId="183" fontId="3" fillId="9" borderId="317" xfId="0" applyNumberFormat="1" applyFont="1" applyFill="1" applyBorder="1" applyAlignment="1">
      <alignment horizontal="center" vertical="center"/>
    </xf>
    <xf numFmtId="189" fontId="3" fillId="9" borderId="49" xfId="0" applyNumberFormat="1" applyFont="1" applyFill="1" applyBorder="1" applyAlignment="1">
      <alignment horizontal="center" vertical="center"/>
    </xf>
    <xf numFmtId="189" fontId="3" fillId="9" borderId="45" xfId="0" applyNumberFormat="1" applyFont="1" applyFill="1" applyBorder="1" applyAlignment="1">
      <alignment horizontal="center" vertical="center"/>
    </xf>
    <xf numFmtId="183" fontId="6" fillId="0" borderId="263" xfId="0" applyNumberFormat="1" applyFont="1" applyFill="1" applyBorder="1" applyAlignment="1">
      <alignment horizontal="center" vertical="center"/>
    </xf>
    <xf numFmtId="189" fontId="3" fillId="15" borderId="50" xfId="0" applyNumberFormat="1" applyFont="1" applyFill="1" applyBorder="1" applyAlignment="1">
      <alignment vertical="center"/>
    </xf>
    <xf numFmtId="189" fontId="3" fillId="15" borderId="9" xfId="0" applyNumberFormat="1" applyFont="1" applyFill="1" applyBorder="1" applyAlignment="1">
      <alignment vertical="center"/>
    </xf>
    <xf numFmtId="183" fontId="6" fillId="0" borderId="251" xfId="0" applyNumberFormat="1" applyFont="1" applyFill="1" applyBorder="1" applyAlignment="1">
      <alignment horizontal="center" vertical="center"/>
    </xf>
    <xf numFmtId="189" fontId="3" fillId="15" borderId="258" xfId="0" applyNumberFormat="1" applyFont="1" applyFill="1" applyBorder="1" applyAlignment="1">
      <alignment vertical="center"/>
    </xf>
    <xf numFmtId="189" fontId="3" fillId="15" borderId="3" xfId="0" applyNumberFormat="1" applyFont="1" applyFill="1" applyBorder="1" applyAlignment="1">
      <alignment vertical="center"/>
    </xf>
    <xf numFmtId="183" fontId="6" fillId="14" borderId="251" xfId="0" applyNumberFormat="1" applyFont="1" applyFill="1" applyBorder="1" applyAlignment="1">
      <alignment horizontal="center" vertical="center"/>
    </xf>
    <xf numFmtId="189" fontId="3" fillId="15" borderId="318" xfId="0" applyNumberFormat="1" applyFont="1" applyFill="1" applyBorder="1" applyAlignment="1">
      <alignment vertical="center"/>
    </xf>
    <xf numFmtId="183" fontId="6" fillId="0" borderId="253" xfId="0" applyNumberFormat="1" applyFont="1" applyFill="1" applyBorder="1" applyAlignment="1">
      <alignment horizontal="center" vertical="center"/>
    </xf>
    <xf numFmtId="189" fontId="3" fillId="15" borderId="319" xfId="0" applyNumberFormat="1" applyFont="1" applyFill="1" applyBorder="1" applyAlignment="1">
      <alignment vertical="center"/>
    </xf>
    <xf numFmtId="189" fontId="3" fillId="15" borderId="29" xfId="0" applyNumberFormat="1" applyFont="1" applyFill="1" applyBorder="1" applyAlignment="1">
      <alignment vertical="center"/>
    </xf>
    <xf numFmtId="189" fontId="3" fillId="15" borderId="320" xfId="0" applyNumberFormat="1" applyFont="1" applyFill="1" applyBorder="1" applyAlignment="1">
      <alignment vertical="center"/>
    </xf>
    <xf numFmtId="183" fontId="6" fillId="0" borderId="252" xfId="0" applyNumberFormat="1" applyFont="1" applyFill="1" applyBorder="1" applyAlignment="1">
      <alignment horizontal="center" vertical="center"/>
    </xf>
    <xf numFmtId="189" fontId="3" fillId="15" borderId="321" xfId="0" applyNumberFormat="1" applyFont="1" applyFill="1" applyBorder="1" applyAlignment="1">
      <alignment vertical="center"/>
    </xf>
    <xf numFmtId="189" fontId="3" fillId="15" borderId="12" xfId="0" applyNumberFormat="1" applyFont="1" applyFill="1" applyBorder="1" applyAlignment="1">
      <alignment vertical="center"/>
    </xf>
    <xf numFmtId="0" fontId="5" fillId="0" borderId="322" xfId="0" applyFont="1" applyBorder="1" applyAlignment="1">
      <alignment horizontal="center" vertical="center"/>
    </xf>
    <xf numFmtId="189" fontId="3" fillId="0" borderId="0" xfId="0" applyNumberFormat="1" applyFont="1" applyFill="1" applyAlignment="1">
      <alignment vertical="center"/>
    </xf>
    <xf numFmtId="189" fontId="9" fillId="0" borderId="0" xfId="0" applyNumberFormat="1" applyFont="1" applyFill="1" applyBorder="1" applyAlignment="1">
      <alignment horizontal="right" vertical="center"/>
    </xf>
    <xf numFmtId="0" fontId="13" fillId="0" borderId="0" xfId="0" applyFont="1" applyFill="1" applyAlignment="1">
      <alignment vertical="center"/>
    </xf>
    <xf numFmtId="183" fontId="6" fillId="0" borderId="254" xfId="0" applyNumberFormat="1" applyFont="1" applyFill="1" applyBorder="1" applyAlignment="1">
      <alignment horizontal="center" vertical="center"/>
    </xf>
    <xf numFmtId="189" fontId="3" fillId="15" borderId="325" xfId="0" applyNumberFormat="1" applyFont="1" applyFill="1" applyBorder="1" applyAlignment="1">
      <alignment vertical="center"/>
    </xf>
    <xf numFmtId="189" fontId="3" fillId="15" borderId="326" xfId="0" applyNumberFormat="1" applyFont="1" applyFill="1" applyBorder="1" applyAlignment="1">
      <alignment vertical="center"/>
    </xf>
    <xf numFmtId="0" fontId="14" fillId="0" borderId="0" xfId="0" applyFont="1" applyFill="1" applyAlignment="1">
      <alignment vertical="center"/>
    </xf>
    <xf numFmtId="189" fontId="3" fillId="0" borderId="0" xfId="0" applyNumberFormat="1" applyFont="1" applyAlignment="1">
      <alignment vertical="center"/>
    </xf>
    <xf numFmtId="3" fontId="6" fillId="4" borderId="125" xfId="0" applyNumberFormat="1" applyFont="1" applyFill="1" applyBorder="1" applyAlignment="1">
      <alignment vertical="center"/>
    </xf>
    <xf numFmtId="0" fontId="27" fillId="15" borderId="141" xfId="0" applyFont="1" applyFill="1" applyBorder="1" applyAlignment="1">
      <alignment horizontal="center" vertical="center"/>
    </xf>
    <xf numFmtId="3" fontId="6" fillId="15" borderId="137" xfId="0" applyNumberFormat="1" applyFont="1" applyFill="1" applyBorder="1" applyAlignment="1">
      <alignment horizontal="right" vertical="center"/>
    </xf>
    <xf numFmtId="0" fontId="18" fillId="4" borderId="171" xfId="0" applyFont="1" applyFill="1" applyBorder="1" applyAlignment="1">
      <alignment horizontal="left" vertical="center" wrapText="1"/>
    </xf>
    <xf numFmtId="0" fontId="18" fillId="4" borderId="161" xfId="0" applyFont="1" applyFill="1" applyBorder="1" applyAlignment="1">
      <alignment horizontal="left" vertical="center" wrapText="1"/>
    </xf>
    <xf numFmtId="3" fontId="3" fillId="4" borderId="76" xfId="0" applyNumberFormat="1" applyFont="1" applyFill="1" applyBorder="1" applyAlignment="1">
      <alignment horizontal="left" vertical="center"/>
    </xf>
    <xf numFmtId="3" fontId="3" fillId="4" borderId="171" xfId="0" applyNumberFormat="1" applyFont="1" applyFill="1" applyBorder="1" applyAlignment="1">
      <alignment horizontal="left" vertical="center"/>
    </xf>
    <xf numFmtId="3" fontId="3" fillId="15" borderId="173" xfId="0" applyNumberFormat="1" applyFont="1" applyFill="1" applyBorder="1" applyAlignment="1">
      <alignment horizontal="left" vertical="center"/>
    </xf>
    <xf numFmtId="3" fontId="3" fillId="15" borderId="161" xfId="0" applyNumberFormat="1" applyFont="1" applyFill="1" applyBorder="1" applyAlignment="1">
      <alignment horizontal="left" vertical="center"/>
    </xf>
    <xf numFmtId="3" fontId="3" fillId="15" borderId="76" xfId="0" applyNumberFormat="1" applyFont="1" applyFill="1" applyBorder="1" applyAlignment="1">
      <alignment horizontal="left" vertical="center"/>
    </xf>
    <xf numFmtId="3" fontId="3" fillId="15" borderId="175" xfId="0" applyNumberFormat="1" applyFont="1" applyFill="1" applyBorder="1" applyAlignment="1">
      <alignment horizontal="left" vertical="center"/>
    </xf>
    <xf numFmtId="183" fontId="24" fillId="0" borderId="160" xfId="0" applyNumberFormat="1" applyFont="1" applyFill="1" applyBorder="1" applyAlignment="1">
      <alignment horizontal="center" vertical="center"/>
    </xf>
    <xf numFmtId="193" fontId="4" fillId="0" borderId="161" xfId="0" applyNumberFormat="1" applyFont="1" applyFill="1" applyBorder="1" applyAlignment="1">
      <alignment horizontal="right" vertical="center"/>
    </xf>
    <xf numFmtId="183" fontId="24" fillId="0" borderId="161" xfId="0" applyNumberFormat="1" applyFont="1" applyFill="1" applyBorder="1" applyAlignment="1">
      <alignment horizontal="center" vertical="center"/>
    </xf>
    <xf numFmtId="189" fontId="20" fillId="0" borderId="161" xfId="0" applyNumberFormat="1" applyFont="1" applyBorder="1" applyAlignment="1">
      <alignment horizontal="right" vertical="center"/>
    </xf>
    <xf numFmtId="189" fontId="4" fillId="0" borderId="161" xfId="0" applyNumberFormat="1" applyFont="1" applyFill="1" applyBorder="1" applyAlignment="1">
      <alignment horizontal="right" vertical="center"/>
    </xf>
    <xf numFmtId="189" fontId="9" fillId="0" borderId="161" xfId="0" applyNumberFormat="1" applyFont="1" applyFill="1" applyBorder="1" applyAlignment="1">
      <alignment horizontal="center" vertical="center"/>
    </xf>
    <xf numFmtId="189" fontId="9" fillId="0" borderId="161" xfId="0" applyNumberFormat="1" applyFont="1" applyFill="1" applyBorder="1" applyAlignment="1">
      <alignment horizontal="right" vertical="center"/>
    </xf>
    <xf numFmtId="189" fontId="4" fillId="0" borderId="161" xfId="0" applyNumberFormat="1" applyFont="1" applyBorder="1" applyAlignment="1">
      <alignment horizontal="right" vertical="center"/>
    </xf>
    <xf numFmtId="193" fontId="4" fillId="0" borderId="165" xfId="0" applyNumberFormat="1" applyFont="1" applyFill="1" applyBorder="1" applyAlignment="1">
      <alignment horizontal="right" vertical="center"/>
    </xf>
    <xf numFmtId="193" fontId="4" fillId="0" borderId="76" xfId="0" applyNumberFormat="1" applyFont="1" applyFill="1" applyBorder="1" applyAlignment="1">
      <alignment horizontal="right" vertical="center"/>
    </xf>
    <xf numFmtId="189" fontId="4" fillId="0" borderId="182" xfId="0" applyNumberFormat="1" applyFont="1" applyFill="1" applyBorder="1" applyAlignment="1">
      <alignment horizontal="right" vertical="center"/>
    </xf>
    <xf numFmtId="193" fontId="4" fillId="0" borderId="0" xfId="0" applyNumberFormat="1" applyFont="1" applyFill="1" applyBorder="1" applyAlignment="1">
      <alignment vertical="center"/>
    </xf>
    <xf numFmtId="0" fontId="3" fillId="15" borderId="164" xfId="0" applyFont="1" applyFill="1" applyBorder="1" applyAlignment="1">
      <alignment horizontal="center" vertical="center"/>
    </xf>
    <xf numFmtId="183" fontId="3" fillId="15" borderId="161" xfId="0" applyNumberFormat="1" applyFont="1" applyFill="1" applyBorder="1" applyAlignment="1">
      <alignment horizontal="right" vertical="center"/>
    </xf>
    <xf numFmtId="3" fontId="3" fillId="4" borderId="306" xfId="0" applyNumberFormat="1" applyFont="1" applyFill="1" applyBorder="1" applyAlignment="1">
      <alignment horizontal="center" vertical="center"/>
    </xf>
    <xf numFmtId="0" fontId="3" fillId="4" borderId="164" xfId="0" applyFont="1" applyFill="1" applyBorder="1" applyAlignment="1">
      <alignment horizontal="center" vertical="center"/>
    </xf>
    <xf numFmtId="184" fontId="6" fillId="0" borderId="162" xfId="0" applyNumberFormat="1" applyFont="1" applyFill="1" applyBorder="1" applyAlignment="1">
      <alignment horizontal="right" vertical="center"/>
    </xf>
    <xf numFmtId="3" fontId="6" fillId="4" borderId="125" xfId="0" applyNumberFormat="1" applyFont="1" applyFill="1" applyBorder="1" applyAlignment="1">
      <alignment horizontal="left" vertical="center"/>
    </xf>
    <xf numFmtId="3" fontId="4" fillId="0" borderId="0" xfId="0" applyNumberFormat="1" applyFont="1" applyAlignment="1">
      <alignment vertical="center"/>
    </xf>
    <xf numFmtId="184" fontId="20" fillId="0" borderId="161" xfId="0" applyNumberFormat="1" applyFont="1" applyBorder="1" applyAlignment="1">
      <alignment horizontal="right" vertical="center"/>
    </xf>
    <xf numFmtId="184" fontId="21" fillId="0" borderId="161" xfId="0" applyNumberFormat="1" applyFont="1" applyBorder="1" applyAlignment="1">
      <alignment horizontal="center" vertical="center"/>
    </xf>
    <xf numFmtId="184" fontId="4" fillId="0" borderId="161" xfId="0" applyNumberFormat="1" applyFont="1" applyFill="1" applyBorder="1" applyAlignment="1">
      <alignment horizontal="right" vertical="center"/>
    </xf>
    <xf numFmtId="184" fontId="9" fillId="0" borderId="161" xfId="0" applyNumberFormat="1" applyFont="1" applyFill="1" applyBorder="1" applyAlignment="1">
      <alignment horizontal="center" vertical="center"/>
    </xf>
    <xf numFmtId="184" fontId="9" fillId="0" borderId="161" xfId="0" applyNumberFormat="1" applyFont="1" applyFill="1" applyBorder="1" applyAlignment="1">
      <alignment horizontal="right" vertical="center"/>
    </xf>
    <xf numFmtId="184" fontId="4" fillId="0" borderId="161" xfId="0" applyNumberFormat="1" applyFont="1" applyBorder="1" applyAlignment="1">
      <alignment horizontal="right" vertical="center"/>
    </xf>
    <xf numFmtId="184" fontId="4" fillId="0" borderId="182" xfId="0" applyNumberFormat="1" applyFont="1" applyFill="1" applyBorder="1" applyAlignment="1">
      <alignment horizontal="right" vertical="center"/>
    </xf>
    <xf numFmtId="184" fontId="4" fillId="0" borderId="191" xfId="0" applyNumberFormat="1" applyFont="1" applyFill="1" applyBorder="1" applyAlignment="1">
      <alignment vertical="center"/>
    </xf>
    <xf numFmtId="184" fontId="9" fillId="0" borderId="191" xfId="0" applyNumberFormat="1" applyFont="1" applyFill="1" applyBorder="1" applyAlignment="1">
      <alignment vertical="center"/>
    </xf>
    <xf numFmtId="184" fontId="9" fillId="0" borderId="182" xfId="0" applyNumberFormat="1" applyFont="1" applyFill="1" applyBorder="1" applyAlignment="1">
      <alignment horizontal="right" vertical="center"/>
    </xf>
    <xf numFmtId="184" fontId="4" fillId="0" borderId="182" xfId="0" applyNumberFormat="1" applyFont="1" applyBorder="1" applyAlignment="1">
      <alignment horizontal="right" vertical="center"/>
    </xf>
    <xf numFmtId="186" fontId="4" fillId="19" borderId="49" xfId="0" applyNumberFormat="1" applyFont="1" applyFill="1" applyBorder="1" applyAlignment="1" applyProtection="1">
      <alignment horizontal="center" vertical="center"/>
      <protection locked="0"/>
    </xf>
    <xf numFmtId="0" fontId="10" fillId="19" borderId="42" xfId="0" applyFont="1" applyFill="1" applyBorder="1" applyAlignment="1" applyProtection="1">
      <alignment horizontal="center" vertical="center" textRotation="255"/>
      <protection locked="0"/>
    </xf>
    <xf numFmtId="3" fontId="4" fillId="19" borderId="42" xfId="0" applyNumberFormat="1" applyFont="1" applyFill="1" applyBorder="1" applyAlignment="1" applyProtection="1">
      <alignment horizontal="center" vertical="center"/>
      <protection locked="0"/>
    </xf>
    <xf numFmtId="3" fontId="4" fillId="19" borderId="44" xfId="0" applyNumberFormat="1" applyFont="1" applyFill="1" applyBorder="1" applyAlignment="1" applyProtection="1">
      <alignment horizontal="center" vertical="center"/>
      <protection locked="0"/>
    </xf>
    <xf numFmtId="3" fontId="4" fillId="19" borderId="61" xfId="0" applyNumberFormat="1" applyFont="1" applyFill="1" applyBorder="1" applyAlignment="1" applyProtection="1">
      <alignment horizontal="center" vertical="center"/>
      <protection locked="0"/>
    </xf>
    <xf numFmtId="3" fontId="46" fillId="0" borderId="0" xfId="0" applyNumberFormat="1" applyFont="1" applyFill="1" applyBorder="1" applyAlignment="1" applyProtection="1"/>
    <xf numFmtId="180" fontId="9" fillId="0" borderId="187" xfId="0" applyNumberFormat="1" applyFont="1" applyFill="1" applyBorder="1" applyAlignment="1">
      <alignment horizontal="left" vertical="center" wrapText="1"/>
    </xf>
    <xf numFmtId="180" fontId="4" fillId="0" borderId="99" xfId="0" applyNumberFormat="1" applyFont="1" applyFill="1" applyBorder="1" applyAlignment="1" applyProtection="1">
      <alignment horizontal="center" vertical="center"/>
      <protection locked="0"/>
    </xf>
    <xf numFmtId="0" fontId="4" fillId="0" borderId="8" xfId="0" applyFont="1" applyFill="1" applyBorder="1" applyAlignment="1" applyProtection="1">
      <alignment horizontal="center" vertical="center"/>
    </xf>
    <xf numFmtId="0" fontId="4" fillId="0" borderId="17" xfId="0" applyFont="1" applyFill="1" applyBorder="1" applyAlignment="1" applyProtection="1">
      <alignment horizontal="center" vertical="center"/>
    </xf>
    <xf numFmtId="180" fontId="4" fillId="0" borderId="327" xfId="0" applyNumberFormat="1" applyFont="1" applyFill="1" applyBorder="1" applyAlignment="1" applyProtection="1">
      <alignment horizontal="center" vertical="center"/>
      <protection locked="0"/>
    </xf>
    <xf numFmtId="0" fontId="4" fillId="0" borderId="220" xfId="0" applyFont="1" applyFill="1" applyBorder="1" applyAlignment="1" applyProtection="1">
      <alignment horizontal="center" vertical="center"/>
      <protection locked="0"/>
    </xf>
    <xf numFmtId="0" fontId="4" fillId="0" borderId="89" xfId="0" applyFont="1" applyFill="1" applyBorder="1" applyAlignment="1" applyProtection="1">
      <alignment horizontal="center" vertical="center"/>
      <protection locked="0"/>
    </xf>
    <xf numFmtId="3" fontId="4" fillId="0" borderId="220" xfId="0" applyNumberFormat="1" applyFont="1" applyFill="1" applyBorder="1" applyAlignment="1" applyProtection="1">
      <alignment vertical="center"/>
      <protection locked="0"/>
    </xf>
    <xf numFmtId="3" fontId="4" fillId="0" borderId="328" xfId="0" applyNumberFormat="1" applyFont="1" applyFill="1" applyBorder="1" applyAlignment="1" applyProtection="1">
      <alignment vertical="center"/>
    </xf>
    <xf numFmtId="3" fontId="4" fillId="0" borderId="3" xfId="0" applyNumberFormat="1" applyFont="1" applyFill="1" applyBorder="1" applyAlignment="1" applyProtection="1">
      <alignment vertical="center"/>
    </xf>
    <xf numFmtId="3" fontId="4" fillId="0" borderId="12" xfId="0" applyNumberFormat="1" applyFont="1" applyFill="1" applyBorder="1" applyAlignment="1" applyProtection="1">
      <alignment vertical="center"/>
    </xf>
    <xf numFmtId="3" fontId="4" fillId="0" borderId="328" xfId="0" applyNumberFormat="1" applyFont="1" applyFill="1" applyBorder="1" applyAlignment="1" applyProtection="1">
      <alignment vertical="center"/>
      <protection locked="0"/>
    </xf>
    <xf numFmtId="180" fontId="4" fillId="0" borderId="327" xfId="0" applyNumberFormat="1" applyFont="1" applyFill="1" applyBorder="1" applyAlignment="1">
      <alignment horizontal="center" vertical="center"/>
    </xf>
    <xf numFmtId="0" fontId="4" fillId="0" borderId="89" xfId="0" applyFont="1" applyFill="1" applyBorder="1" applyAlignment="1">
      <alignment horizontal="center" vertical="center"/>
    </xf>
    <xf numFmtId="3" fontId="4" fillId="0" borderId="220" xfId="0" applyNumberFormat="1" applyFont="1" applyFill="1" applyBorder="1" applyAlignment="1">
      <alignment vertical="center"/>
    </xf>
    <xf numFmtId="3" fontId="4" fillId="0" borderId="328" xfId="0" applyNumberFormat="1" applyFont="1" applyFill="1" applyBorder="1" applyAlignment="1">
      <alignment vertical="center"/>
    </xf>
    <xf numFmtId="3" fontId="4" fillId="0" borderId="11" xfId="0" applyNumberFormat="1" applyFont="1" applyFill="1" applyBorder="1" applyAlignment="1">
      <alignment vertical="center"/>
    </xf>
    <xf numFmtId="3" fontId="4" fillId="0" borderId="19" xfId="0" applyNumberFormat="1" applyFont="1" applyFill="1" applyBorder="1" applyAlignment="1">
      <alignment vertical="center"/>
    </xf>
    <xf numFmtId="3" fontId="4" fillId="0" borderId="85" xfId="0" applyNumberFormat="1" applyFont="1" applyFill="1" applyBorder="1" applyAlignment="1">
      <alignment vertical="center"/>
    </xf>
    <xf numFmtId="3" fontId="4" fillId="0" borderId="86" xfId="0" applyNumberFormat="1" applyFont="1" applyFill="1" applyBorder="1" applyAlignment="1">
      <alignment vertical="center"/>
    </xf>
    <xf numFmtId="3" fontId="4" fillId="0" borderId="87" xfId="0" applyNumberFormat="1" applyFont="1" applyFill="1" applyBorder="1" applyAlignment="1">
      <alignment vertical="center"/>
    </xf>
    <xf numFmtId="3" fontId="4" fillId="0" borderId="239" xfId="0" applyNumberFormat="1" applyFont="1" applyFill="1" applyBorder="1" applyAlignment="1">
      <alignment vertical="center"/>
    </xf>
    <xf numFmtId="56" fontId="4" fillId="0" borderId="327" xfId="0" applyNumberFormat="1" applyFont="1" applyFill="1" applyBorder="1" applyAlignment="1">
      <alignment horizontal="center" vertical="center"/>
    </xf>
    <xf numFmtId="0" fontId="4" fillId="0" borderId="330" xfId="0" applyFont="1" applyFill="1" applyBorder="1" applyAlignment="1">
      <alignment vertical="center"/>
    </xf>
    <xf numFmtId="3" fontId="12" fillId="0" borderId="220" xfId="0" applyNumberFormat="1" applyFont="1" applyBorder="1" applyAlignment="1">
      <alignment horizontal="center"/>
    </xf>
    <xf numFmtId="3" fontId="4" fillId="0" borderId="331" xfId="0" applyNumberFormat="1" applyFont="1" applyFill="1" applyBorder="1" applyAlignment="1">
      <alignment vertical="center"/>
    </xf>
    <xf numFmtId="0" fontId="4" fillId="0" borderId="220" xfId="0" applyFont="1" applyFill="1" applyBorder="1" applyAlignment="1">
      <alignment horizontal="center" vertical="center"/>
    </xf>
    <xf numFmtId="3" fontId="4" fillId="0" borderId="108" xfId="0" applyNumberFormat="1" applyFont="1" applyFill="1" applyBorder="1" applyAlignment="1">
      <alignment vertical="center"/>
    </xf>
    <xf numFmtId="3" fontId="4" fillId="0" borderId="3" xfId="0" applyNumberFormat="1" applyFont="1" applyFill="1" applyBorder="1" applyAlignment="1">
      <alignment vertical="center"/>
    </xf>
    <xf numFmtId="3" fontId="11" fillId="0" borderId="11" xfId="0" applyNumberFormat="1" applyFont="1" applyBorder="1" applyAlignment="1">
      <alignment horizontal="center"/>
    </xf>
    <xf numFmtId="3" fontId="4" fillId="0" borderId="332" xfId="0" applyNumberFormat="1" applyFont="1" applyFill="1" applyBorder="1" applyAlignment="1">
      <alignment vertical="center"/>
    </xf>
    <xf numFmtId="0" fontId="4" fillId="0" borderId="259" xfId="0" applyFont="1" applyFill="1" applyBorder="1" applyAlignment="1">
      <alignment horizontal="center" vertical="center"/>
    </xf>
    <xf numFmtId="0" fontId="4" fillId="0" borderId="11" xfId="0" applyFont="1" applyFill="1" applyBorder="1" applyAlignment="1">
      <alignment horizontal="center" vertical="center"/>
    </xf>
    <xf numFmtId="3" fontId="4" fillId="0" borderId="12" xfId="0" applyNumberFormat="1" applyFont="1" applyFill="1" applyBorder="1" applyAlignment="1">
      <alignment vertical="center"/>
    </xf>
    <xf numFmtId="0" fontId="4" fillId="0" borderId="126" xfId="0" applyFont="1" applyFill="1" applyBorder="1" applyAlignment="1">
      <alignment horizontal="center" vertical="center"/>
    </xf>
    <xf numFmtId="3" fontId="4" fillId="0" borderId="333" xfId="0" applyNumberFormat="1" applyFont="1" applyFill="1" applyBorder="1" applyAlignment="1">
      <alignment vertical="center"/>
    </xf>
    <xf numFmtId="0" fontId="4" fillId="0" borderId="334" xfId="0" applyFont="1" applyFill="1" applyBorder="1" applyAlignment="1">
      <alignment horizontal="center" vertical="center"/>
    </xf>
    <xf numFmtId="3" fontId="4" fillId="0" borderId="210" xfId="0" applyNumberFormat="1" applyFont="1" applyFill="1" applyBorder="1" applyAlignment="1">
      <alignment vertical="center"/>
    </xf>
    <xf numFmtId="3" fontId="4" fillId="0" borderId="2" xfId="0" applyNumberFormat="1" applyFont="1" applyFill="1" applyBorder="1" applyAlignment="1" applyProtection="1">
      <alignment vertical="center"/>
    </xf>
    <xf numFmtId="3" fontId="4" fillId="0" borderId="108" xfId="0" applyNumberFormat="1" applyFont="1" applyFill="1" applyBorder="1" applyAlignment="1" applyProtection="1">
      <alignment vertical="center"/>
    </xf>
    <xf numFmtId="3" fontId="4" fillId="0" borderId="119" xfId="0" applyNumberFormat="1" applyFont="1" applyFill="1" applyBorder="1" applyAlignment="1" applyProtection="1">
      <alignment vertical="center"/>
    </xf>
    <xf numFmtId="0" fontId="5" fillId="0" borderId="31" xfId="0" applyFont="1" applyFill="1" applyBorder="1" applyAlignment="1" applyProtection="1">
      <alignment horizontal="center" vertical="center"/>
      <protection locked="0"/>
    </xf>
    <xf numFmtId="180" fontId="4" fillId="0" borderId="4" xfId="0" applyNumberFormat="1" applyFont="1" applyFill="1" applyBorder="1" applyAlignment="1" applyProtection="1">
      <alignment horizontal="center" vertical="center"/>
      <protection locked="0"/>
    </xf>
    <xf numFmtId="183" fontId="3" fillId="0" borderId="97" xfId="0" applyNumberFormat="1" applyFont="1" applyFill="1" applyBorder="1" applyAlignment="1">
      <alignment horizontal="right" vertical="center"/>
    </xf>
    <xf numFmtId="183" fontId="3" fillId="0" borderId="98" xfId="0" applyNumberFormat="1" applyFont="1" applyFill="1" applyBorder="1" applyAlignment="1">
      <alignment horizontal="right" vertical="center"/>
    </xf>
    <xf numFmtId="189" fontId="3" fillId="0" borderId="323" xfId="0" applyNumberFormat="1" applyFont="1" applyFill="1" applyBorder="1" applyAlignment="1">
      <alignment vertical="center"/>
    </xf>
    <xf numFmtId="189" fontId="3" fillId="0" borderId="324" xfId="0" applyNumberFormat="1" applyFont="1" applyFill="1" applyBorder="1" applyAlignment="1">
      <alignment vertical="center"/>
    </xf>
    <xf numFmtId="0" fontId="51" fillId="0" borderId="0" xfId="2"/>
    <xf numFmtId="0" fontId="49" fillId="0" borderId="0" xfId="0" applyFont="1" applyAlignment="1">
      <alignment horizontal="right" vertical="center"/>
    </xf>
    <xf numFmtId="0" fontId="45" fillId="0" borderId="0" xfId="0" applyFont="1" applyFill="1" applyAlignment="1">
      <alignment vertical="center"/>
    </xf>
    <xf numFmtId="0" fontId="37" fillId="0" borderId="0" xfId="0" applyFont="1" applyAlignment="1">
      <alignment vertical="center"/>
    </xf>
    <xf numFmtId="0" fontId="51" fillId="0" borderId="0" xfId="2" applyAlignment="1">
      <alignment horizontal="left"/>
    </xf>
    <xf numFmtId="14" fontId="3" fillId="0" borderId="0" xfId="0" applyNumberFormat="1" applyFont="1" applyAlignment="1">
      <alignment vertical="center"/>
    </xf>
    <xf numFmtId="0" fontId="47" fillId="12" borderId="79" xfId="0" applyFont="1" applyFill="1" applyBorder="1" applyAlignment="1">
      <alignment horizontal="center" vertical="center"/>
    </xf>
    <xf numFmtId="0" fontId="47" fillId="12" borderId="225" xfId="0" applyFont="1" applyFill="1" applyBorder="1" applyAlignment="1">
      <alignment horizontal="center" vertical="center"/>
    </xf>
    <xf numFmtId="0" fontId="47" fillId="12" borderId="77" xfId="0" applyFont="1" applyFill="1" applyBorder="1" applyAlignment="1">
      <alignment horizontal="center" vertical="center"/>
    </xf>
    <xf numFmtId="0" fontId="47" fillId="12" borderId="226" xfId="0" applyFont="1" applyFill="1" applyBorder="1" applyAlignment="1">
      <alignment horizontal="center" vertical="center"/>
    </xf>
    <xf numFmtId="0" fontId="47" fillId="12" borderId="0" xfId="0" applyFont="1" applyFill="1" applyBorder="1" applyAlignment="1">
      <alignment horizontal="center" vertical="center"/>
    </xf>
    <xf numFmtId="0" fontId="47" fillId="12" borderId="130" xfId="0" applyFont="1" applyFill="1" applyBorder="1" applyAlignment="1">
      <alignment horizontal="center" vertical="center"/>
    </xf>
    <xf numFmtId="0" fontId="47" fillId="12" borderId="124" xfId="0" applyFont="1" applyFill="1" applyBorder="1" applyAlignment="1">
      <alignment horizontal="center" vertical="center"/>
    </xf>
    <xf numFmtId="0" fontId="47" fillId="12" borderId="227" xfId="0" applyFont="1" applyFill="1" applyBorder="1" applyAlignment="1">
      <alignment horizontal="center" vertical="center"/>
    </xf>
    <xf numFmtId="0" fontId="47" fillId="12" borderId="129" xfId="0" applyFont="1" applyFill="1" applyBorder="1" applyAlignment="1">
      <alignment horizontal="center" vertical="center"/>
    </xf>
    <xf numFmtId="14" fontId="48" fillId="0" borderId="0" xfId="0" applyNumberFormat="1" applyFont="1" applyBorder="1" applyAlignment="1">
      <alignment horizontal="center" vertical="center"/>
    </xf>
    <xf numFmtId="0" fontId="48" fillId="0" borderId="0" xfId="0" applyFont="1" applyBorder="1" applyAlignment="1">
      <alignment horizontal="center" vertical="center"/>
    </xf>
    <xf numFmtId="0" fontId="48" fillId="0" borderId="227" xfId="0" applyFont="1" applyBorder="1" applyAlignment="1">
      <alignment horizontal="center" vertical="center"/>
    </xf>
    <xf numFmtId="0" fontId="3" fillId="0" borderId="0" xfId="0" applyFont="1" applyAlignment="1">
      <alignment vertical="center"/>
    </xf>
    <xf numFmtId="0" fontId="0" fillId="0" borderId="0" xfId="0"/>
    <xf numFmtId="185" fontId="36" fillId="0" borderId="90" xfId="0" applyNumberFormat="1" applyFont="1" applyBorder="1" applyAlignment="1">
      <alignment horizontal="center" vertical="center"/>
    </xf>
    <xf numFmtId="0" fontId="3" fillId="9" borderId="144" xfId="0" applyFont="1" applyFill="1" applyBorder="1" applyAlignment="1">
      <alignment horizontal="left" vertical="center"/>
    </xf>
    <xf numFmtId="0" fontId="3" fillId="9" borderId="46" xfId="0" applyFont="1" applyFill="1" applyBorder="1" applyAlignment="1">
      <alignment horizontal="left" vertical="center"/>
    </xf>
    <xf numFmtId="0" fontId="3" fillId="9" borderId="61" xfId="0" applyFont="1" applyFill="1" applyBorder="1" applyAlignment="1">
      <alignment horizontal="left" vertical="center"/>
    </xf>
    <xf numFmtId="0" fontId="3" fillId="4" borderId="116" xfId="0" applyFont="1" applyFill="1" applyBorder="1" applyAlignment="1">
      <alignment horizontal="center" vertical="center" textRotation="255"/>
    </xf>
    <xf numFmtId="0" fontId="3" fillId="4" borderId="99" xfId="0" applyFont="1" applyFill="1" applyBorder="1" applyAlignment="1">
      <alignment horizontal="center" vertical="center" textRotation="255"/>
    </xf>
    <xf numFmtId="0" fontId="3" fillId="4" borderId="100" xfId="0" applyFont="1" applyFill="1" applyBorder="1" applyAlignment="1">
      <alignment horizontal="center" vertical="center" textRotation="255"/>
    </xf>
    <xf numFmtId="0" fontId="3" fillId="8" borderId="116" xfId="0" applyFont="1" applyFill="1" applyBorder="1" applyAlignment="1">
      <alignment horizontal="center" vertical="center" textRotation="255"/>
    </xf>
    <xf numFmtId="0" fontId="3" fillId="8" borderId="109" xfId="0" applyFont="1" applyFill="1" applyBorder="1" applyAlignment="1">
      <alignment horizontal="center" vertical="center" textRotation="255"/>
    </xf>
    <xf numFmtId="0" fontId="3" fillId="11" borderId="116" xfId="0" applyFont="1" applyFill="1" applyBorder="1" applyAlignment="1">
      <alignment horizontal="center" vertical="center" textRotation="255"/>
    </xf>
    <xf numFmtId="0" fontId="3" fillId="11" borderId="109" xfId="0" applyFont="1" applyFill="1" applyBorder="1" applyAlignment="1">
      <alignment horizontal="center" vertical="center" textRotation="255"/>
    </xf>
    <xf numFmtId="0" fontId="3" fillId="9" borderId="120" xfId="0" applyFont="1" applyFill="1" applyBorder="1" applyAlignment="1">
      <alignment horizontal="center" vertical="center"/>
    </xf>
    <xf numFmtId="0" fontId="3" fillId="9" borderId="37" xfId="0" applyFont="1" applyFill="1" applyBorder="1" applyAlignment="1">
      <alignment horizontal="center" vertical="center"/>
    </xf>
    <xf numFmtId="0" fontId="3" fillId="10" borderId="78" xfId="0" applyFont="1" applyFill="1" applyBorder="1" applyAlignment="1">
      <alignment horizontal="center" vertical="center" textRotation="255"/>
    </xf>
    <xf numFmtId="0" fontId="3" fillId="10" borderId="131" xfId="0" applyFont="1" applyFill="1" applyBorder="1" applyAlignment="1">
      <alignment horizontal="center" vertical="center" textRotation="255"/>
    </xf>
    <xf numFmtId="0" fontId="3" fillId="10" borderId="127" xfId="0" applyFont="1" applyFill="1" applyBorder="1" applyAlignment="1">
      <alignment horizontal="center" vertical="center" textRotation="255"/>
    </xf>
    <xf numFmtId="0" fontId="5" fillId="0" borderId="16"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35" xfId="0" applyFont="1" applyFill="1" applyBorder="1" applyAlignment="1">
      <alignment horizontal="center" vertical="center"/>
    </xf>
    <xf numFmtId="0" fontId="7" fillId="0" borderId="0" xfId="0" applyFont="1" applyFill="1" applyAlignment="1">
      <alignment horizontal="center"/>
    </xf>
    <xf numFmtId="0" fontId="3" fillId="3" borderId="46"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6" xfId="0" applyFont="1" applyFill="1" applyBorder="1" applyAlignment="1">
      <alignment horizontal="center" vertical="center"/>
    </xf>
    <xf numFmtId="0" fontId="5" fillId="0" borderId="67" xfId="0" applyFont="1" applyFill="1" applyBorder="1" applyAlignment="1">
      <alignment horizontal="center" vertical="center"/>
    </xf>
    <xf numFmtId="0" fontId="5" fillId="0" borderId="329" xfId="0" applyFont="1" applyFill="1" applyBorder="1" applyAlignment="1">
      <alignment horizontal="center" vertical="center"/>
    </xf>
    <xf numFmtId="0" fontId="7" fillId="0" borderId="0" xfId="0" applyFont="1" applyAlignment="1">
      <alignment horizontal="center" vertical="center"/>
    </xf>
    <xf numFmtId="0" fontId="3" fillId="5" borderId="49" xfId="0" applyFont="1" applyFill="1" applyBorder="1" applyAlignment="1">
      <alignment horizontal="center" vertical="center"/>
    </xf>
    <xf numFmtId="0" fontId="3" fillId="5" borderId="68" xfId="0" applyFont="1" applyFill="1" applyBorder="1" applyAlignment="1">
      <alignment horizontal="center" vertical="center"/>
    </xf>
    <xf numFmtId="0" fontId="5" fillId="0" borderId="70" xfId="0" applyFont="1" applyBorder="1" applyAlignment="1">
      <alignment horizontal="center" vertical="center" textRotation="255"/>
    </xf>
    <xf numFmtId="0" fontId="5" fillId="0" borderId="72" xfId="0" applyFont="1" applyBorder="1" applyAlignment="1">
      <alignment horizontal="center" vertical="center" textRotation="255"/>
    </xf>
    <xf numFmtId="0" fontId="5" fillId="0" borderId="73" xfId="0" applyFont="1" applyBorder="1" applyAlignment="1">
      <alignment horizontal="center" vertical="center" textRotation="255"/>
    </xf>
    <xf numFmtId="0" fontId="5" fillId="0" borderId="81" xfId="0" applyFont="1" applyBorder="1" applyAlignment="1">
      <alignment horizontal="center" vertical="center"/>
    </xf>
    <xf numFmtId="0" fontId="5" fillId="0" borderId="82" xfId="0" applyFont="1" applyBorder="1" applyAlignment="1">
      <alignment horizontal="center" vertical="center"/>
    </xf>
    <xf numFmtId="183" fontId="36" fillId="0" borderId="0" xfId="0" applyNumberFormat="1" applyFont="1" applyFill="1" applyAlignment="1">
      <alignment horizontal="center" vertical="center"/>
    </xf>
    <xf numFmtId="183" fontId="6" fillId="13" borderId="247" xfId="0" applyNumberFormat="1" applyFont="1" applyFill="1" applyBorder="1" applyAlignment="1">
      <alignment horizontal="center" vertical="center"/>
    </xf>
    <xf numFmtId="183" fontId="6" fillId="13" borderId="248" xfId="0" applyNumberFormat="1" applyFont="1" applyFill="1" applyBorder="1" applyAlignment="1">
      <alignment horizontal="center" vertical="center"/>
    </xf>
    <xf numFmtId="183" fontId="4" fillId="13" borderId="37" xfId="0" applyNumberFormat="1" applyFont="1" applyFill="1" applyBorder="1" applyAlignment="1">
      <alignment horizontal="center"/>
    </xf>
    <xf numFmtId="183" fontId="4" fillId="13" borderId="36" xfId="0" applyNumberFormat="1" applyFont="1" applyFill="1" applyBorder="1" applyAlignment="1">
      <alignment horizontal="center"/>
    </xf>
    <xf numFmtId="183" fontId="4" fillId="13" borderId="91" xfId="0" applyNumberFormat="1" applyFont="1" applyFill="1" applyBorder="1" applyAlignment="1">
      <alignment horizontal="center"/>
    </xf>
    <xf numFmtId="183" fontId="4" fillId="13" borderId="92" xfId="0" applyNumberFormat="1" applyFont="1" applyFill="1" applyBorder="1" applyAlignment="1">
      <alignment horizontal="center"/>
    </xf>
    <xf numFmtId="183" fontId="4" fillId="13" borderId="38" xfId="0" applyNumberFormat="1" applyFont="1" applyFill="1" applyBorder="1" applyAlignment="1">
      <alignment horizontal="center"/>
    </xf>
    <xf numFmtId="183" fontId="7" fillId="0" borderId="0" xfId="0" applyNumberFormat="1" applyFont="1" applyFill="1" applyAlignment="1">
      <alignment horizontal="center" vertical="center"/>
    </xf>
    <xf numFmtId="183" fontId="6" fillId="13" borderId="261" xfId="0" applyNumberFormat="1" applyFont="1" applyFill="1" applyBorder="1" applyAlignment="1">
      <alignment horizontal="center" vertical="center"/>
    </xf>
    <xf numFmtId="183" fontId="6" fillId="13" borderId="262" xfId="0" applyNumberFormat="1" applyFont="1" applyFill="1" applyBorder="1" applyAlignment="1">
      <alignment horizontal="center" vertical="center"/>
    </xf>
    <xf numFmtId="183" fontId="4" fillId="13" borderId="37" xfId="0" applyNumberFormat="1" applyFont="1" applyFill="1" applyBorder="1" applyAlignment="1">
      <alignment horizontal="center" vertical="center"/>
    </xf>
    <xf numFmtId="183" fontId="4" fillId="13" borderId="36" xfId="0" applyNumberFormat="1" applyFont="1" applyFill="1" applyBorder="1" applyAlignment="1">
      <alignment horizontal="center" vertical="center"/>
    </xf>
    <xf numFmtId="183" fontId="4" fillId="13" borderId="91" xfId="0" applyNumberFormat="1" applyFont="1" applyFill="1" applyBorder="1" applyAlignment="1">
      <alignment horizontal="center" vertical="center"/>
    </xf>
    <xf numFmtId="183" fontId="4" fillId="13" borderId="92" xfId="0" applyNumberFormat="1" applyFont="1" applyFill="1" applyBorder="1" applyAlignment="1">
      <alignment horizontal="center" vertical="center"/>
    </xf>
    <xf numFmtId="183" fontId="4" fillId="13" borderId="38" xfId="0" applyNumberFormat="1" applyFont="1" applyFill="1" applyBorder="1" applyAlignment="1">
      <alignment horizontal="center" vertical="center"/>
    </xf>
    <xf numFmtId="0" fontId="12" fillId="16" borderId="36" xfId="0" applyNumberFormat="1" applyFont="1" applyFill="1" applyBorder="1" applyAlignment="1" applyProtection="1">
      <alignment horizontal="center" vertical="center" wrapText="1"/>
      <protection hidden="1"/>
    </xf>
    <xf numFmtId="0" fontId="12" fillId="16" borderId="37" xfId="0" applyNumberFormat="1" applyFont="1" applyFill="1" applyBorder="1" applyAlignment="1" applyProtection="1">
      <alignment horizontal="center" vertical="center" wrapText="1"/>
      <protection hidden="1"/>
    </xf>
    <xf numFmtId="49" fontId="3" fillId="0" borderId="279" xfId="0" applyNumberFormat="1" applyFont="1" applyBorder="1" applyAlignment="1">
      <alignment horizontal="center" vertical="center"/>
    </xf>
    <xf numFmtId="49" fontId="3" fillId="0" borderId="280" xfId="0" applyNumberFormat="1" applyFont="1" applyBorder="1" applyAlignment="1">
      <alignment horizontal="center" vertical="center"/>
    </xf>
    <xf numFmtId="49" fontId="3" fillId="0" borderId="281" xfId="0" applyNumberFormat="1" applyFont="1" applyBorder="1" applyAlignment="1">
      <alignment horizontal="center" vertical="center"/>
    </xf>
    <xf numFmtId="49" fontId="5" fillId="0" borderId="208" xfId="0" applyNumberFormat="1" applyFont="1" applyBorder="1" applyAlignment="1">
      <alignment horizontal="center" vertical="center"/>
    </xf>
    <xf numFmtId="49" fontId="5" fillId="0" borderId="125" xfId="0" applyNumberFormat="1" applyFont="1" applyBorder="1" applyAlignment="1">
      <alignment horizontal="center" vertical="center"/>
    </xf>
    <xf numFmtId="49" fontId="5" fillId="0" borderId="201" xfId="0" applyNumberFormat="1" applyFont="1" applyBorder="1" applyAlignment="1">
      <alignment horizontal="center" vertical="center"/>
    </xf>
    <xf numFmtId="49" fontId="5" fillId="0" borderId="208" xfId="0" applyNumberFormat="1" applyFont="1" applyFill="1" applyBorder="1" applyAlignment="1">
      <alignment horizontal="center" vertical="center"/>
    </xf>
    <xf numFmtId="49" fontId="5" fillId="0" borderId="125" xfId="0" applyNumberFormat="1" applyFont="1" applyFill="1" applyBorder="1" applyAlignment="1">
      <alignment horizontal="center" vertical="center"/>
    </xf>
    <xf numFmtId="49" fontId="5" fillId="0" borderId="201" xfId="0" applyNumberFormat="1" applyFont="1" applyFill="1" applyBorder="1" applyAlignment="1">
      <alignment horizontal="center" vertical="center"/>
    </xf>
    <xf numFmtId="49" fontId="5" fillId="0" borderId="122" xfId="0" applyNumberFormat="1" applyFont="1" applyBorder="1" applyAlignment="1">
      <alignment horizontal="center" vertical="center"/>
    </xf>
    <xf numFmtId="49" fontId="5" fillId="0" borderId="282" xfId="0" applyNumberFormat="1" applyFont="1" applyBorder="1" applyAlignment="1">
      <alignment horizontal="center" vertical="center"/>
    </xf>
    <xf numFmtId="0" fontId="6" fillId="0" borderId="195" xfId="0" applyFont="1" applyBorder="1" applyAlignment="1">
      <alignment horizontal="left" vertical="top" wrapText="1"/>
    </xf>
    <xf numFmtId="0" fontId="6" fillId="0" borderId="196" xfId="0" applyFont="1" applyBorder="1" applyAlignment="1">
      <alignment horizontal="left" vertical="top"/>
    </xf>
    <xf numFmtId="0" fontId="6" fillId="0" borderId="196" xfId="0" applyFont="1" applyBorder="1" applyAlignment="1">
      <alignment horizontal="left" vertical="top" wrapText="1"/>
    </xf>
    <xf numFmtId="0" fontId="6" fillId="0" borderId="288" xfId="0" applyFont="1" applyBorder="1" applyAlignment="1">
      <alignment horizontal="left" vertical="top"/>
    </xf>
    <xf numFmtId="49" fontId="3" fillId="0" borderId="274" xfId="0" applyNumberFormat="1" applyFont="1" applyBorder="1" applyAlignment="1">
      <alignment horizontal="center" vertical="center"/>
    </xf>
    <xf numFmtId="49" fontId="3" fillId="0" borderId="275" xfId="0" applyNumberFormat="1" applyFont="1" applyBorder="1" applyAlignment="1">
      <alignment horizontal="center" vertical="center"/>
    </xf>
    <xf numFmtId="49" fontId="3" fillId="0" borderId="276" xfId="0" applyNumberFormat="1" applyFont="1" applyBorder="1" applyAlignment="1">
      <alignment horizontal="center" vertical="center"/>
    </xf>
    <xf numFmtId="49" fontId="3" fillId="0" borderId="277" xfId="0" applyNumberFormat="1" applyFont="1" applyBorder="1" applyAlignment="1">
      <alignment horizontal="center" vertical="center"/>
    </xf>
    <xf numFmtId="0" fontId="6" fillId="0" borderId="49" xfId="0" applyFont="1" applyBorder="1" applyAlignment="1">
      <alignment horizontal="center" vertical="center"/>
    </xf>
    <xf numFmtId="0" fontId="6" fillId="0" borderId="46" xfId="0" applyFont="1" applyBorder="1" applyAlignment="1">
      <alignment horizontal="center" vertical="center"/>
    </xf>
    <xf numFmtId="0" fontId="6" fillId="0" borderId="44" xfId="0" applyFont="1" applyBorder="1" applyAlignment="1">
      <alignment horizontal="center" vertical="center"/>
    </xf>
    <xf numFmtId="0" fontId="6" fillId="0" borderId="64" xfId="0" applyFont="1" applyFill="1" applyBorder="1" applyAlignment="1">
      <alignment horizontal="center" vertical="center"/>
    </xf>
    <xf numFmtId="0" fontId="6" fillId="0" borderId="151" xfId="0" applyFont="1" applyFill="1" applyBorder="1" applyAlignment="1">
      <alignment horizontal="center" vertical="center"/>
    </xf>
    <xf numFmtId="180" fontId="26" fillId="0" borderId="138" xfId="0" applyNumberFormat="1" applyFont="1" applyFill="1" applyBorder="1" applyAlignment="1">
      <alignment horizontal="center" vertical="center"/>
    </xf>
    <xf numFmtId="180" fontId="26" fillId="0" borderId="127" xfId="0" applyNumberFormat="1" applyFont="1" applyFill="1" applyBorder="1" applyAlignment="1">
      <alignment horizontal="center" vertical="center"/>
    </xf>
    <xf numFmtId="38" fontId="6" fillId="0" borderId="140" xfId="0" applyNumberFormat="1" applyFont="1" applyFill="1" applyBorder="1" applyAlignment="1">
      <alignment horizontal="right" vertical="center"/>
    </xf>
    <xf numFmtId="0" fontId="6" fillId="0" borderId="113" xfId="0" applyNumberFormat="1" applyFont="1" applyFill="1" applyBorder="1" applyAlignment="1">
      <alignment horizontal="right" vertical="center"/>
    </xf>
    <xf numFmtId="180" fontId="6" fillId="0" borderId="105" xfId="0" applyNumberFormat="1" applyFont="1" applyFill="1" applyBorder="1" applyAlignment="1">
      <alignment horizontal="center" vertical="center" textRotation="255"/>
    </xf>
    <xf numFmtId="180" fontId="6" fillId="0" borderId="99" xfId="0" applyNumberFormat="1" applyFont="1" applyFill="1" applyBorder="1" applyAlignment="1">
      <alignment horizontal="center" vertical="center" textRotation="255"/>
    </xf>
    <xf numFmtId="180" fontId="6" fillId="0" borderId="155" xfId="0" applyNumberFormat="1" applyFont="1" applyFill="1" applyBorder="1" applyAlignment="1">
      <alignment horizontal="center" vertical="center" textRotation="255"/>
    </xf>
    <xf numFmtId="0" fontId="15" fillId="0" borderId="151" xfId="0" applyFont="1" applyBorder="1" applyAlignment="1">
      <alignment horizontal="center" vertical="center" textRotation="255" wrapText="1"/>
    </xf>
    <xf numFmtId="0" fontId="15" fillId="0" borderId="130" xfId="0" applyFont="1" applyBorder="1" applyAlignment="1">
      <alignment horizontal="center" vertical="center" textRotation="255" wrapText="1"/>
    </xf>
    <xf numFmtId="0" fontId="15" fillId="0" borderId="136" xfId="0" applyFont="1" applyBorder="1" applyAlignment="1">
      <alignment horizontal="center" vertical="center" textRotation="255" wrapText="1"/>
    </xf>
    <xf numFmtId="0" fontId="15" fillId="0" borderId="138" xfId="0" applyFont="1" applyBorder="1" applyAlignment="1">
      <alignment horizontal="center" vertical="center" textRotation="255" wrapText="1"/>
    </xf>
    <xf numFmtId="0" fontId="15" fillId="0" borderId="131" xfId="0" applyFont="1" applyBorder="1" applyAlignment="1">
      <alignment horizontal="center" vertical="center" textRotation="255" wrapText="1"/>
    </xf>
    <xf numFmtId="0" fontId="15" fillId="0" borderId="127" xfId="0" applyFont="1" applyBorder="1" applyAlignment="1">
      <alignment horizontal="center" vertical="center" textRotation="255" wrapText="1"/>
    </xf>
    <xf numFmtId="3" fontId="6" fillId="0" borderId="140" xfId="0" applyNumberFormat="1" applyFont="1" applyFill="1" applyBorder="1" applyAlignment="1">
      <alignment horizontal="right" vertical="center"/>
    </xf>
    <xf numFmtId="3" fontId="6" fillId="0" borderId="156" xfId="0" applyNumberFormat="1" applyFont="1" applyFill="1" applyBorder="1" applyAlignment="1">
      <alignment horizontal="right" vertical="center"/>
    </xf>
    <xf numFmtId="0" fontId="6" fillId="0" borderId="128" xfId="0" applyFont="1" applyFill="1" applyBorder="1" applyAlignment="1">
      <alignment horizontal="center" vertical="center"/>
    </xf>
    <xf numFmtId="0" fontId="6" fillId="0" borderId="129" xfId="0" applyFont="1" applyFill="1" applyBorder="1" applyAlignment="1">
      <alignment horizontal="center" vertical="center"/>
    </xf>
    <xf numFmtId="3" fontId="6" fillId="0" borderId="27" xfId="0" applyNumberFormat="1" applyFont="1" applyFill="1" applyBorder="1" applyAlignment="1">
      <alignment horizontal="right" vertical="center"/>
    </xf>
    <xf numFmtId="0" fontId="27" fillId="0" borderId="138" xfId="0" applyFont="1" applyBorder="1" applyAlignment="1">
      <alignment horizontal="center" vertical="center"/>
    </xf>
    <xf numFmtId="0" fontId="27" fillId="0" borderId="25" xfId="0" applyFont="1" applyBorder="1" applyAlignment="1">
      <alignment horizontal="center" vertical="center"/>
    </xf>
    <xf numFmtId="3" fontId="6" fillId="0" borderId="133" xfId="0" applyNumberFormat="1" applyFont="1" applyFill="1" applyBorder="1" applyAlignment="1">
      <alignment horizontal="center" vertical="center"/>
    </xf>
    <xf numFmtId="3" fontId="6" fillId="0" borderId="134" xfId="0" applyNumberFormat="1" applyFont="1" applyFill="1" applyBorder="1" applyAlignment="1">
      <alignment horizontal="center" vertical="center"/>
    </xf>
    <xf numFmtId="3" fontId="6" fillId="0" borderId="142" xfId="0" applyNumberFormat="1" applyFont="1" applyFill="1" applyBorder="1" applyAlignment="1">
      <alignment horizontal="center" vertical="center"/>
    </xf>
    <xf numFmtId="3" fontId="6" fillId="0" borderId="26" xfId="0" applyNumberFormat="1" applyFont="1" applyFill="1" applyBorder="1" applyAlignment="1">
      <alignment horizontal="center" vertical="center"/>
    </xf>
    <xf numFmtId="3" fontId="26" fillId="0" borderId="138" xfId="0" applyNumberFormat="1" applyFont="1" applyFill="1" applyBorder="1" applyAlignment="1">
      <alignment horizontal="center" vertical="center"/>
    </xf>
    <xf numFmtId="3" fontId="26" fillId="0" borderId="25" xfId="0" applyNumberFormat="1" applyFont="1" applyFill="1" applyBorder="1" applyAlignment="1">
      <alignment horizontal="center" vertical="center"/>
    </xf>
    <xf numFmtId="0" fontId="6" fillId="0" borderId="116" xfId="0" applyFont="1" applyFill="1" applyBorder="1" applyAlignment="1">
      <alignment horizontal="center" vertical="center" textRotation="255"/>
    </xf>
    <xf numFmtId="0" fontId="6" fillId="0" borderId="99" xfId="0" applyFont="1" applyFill="1" applyBorder="1" applyAlignment="1">
      <alignment horizontal="center" vertical="center" textRotation="255"/>
    </xf>
    <xf numFmtId="0" fontId="6" fillId="0" borderId="155" xfId="0" applyFont="1" applyFill="1" applyBorder="1" applyAlignment="1">
      <alignment horizontal="center" vertical="center" textRotation="255"/>
    </xf>
    <xf numFmtId="0" fontId="15" fillId="0" borderId="78" xfId="0" applyFont="1" applyBorder="1" applyAlignment="1">
      <alignment horizontal="center" vertical="center" textRotation="255" wrapText="1"/>
    </xf>
    <xf numFmtId="0" fontId="15" fillId="0" borderId="154" xfId="0" applyFont="1" applyBorder="1" applyAlignment="1">
      <alignment horizontal="center" vertical="center" textRotation="255" wrapText="1"/>
    </xf>
    <xf numFmtId="0" fontId="6" fillId="0" borderId="133" xfId="0" applyFont="1" applyFill="1" applyBorder="1" applyAlignment="1">
      <alignment horizontal="center" vertical="center"/>
    </xf>
    <xf numFmtId="0" fontId="6" fillId="0" borderId="134" xfId="0" applyFont="1" applyFill="1" applyBorder="1" applyAlignment="1">
      <alignment horizontal="center" vertical="center"/>
    </xf>
    <xf numFmtId="0" fontId="6" fillId="0" borderId="135" xfId="0" applyFont="1" applyFill="1" applyBorder="1" applyAlignment="1">
      <alignment horizontal="center" vertical="center"/>
    </xf>
    <xf numFmtId="0" fontId="6" fillId="0" borderId="136" xfId="0" applyFont="1" applyFill="1" applyBorder="1" applyAlignment="1">
      <alignment horizontal="center" vertical="center"/>
    </xf>
    <xf numFmtId="3" fontId="26" fillId="0" borderId="139" xfId="0" applyNumberFormat="1" applyFont="1" applyFill="1" applyBorder="1" applyAlignment="1">
      <alignment horizontal="center" vertical="center"/>
    </xf>
    <xf numFmtId="0" fontId="6" fillId="0" borderId="153" xfId="0" applyFont="1" applyFill="1" applyBorder="1" applyAlignment="1">
      <alignment horizontal="center" vertical="center" textRotation="255"/>
    </xf>
    <xf numFmtId="0" fontId="6" fillId="0" borderId="100" xfId="0" applyFont="1" applyFill="1" applyBorder="1" applyAlignment="1">
      <alignment horizontal="center" vertical="center" textRotation="255"/>
    </xf>
    <xf numFmtId="0" fontId="21" fillId="0" borderId="149" xfId="0" applyFont="1" applyBorder="1" applyAlignment="1">
      <alignment horizontal="center" vertical="center" wrapText="1"/>
    </xf>
    <xf numFmtId="0" fontId="21" fillId="0" borderId="150" xfId="0" applyFont="1" applyBorder="1" applyAlignment="1">
      <alignment horizontal="center" vertical="center" wrapText="1"/>
    </xf>
    <xf numFmtId="0" fontId="15" fillId="15" borderId="149" xfId="0" applyFont="1" applyFill="1" applyBorder="1" applyAlignment="1">
      <alignment horizontal="center" vertical="center"/>
    </xf>
    <xf numFmtId="0" fontId="15" fillId="15" borderId="150" xfId="0" applyFont="1" applyFill="1" applyBorder="1" applyAlignment="1">
      <alignment horizontal="center" vertical="center"/>
    </xf>
    <xf numFmtId="0" fontId="15" fillId="0" borderId="152" xfId="0" applyFont="1" applyBorder="1" applyAlignment="1">
      <alignment horizontal="center" vertical="center" wrapText="1"/>
    </xf>
    <xf numFmtId="0" fontId="15" fillId="0" borderId="134" xfId="0" applyFont="1" applyBorder="1" applyAlignment="1">
      <alignment horizontal="center" vertical="center" wrapText="1"/>
    </xf>
    <xf numFmtId="0" fontId="15" fillId="0" borderId="24" xfId="0" applyFont="1" applyBorder="1" applyAlignment="1">
      <alignment horizontal="center" vertical="center" wrapText="1"/>
    </xf>
    <xf numFmtId="0" fontId="15" fillId="0" borderId="26" xfId="0" applyFont="1" applyBorder="1" applyAlignment="1">
      <alignment horizontal="center" vertical="center" wrapText="1"/>
    </xf>
    <xf numFmtId="3" fontId="4" fillId="15" borderId="215" xfId="0" applyNumberFormat="1" applyFont="1" applyFill="1" applyBorder="1" applyAlignment="1">
      <alignment horizontal="center" vertical="center"/>
    </xf>
    <xf numFmtId="3" fontId="4" fillId="15" borderId="165" xfId="0" applyNumberFormat="1" applyFont="1" applyFill="1" applyBorder="1" applyAlignment="1">
      <alignment horizontal="center" vertical="center"/>
    </xf>
    <xf numFmtId="3" fontId="4" fillId="15" borderId="161" xfId="0" applyNumberFormat="1" applyFont="1" applyFill="1" applyBorder="1" applyAlignment="1">
      <alignment horizontal="center" vertical="center"/>
    </xf>
    <xf numFmtId="3" fontId="4" fillId="15" borderId="176" xfId="0" applyNumberFormat="1" applyFont="1" applyFill="1" applyBorder="1" applyAlignment="1">
      <alignment horizontal="center" vertical="center"/>
    </xf>
    <xf numFmtId="3" fontId="4" fillId="4" borderId="165" xfId="0" applyNumberFormat="1" applyFont="1" applyFill="1" applyBorder="1" applyAlignment="1">
      <alignment horizontal="center" vertical="center"/>
    </xf>
    <xf numFmtId="3" fontId="4" fillId="4" borderId="76" xfId="0" applyNumberFormat="1" applyFont="1" applyFill="1" applyBorder="1" applyAlignment="1">
      <alignment horizontal="center" vertical="center"/>
    </xf>
    <xf numFmtId="3" fontId="4" fillId="15" borderId="172" xfId="0" applyNumberFormat="1" applyFont="1" applyFill="1" applyBorder="1" applyAlignment="1">
      <alignment horizontal="center" vertical="center" wrapText="1"/>
    </xf>
    <xf numFmtId="3" fontId="4" fillId="15" borderId="164" xfId="0" applyNumberFormat="1" applyFont="1" applyFill="1" applyBorder="1" applyAlignment="1">
      <alignment horizontal="center" vertical="center"/>
    </xf>
    <xf numFmtId="3" fontId="4" fillId="15" borderId="174" xfId="0" applyNumberFormat="1" applyFont="1" applyFill="1" applyBorder="1" applyAlignment="1">
      <alignment horizontal="center" vertical="center"/>
    </xf>
    <xf numFmtId="0" fontId="18" fillId="4" borderId="160" xfId="0" applyFont="1" applyFill="1" applyBorder="1" applyAlignment="1">
      <alignment horizontal="center" vertical="center" wrapText="1"/>
    </xf>
    <xf numFmtId="0" fontId="18" fillId="4" borderId="164" xfId="0" applyFont="1" applyFill="1" applyBorder="1" applyAlignment="1">
      <alignment horizontal="center" vertical="center" wrapText="1"/>
    </xf>
    <xf numFmtId="0" fontId="18" fillId="4" borderId="167" xfId="0" applyFont="1" applyFill="1" applyBorder="1" applyAlignment="1">
      <alignment horizontal="center" vertical="center" wrapText="1"/>
    </xf>
    <xf numFmtId="0" fontId="18" fillId="4" borderId="161" xfId="0" applyFont="1" applyFill="1" applyBorder="1" applyAlignment="1">
      <alignment horizontal="center" vertical="center"/>
    </xf>
    <xf numFmtId="0" fontId="18" fillId="4" borderId="76" xfId="0" applyFont="1" applyFill="1" applyBorder="1" applyAlignment="1">
      <alignment horizontal="center" vertical="center"/>
    </xf>
    <xf numFmtId="180" fontId="4" fillId="0" borderId="158" xfId="0" applyNumberFormat="1" applyFont="1" applyFill="1" applyBorder="1" applyAlignment="1">
      <alignment horizontal="center" vertical="center"/>
    </xf>
    <xf numFmtId="180" fontId="4" fillId="0" borderId="159" xfId="0" applyNumberFormat="1" applyFont="1" applyFill="1" applyBorder="1" applyAlignment="1">
      <alignment horizontal="center" vertical="center"/>
    </xf>
    <xf numFmtId="0" fontId="18" fillId="0" borderId="167" xfId="0" applyFont="1" applyBorder="1" applyAlignment="1">
      <alignment horizontal="left" vertical="center" wrapText="1"/>
    </xf>
    <xf numFmtId="0" fontId="18" fillId="0" borderId="76" xfId="0" applyFont="1" applyBorder="1" applyAlignment="1">
      <alignment horizontal="left" vertical="center" wrapText="1"/>
    </xf>
    <xf numFmtId="0" fontId="18" fillId="0" borderId="168" xfId="0" applyFont="1" applyBorder="1" applyAlignment="1">
      <alignment horizontal="left" vertical="center" wrapText="1"/>
    </xf>
    <xf numFmtId="0" fontId="18" fillId="0" borderId="169" xfId="0" applyFont="1" applyBorder="1" applyAlignment="1">
      <alignment horizontal="left" vertical="center" wrapText="1"/>
    </xf>
    <xf numFmtId="0" fontId="18" fillId="0" borderId="161" xfId="0" applyFont="1" applyBorder="1" applyAlignment="1">
      <alignment horizontal="center" vertical="center"/>
    </xf>
    <xf numFmtId="0" fontId="18" fillId="0" borderId="165" xfId="0" applyFont="1" applyBorder="1" applyAlignment="1">
      <alignment horizontal="center" vertical="center"/>
    </xf>
    <xf numFmtId="0" fontId="18" fillId="0" borderId="170" xfId="0" applyFont="1" applyBorder="1" applyAlignment="1">
      <alignment horizontal="center" vertical="center"/>
    </xf>
    <xf numFmtId="0" fontId="18" fillId="0" borderId="70" xfId="0" applyFont="1" applyBorder="1" applyAlignment="1">
      <alignment horizontal="left" vertical="center" wrapText="1"/>
    </xf>
    <xf numFmtId="0" fontId="18" fillId="0" borderId="163" xfId="0" applyFont="1" applyBorder="1" applyAlignment="1">
      <alignment horizontal="left" vertical="center" wrapText="1"/>
    </xf>
    <xf numFmtId="0" fontId="18" fillId="0" borderId="160" xfId="0" applyFont="1" applyBorder="1" applyAlignment="1">
      <alignment horizontal="left" vertical="center" wrapText="1"/>
    </xf>
    <xf numFmtId="0" fontId="18" fillId="0" borderId="161" xfId="0" applyFont="1" applyBorder="1" applyAlignment="1">
      <alignment horizontal="left" vertical="center" wrapText="1"/>
    </xf>
    <xf numFmtId="184" fontId="15" fillId="4" borderId="162" xfId="0" applyNumberFormat="1" applyFont="1" applyFill="1" applyBorder="1" applyAlignment="1">
      <alignment vertical="center" wrapText="1"/>
    </xf>
    <xf numFmtId="184" fontId="15" fillId="4" borderId="80" xfId="0" applyNumberFormat="1" applyFont="1" applyFill="1" applyBorder="1" applyAlignment="1">
      <alignment vertical="center" wrapText="1"/>
    </xf>
    <xf numFmtId="184" fontId="15" fillId="4" borderId="166" xfId="0" applyNumberFormat="1" applyFont="1" applyFill="1" applyBorder="1" applyAlignment="1">
      <alignment vertical="center" wrapText="1"/>
    </xf>
    <xf numFmtId="184" fontId="15" fillId="15" borderId="214" xfId="0" applyNumberFormat="1" applyFont="1" applyFill="1" applyBorder="1" applyAlignment="1">
      <alignment vertical="center" wrapText="1"/>
    </xf>
    <xf numFmtId="184" fontId="15" fillId="15" borderId="166" xfId="0" applyNumberFormat="1" applyFont="1" applyFill="1" applyBorder="1" applyAlignment="1">
      <alignment vertical="center" wrapText="1"/>
    </xf>
    <xf numFmtId="184" fontId="15" fillId="15" borderId="162" xfId="0" applyNumberFormat="1" applyFont="1" applyFill="1" applyBorder="1" applyAlignment="1">
      <alignment vertical="center" wrapText="1"/>
    </xf>
    <xf numFmtId="184" fontId="15" fillId="15" borderId="177" xfId="0" applyNumberFormat="1" applyFont="1" applyFill="1" applyBorder="1" applyAlignment="1">
      <alignment vertical="center" wrapText="1"/>
    </xf>
    <xf numFmtId="184" fontId="15" fillId="0" borderId="162" xfId="0" applyNumberFormat="1" applyFont="1" applyBorder="1" applyAlignment="1">
      <alignment vertical="center" wrapText="1"/>
    </xf>
    <xf numFmtId="184" fontId="15" fillId="0" borderId="166" xfId="0" applyNumberFormat="1" applyFont="1" applyBorder="1" applyAlignment="1">
      <alignment vertical="center" wrapText="1"/>
    </xf>
    <xf numFmtId="184" fontId="15" fillId="0" borderId="80" xfId="0" applyNumberFormat="1" applyFont="1" applyBorder="1" applyAlignment="1">
      <alignment vertical="center"/>
    </xf>
    <xf numFmtId="184" fontId="15" fillId="0" borderId="213" xfId="0" applyNumberFormat="1" applyFont="1" applyBorder="1" applyAlignment="1">
      <alignment vertical="center"/>
    </xf>
    <xf numFmtId="0" fontId="9" fillId="0" borderId="186" xfId="0" applyFont="1" applyFill="1" applyBorder="1" applyAlignment="1">
      <alignment horizontal="center" vertical="center" wrapText="1"/>
    </xf>
    <xf numFmtId="0" fontId="9" fillId="0" borderId="72" xfId="0" applyFont="1" applyFill="1" applyBorder="1" applyAlignment="1">
      <alignment horizontal="center" vertical="center" wrapText="1"/>
    </xf>
    <xf numFmtId="180" fontId="9" fillId="0" borderId="187" xfId="0" applyNumberFormat="1" applyFont="1" applyFill="1" applyBorder="1" applyAlignment="1">
      <alignment horizontal="center" vertical="center" wrapText="1"/>
    </xf>
    <xf numFmtId="180" fontId="9" fillId="0" borderId="171" xfId="0" applyNumberFormat="1" applyFont="1" applyFill="1" applyBorder="1" applyAlignment="1">
      <alignment horizontal="center" vertical="center" wrapText="1"/>
    </xf>
    <xf numFmtId="180" fontId="9" fillId="0" borderId="184" xfId="0" applyNumberFormat="1" applyFont="1" applyFill="1" applyBorder="1" applyAlignment="1">
      <alignment horizontal="center" vertical="center" wrapText="1"/>
    </xf>
    <xf numFmtId="180" fontId="9" fillId="0" borderId="289" xfId="0" applyNumberFormat="1" applyFont="1" applyFill="1" applyBorder="1" applyAlignment="1">
      <alignment horizontal="center" vertical="center" wrapText="1"/>
    </xf>
    <xf numFmtId="180" fontId="9" fillId="0" borderId="290" xfId="0" applyNumberFormat="1" applyFont="1" applyFill="1" applyBorder="1" applyAlignment="1">
      <alignment horizontal="center" vertical="center" wrapText="1"/>
    </xf>
    <xf numFmtId="180" fontId="9" fillId="0" borderId="266" xfId="0" applyNumberFormat="1" applyFont="1" applyFill="1" applyBorder="1" applyAlignment="1">
      <alignment horizontal="center" vertical="center" wrapText="1"/>
    </xf>
    <xf numFmtId="180" fontId="9" fillId="0" borderId="291" xfId="0" applyNumberFormat="1" applyFont="1" applyFill="1" applyBorder="1" applyAlignment="1">
      <alignment horizontal="center" vertical="center" wrapText="1"/>
    </xf>
    <xf numFmtId="180" fontId="9" fillId="0" borderId="192" xfId="0" applyNumberFormat="1" applyFont="1" applyFill="1" applyBorder="1" applyAlignment="1">
      <alignment horizontal="center" vertical="center" wrapText="1"/>
    </xf>
    <xf numFmtId="180" fontId="9" fillId="0" borderId="47" xfId="0" applyNumberFormat="1" applyFont="1" applyFill="1" applyBorder="1" applyAlignment="1">
      <alignment horizontal="center" vertical="center" wrapText="1"/>
    </xf>
    <xf numFmtId="0" fontId="16" fillId="0" borderId="171" xfId="0" applyFont="1" applyBorder="1" applyAlignment="1">
      <alignment horizontal="center" vertical="center" wrapText="1"/>
    </xf>
    <xf numFmtId="0" fontId="16" fillId="0" borderId="184" xfId="0" applyFont="1" applyBorder="1" applyAlignment="1">
      <alignment horizontal="center" vertical="center" wrapText="1"/>
    </xf>
    <xf numFmtId="0" fontId="9" fillId="0" borderId="188" xfId="0" applyFont="1" applyBorder="1" applyAlignment="1">
      <alignment horizontal="center" vertical="center"/>
    </xf>
    <xf numFmtId="0" fontId="9" fillId="0" borderId="189" xfId="0" applyFont="1" applyBorder="1" applyAlignment="1">
      <alignment horizontal="center" vertical="center"/>
    </xf>
    <xf numFmtId="0" fontId="9" fillId="0" borderId="183" xfId="0" applyFont="1" applyBorder="1" applyAlignment="1">
      <alignment horizontal="center" vertical="center"/>
    </xf>
    <xf numFmtId="3" fontId="9" fillId="0" borderId="171" xfId="0" applyNumberFormat="1" applyFont="1" applyFill="1" applyBorder="1" applyAlignment="1">
      <alignment horizontal="center" vertical="center" wrapText="1"/>
    </xf>
    <xf numFmtId="3" fontId="9" fillId="0" borderId="184" xfId="0" applyNumberFormat="1" applyFont="1" applyFill="1" applyBorder="1" applyAlignment="1">
      <alignment horizontal="center" vertical="center" wrapText="1"/>
    </xf>
    <xf numFmtId="0" fontId="3" fillId="0" borderId="143" xfId="0" applyFont="1" applyBorder="1" applyAlignment="1">
      <alignment horizontal="center" vertical="center"/>
    </xf>
    <xf numFmtId="0" fontId="3" fillId="0" borderId="157" xfId="0" applyFont="1" applyBorder="1" applyAlignment="1">
      <alignment horizontal="center" vertical="center"/>
    </xf>
    <xf numFmtId="0" fontId="3" fillId="0" borderId="144" xfId="0" applyFont="1" applyBorder="1" applyAlignment="1">
      <alignment horizontal="center" vertical="center"/>
    </xf>
    <xf numFmtId="0" fontId="3" fillId="0" borderId="41" xfId="0" applyFont="1" applyBorder="1" applyAlignment="1">
      <alignment horizontal="center" vertical="center"/>
    </xf>
    <xf numFmtId="0" fontId="3" fillId="0" borderId="42" xfId="0" applyFont="1" applyBorder="1" applyAlignment="1">
      <alignment horizontal="center" vertical="center"/>
    </xf>
    <xf numFmtId="0" fontId="3" fillId="0" borderId="45" xfId="0" applyFont="1" applyBorder="1" applyAlignment="1">
      <alignment horizontal="center" vertical="center"/>
    </xf>
    <xf numFmtId="0" fontId="6" fillId="0" borderId="48" xfId="0" applyFont="1" applyBorder="1" applyAlignment="1">
      <alignment horizontal="center" vertical="center"/>
    </xf>
    <xf numFmtId="0" fontId="6" fillId="0" borderId="42" xfId="0" applyFont="1" applyBorder="1" applyAlignment="1">
      <alignment horizontal="center" vertical="center"/>
    </xf>
    <xf numFmtId="0" fontId="6" fillId="0" borderId="51" xfId="0" applyFont="1" applyBorder="1" applyAlignment="1">
      <alignment horizontal="center" vertical="center"/>
    </xf>
    <xf numFmtId="0" fontId="6" fillId="0" borderId="198" xfId="0" applyFont="1" applyBorder="1" applyAlignment="1">
      <alignment horizontal="center" vertical="center"/>
    </xf>
    <xf numFmtId="0" fontId="6" fillId="0" borderId="109" xfId="0" applyFont="1" applyFill="1" applyBorder="1" applyAlignment="1">
      <alignment horizontal="center" vertical="center" textRotation="255"/>
    </xf>
    <xf numFmtId="0" fontId="6" fillId="0" borderId="121" xfId="0" applyFont="1" applyFill="1" applyBorder="1" applyAlignment="1">
      <alignment horizontal="center" vertical="center" textRotation="255"/>
    </xf>
    <xf numFmtId="0" fontId="6" fillId="0" borderId="127" xfId="0" applyFont="1" applyFill="1" applyBorder="1" applyAlignment="1">
      <alignment horizontal="left" vertical="center"/>
    </xf>
    <xf numFmtId="180" fontId="6" fillId="0" borderId="109" xfId="0" applyNumberFormat="1" applyFont="1" applyFill="1" applyBorder="1" applyAlignment="1">
      <alignment horizontal="center" vertical="center" textRotation="255"/>
    </xf>
    <xf numFmtId="180" fontId="6" fillId="0" borderId="121" xfId="0" applyNumberFormat="1" applyFont="1" applyFill="1" applyBorder="1" applyAlignment="1">
      <alignment horizontal="center" vertical="center" textRotation="255"/>
    </xf>
    <xf numFmtId="180" fontId="6" fillId="0" borderId="127" xfId="0" applyNumberFormat="1" applyFont="1" applyFill="1" applyBorder="1" applyAlignment="1">
      <alignment horizontal="center" vertical="center" textRotation="255"/>
    </xf>
    <xf numFmtId="180" fontId="6" fillId="0" borderId="125" xfId="0" applyNumberFormat="1" applyFont="1" applyFill="1" applyBorder="1" applyAlignment="1">
      <alignment horizontal="center" vertical="center" textRotation="255"/>
    </xf>
    <xf numFmtId="0" fontId="6" fillId="0" borderId="125" xfId="0" applyFont="1" applyFill="1" applyBorder="1" applyAlignment="1">
      <alignment horizontal="left" vertical="center"/>
    </xf>
    <xf numFmtId="3" fontId="6" fillId="0" borderId="125" xfId="0" applyNumberFormat="1" applyFont="1" applyFill="1" applyBorder="1" applyAlignment="1">
      <alignment horizontal="left" vertical="center"/>
    </xf>
    <xf numFmtId="3" fontId="6" fillId="0" borderId="78" xfId="0" applyNumberFormat="1" applyFont="1" applyFill="1" applyBorder="1" applyAlignment="1">
      <alignment horizontal="left" vertical="center"/>
    </xf>
    <xf numFmtId="0" fontId="6" fillId="0" borderId="203" xfId="0" applyFont="1" applyFill="1" applyBorder="1" applyAlignment="1">
      <alignment horizontal="center" vertical="center"/>
    </xf>
    <xf numFmtId="0" fontId="6" fillId="0" borderId="149" xfId="0" applyFont="1" applyFill="1" applyBorder="1" applyAlignment="1">
      <alignment horizontal="center" vertical="center"/>
    </xf>
    <xf numFmtId="0" fontId="6" fillId="0" borderId="150" xfId="0" applyFont="1" applyFill="1" applyBorder="1" applyAlignment="1">
      <alignment horizontal="center" vertical="center"/>
    </xf>
    <xf numFmtId="3" fontId="6" fillId="0" borderId="127" xfId="0" applyNumberFormat="1" applyFont="1" applyFill="1" applyBorder="1" applyAlignment="1">
      <alignment horizontal="left" vertical="center"/>
    </xf>
    <xf numFmtId="3" fontId="6" fillId="0" borderId="125" xfId="0" applyNumberFormat="1" applyFont="1" applyFill="1" applyBorder="1" applyAlignment="1">
      <alignment horizontal="center" vertical="center"/>
    </xf>
    <xf numFmtId="0" fontId="10" fillId="0" borderId="78" xfId="0" applyFont="1" applyFill="1" applyBorder="1" applyAlignment="1">
      <alignment horizontal="center" vertical="center" textRotation="255"/>
    </xf>
    <xf numFmtId="0" fontId="10" fillId="0" borderId="131" xfId="0" applyFont="1" applyFill="1" applyBorder="1" applyAlignment="1">
      <alignment horizontal="center" vertical="center" textRotation="255"/>
    </xf>
    <xf numFmtId="0" fontId="10" fillId="0" borderId="25" xfId="0" applyFont="1" applyFill="1" applyBorder="1" applyAlignment="1">
      <alignment horizontal="center" vertical="center" textRotation="255"/>
    </xf>
    <xf numFmtId="3" fontId="6" fillId="0" borderId="121" xfId="0" applyNumberFormat="1" applyFont="1" applyFill="1" applyBorder="1" applyAlignment="1">
      <alignment horizontal="center" vertical="center"/>
    </xf>
    <xf numFmtId="3" fontId="6" fillId="0" borderId="204" xfId="0" applyNumberFormat="1" applyFont="1" applyFill="1" applyBorder="1" applyAlignment="1">
      <alignment horizontal="center" vertical="center"/>
    </xf>
    <xf numFmtId="3" fontId="6" fillId="0" borderId="126" xfId="0" applyNumberFormat="1" applyFont="1" applyFill="1" applyBorder="1" applyAlignment="1">
      <alignment horizontal="center" vertical="center"/>
    </xf>
    <xf numFmtId="0" fontId="4" fillId="0" borderId="48" xfId="0" applyFont="1" applyBorder="1" applyAlignment="1">
      <alignment horizontal="center" vertical="center"/>
    </xf>
    <xf numFmtId="0" fontId="4" fillId="0" borderId="51" xfId="0" applyFont="1" applyBorder="1" applyAlignment="1">
      <alignment horizontal="center" vertical="center"/>
    </xf>
    <xf numFmtId="0" fontId="4" fillId="0" borderId="109" xfId="0" applyFont="1" applyBorder="1" applyAlignment="1">
      <alignment horizontal="center" vertical="center"/>
    </xf>
    <xf numFmtId="0" fontId="4" fillId="0" borderId="124" xfId="0" applyFont="1" applyBorder="1" applyAlignment="1">
      <alignment horizontal="center" vertical="center"/>
    </xf>
    <xf numFmtId="0" fontId="4" fillId="0" borderId="144" xfId="0" applyFont="1" applyBorder="1" applyAlignment="1">
      <alignment horizontal="center" vertical="center"/>
    </xf>
    <xf numFmtId="0" fontId="4" fillId="0" borderId="46" xfId="0" applyFont="1" applyBorder="1" applyAlignment="1">
      <alignment horizontal="center" vertical="center"/>
    </xf>
    <xf numFmtId="0" fontId="4" fillId="0" borderId="68" xfId="0" applyFont="1" applyBorder="1" applyAlignment="1">
      <alignment horizontal="center" vertical="center"/>
    </xf>
    <xf numFmtId="0" fontId="4" fillId="0" borderId="145" xfId="0" applyFont="1" applyBorder="1" applyAlignment="1">
      <alignment horizontal="center" vertical="center"/>
    </xf>
    <xf numFmtId="0" fontId="4" fillId="0" borderId="42" xfId="0" applyFont="1" applyBorder="1" applyAlignment="1">
      <alignment horizontal="center" vertical="center"/>
    </xf>
    <xf numFmtId="0" fontId="4" fillId="0" borderId="45" xfId="0" applyFont="1" applyBorder="1" applyAlignment="1">
      <alignment horizontal="center" vertical="center"/>
    </xf>
    <xf numFmtId="0" fontId="4" fillId="0" borderId="294" xfId="0" applyFont="1" applyBorder="1" applyAlignment="1">
      <alignment horizontal="center" vertical="center"/>
    </xf>
    <xf numFmtId="0" fontId="4" fillId="0" borderId="295" xfId="0" applyFont="1" applyBorder="1" applyAlignment="1">
      <alignment horizontal="center" vertical="center"/>
    </xf>
    <xf numFmtId="0" fontId="4" fillId="0" borderId="296" xfId="0" applyFont="1" applyBorder="1" applyAlignment="1">
      <alignment horizontal="center" vertical="center"/>
    </xf>
    <xf numFmtId="0" fontId="4" fillId="0" borderId="207" xfId="0" applyFont="1" applyBorder="1" applyAlignment="1">
      <alignment horizontal="center" vertical="center"/>
    </xf>
    <xf numFmtId="0" fontId="4" fillId="0" borderId="127" xfId="0" applyFont="1" applyBorder="1" applyAlignment="1">
      <alignment horizontal="center" vertical="center"/>
    </xf>
    <xf numFmtId="0" fontId="4" fillId="0" borderId="113" xfId="0" applyFont="1" applyBorder="1" applyAlignment="1">
      <alignment horizontal="center" vertical="center"/>
    </xf>
    <xf numFmtId="0" fontId="9" fillId="0" borderId="72" xfId="0" applyFont="1" applyFill="1" applyBorder="1" applyAlignment="1">
      <alignment horizontal="center" vertical="center"/>
    </xf>
    <xf numFmtId="180" fontId="9" fillId="0" borderId="171" xfId="0" applyNumberFormat="1" applyFont="1" applyFill="1" applyBorder="1" applyAlignment="1">
      <alignment horizontal="center" vertical="center"/>
    </xf>
    <xf numFmtId="180" fontId="9" fillId="0" borderId="184" xfId="0" applyNumberFormat="1" applyFont="1" applyFill="1" applyBorder="1" applyAlignment="1">
      <alignment horizontal="center" vertical="center"/>
    </xf>
    <xf numFmtId="0" fontId="4" fillId="0" borderId="121" xfId="0" applyFont="1" applyBorder="1" applyAlignment="1">
      <alignment horizontal="center" vertical="center"/>
    </xf>
    <xf numFmtId="0" fontId="4" fillId="0" borderId="123" xfId="0" applyFont="1" applyBorder="1" applyAlignment="1">
      <alignment horizontal="center" vertical="center"/>
    </xf>
    <xf numFmtId="0" fontId="4" fillId="0" borderId="178" xfId="0" applyFont="1" applyBorder="1" applyAlignment="1">
      <alignment horizontal="center" vertical="center"/>
    </xf>
    <xf numFmtId="0" fontId="4" fillId="0" borderId="293" xfId="0" applyFont="1" applyBorder="1" applyAlignment="1">
      <alignment horizontal="center" vertical="center"/>
    </xf>
    <xf numFmtId="0" fontId="4" fillId="0" borderId="297" xfId="0" applyFont="1" applyBorder="1" applyAlignment="1">
      <alignment horizontal="center" vertical="center"/>
    </xf>
    <xf numFmtId="0" fontId="4" fillId="0" borderId="208" xfId="0" applyFont="1" applyBorder="1" applyAlignment="1">
      <alignment horizontal="center" vertical="center"/>
    </xf>
    <xf numFmtId="0" fontId="4" fillId="0" borderId="125" xfId="0" applyFont="1" applyBorder="1" applyAlignment="1">
      <alignment horizontal="center" vertical="center"/>
    </xf>
    <xf numFmtId="0" fontId="4" fillId="0" borderId="122" xfId="0" applyFont="1" applyBorder="1" applyAlignment="1">
      <alignment horizontal="center" vertical="center"/>
    </xf>
    <xf numFmtId="0" fontId="4" fillId="0" borderId="204" xfId="0" applyFont="1" applyBorder="1" applyAlignment="1">
      <alignment horizontal="center" vertical="center"/>
    </xf>
    <xf numFmtId="0" fontId="4" fillId="0" borderId="126" xfId="0" applyFont="1" applyBorder="1" applyAlignment="1">
      <alignment horizontal="center" vertical="center"/>
    </xf>
    <xf numFmtId="0" fontId="4" fillId="0" borderId="185" xfId="0" applyFont="1" applyBorder="1" applyAlignment="1">
      <alignment horizontal="center" vertical="center"/>
    </xf>
    <xf numFmtId="0" fontId="4" fillId="0" borderId="209" xfId="0" applyFont="1" applyBorder="1" applyAlignment="1">
      <alignment horizontal="center" vertical="center"/>
    </xf>
    <xf numFmtId="0" fontId="4" fillId="0" borderId="210" xfId="0" applyFont="1" applyBorder="1" applyAlignment="1">
      <alignment horizontal="center" vertical="center"/>
    </xf>
    <xf numFmtId="0" fontId="4" fillId="0" borderId="211" xfId="0" applyFont="1" applyBorder="1" applyAlignment="1">
      <alignment horizontal="center" vertical="center"/>
    </xf>
    <xf numFmtId="0" fontId="4" fillId="0" borderId="36" xfId="0" applyFont="1" applyBorder="1" applyAlignment="1">
      <alignment horizontal="center" vertical="center"/>
    </xf>
    <xf numFmtId="0" fontId="4" fillId="0" borderId="100" xfId="0" applyFont="1" applyBorder="1" applyAlignment="1">
      <alignment horizontal="center" vertical="center"/>
    </xf>
    <xf numFmtId="0" fontId="4" fillId="0" borderId="34" xfId="0" applyFont="1" applyBorder="1" applyAlignment="1">
      <alignment horizontal="center" vertical="center"/>
    </xf>
    <xf numFmtId="0" fontId="4" fillId="0" borderId="91" xfId="0" applyFont="1" applyBorder="1" applyAlignment="1">
      <alignment horizontal="left" vertical="center"/>
    </xf>
    <xf numFmtId="0" fontId="4" fillId="0" borderId="212" xfId="0" applyFont="1" applyBorder="1" applyAlignment="1">
      <alignment horizontal="left" vertical="center"/>
    </xf>
    <xf numFmtId="0" fontId="4" fillId="0" borderId="38" xfId="0" applyFont="1" applyBorder="1" applyAlignment="1">
      <alignment horizontal="left" vertical="center"/>
    </xf>
    <xf numFmtId="0" fontId="4" fillId="0" borderId="298" xfId="0" applyFont="1" applyBorder="1" applyAlignment="1">
      <alignment horizontal="right" vertical="center"/>
    </xf>
    <xf numFmtId="0" fontId="4" fillId="0" borderId="24" xfId="0" applyFont="1" applyBorder="1" applyAlignment="1">
      <alignment horizontal="right" vertical="center"/>
    </xf>
    <xf numFmtId="0" fontId="4" fillId="0" borderId="299" xfId="0" applyFont="1" applyBorder="1" applyAlignment="1">
      <alignment horizontal="right" vertical="center"/>
    </xf>
    <xf numFmtId="0" fontId="16" fillId="0" borderId="184" xfId="0" applyFont="1" applyBorder="1" applyAlignment="1">
      <alignment horizontal="center" vertical="center"/>
    </xf>
    <xf numFmtId="0" fontId="7" fillId="0" borderId="0" xfId="0" applyNumberFormat="1" applyFont="1" applyFill="1" applyAlignment="1">
      <alignment horizontal="center"/>
    </xf>
    <xf numFmtId="0" fontId="3" fillId="7" borderId="51" xfId="0" applyFont="1" applyFill="1" applyBorder="1" applyAlignment="1">
      <alignment horizontal="center" vertical="center"/>
    </xf>
    <xf numFmtId="0" fontId="3" fillId="7" borderId="46" xfId="0" applyFont="1" applyFill="1" applyBorder="1" applyAlignment="1">
      <alignment horizontal="center" vertical="center"/>
    </xf>
    <xf numFmtId="0" fontId="3" fillId="7" borderId="44" xfId="0" applyFont="1" applyFill="1" applyBorder="1" applyAlignment="1">
      <alignment horizontal="center" vertical="center"/>
    </xf>
    <xf numFmtId="0" fontId="5" fillId="0" borderId="89" xfId="0" applyFont="1" applyFill="1" applyBorder="1" applyAlignment="1">
      <alignment horizontal="center" vertical="center"/>
    </xf>
    <xf numFmtId="0" fontId="5" fillId="0" borderId="233" xfId="0" applyFont="1" applyFill="1" applyBorder="1" applyAlignment="1">
      <alignment horizontal="center" vertical="center"/>
    </xf>
    <xf numFmtId="0" fontId="5" fillId="0" borderId="229" xfId="0" applyFont="1" applyFill="1" applyBorder="1" applyAlignment="1">
      <alignment horizontal="center" vertical="center"/>
    </xf>
    <xf numFmtId="0" fontId="5" fillId="0" borderId="231"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18" xfId="0" applyFont="1" applyFill="1" applyBorder="1" applyAlignment="1">
      <alignment horizontal="center" vertical="center"/>
    </xf>
    <xf numFmtId="0" fontId="5" fillId="0" borderId="233" xfId="0" applyFont="1" applyFill="1" applyBorder="1" applyAlignment="1" applyProtection="1">
      <alignment horizontal="center" vertical="center"/>
    </xf>
    <xf numFmtId="0" fontId="5" fillId="0" borderId="229" xfId="0" applyFont="1" applyFill="1" applyBorder="1" applyAlignment="1" applyProtection="1">
      <alignment horizontal="center" vertical="center"/>
    </xf>
    <xf numFmtId="0" fontId="5" fillId="0" borderId="231" xfId="0" applyFont="1" applyFill="1" applyBorder="1" applyAlignment="1" applyProtection="1">
      <alignment horizontal="center" vertical="center"/>
    </xf>
    <xf numFmtId="178" fontId="7" fillId="0" borderId="0" xfId="0" applyNumberFormat="1" applyFont="1" applyFill="1" applyAlignment="1" applyProtection="1">
      <alignment horizontal="center"/>
      <protection locked="0"/>
    </xf>
    <xf numFmtId="0" fontId="4" fillId="10" borderId="51" xfId="0" applyFont="1" applyFill="1" applyBorder="1" applyAlignment="1" applyProtection="1">
      <alignment horizontal="center" vertical="center"/>
      <protection locked="0"/>
    </xf>
    <xf numFmtId="0" fontId="4" fillId="10" borderId="46" xfId="0" applyFont="1" applyFill="1" applyBorder="1" applyAlignment="1" applyProtection="1">
      <alignment horizontal="center" vertical="center"/>
      <protection locked="0"/>
    </xf>
    <xf numFmtId="0" fontId="4" fillId="10" borderId="44" xfId="0" applyFont="1" applyFill="1" applyBorder="1" applyAlignment="1" applyProtection="1">
      <alignment horizontal="center" vertical="center"/>
      <protection locked="0"/>
    </xf>
    <xf numFmtId="0" fontId="5" fillId="0" borderId="66"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0" borderId="89"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xf>
    <xf numFmtId="0" fontId="5" fillId="0" borderId="30" xfId="0" applyFont="1" applyFill="1" applyBorder="1" applyAlignment="1" applyProtection="1">
      <alignment horizontal="center" vertical="center"/>
    </xf>
    <xf numFmtId="0" fontId="5" fillId="0" borderId="17" xfId="0" applyFont="1" applyFill="1" applyBorder="1" applyAlignment="1" applyProtection="1">
      <alignment horizontal="center" vertical="center"/>
    </xf>
    <xf numFmtId="0" fontId="43" fillId="0" borderId="233" xfId="0" applyFont="1" applyFill="1" applyBorder="1" applyAlignment="1" applyProtection="1">
      <alignment horizontal="center" vertical="center"/>
    </xf>
    <xf numFmtId="0" fontId="43" fillId="0" borderId="229" xfId="0" applyFont="1" applyFill="1" applyBorder="1" applyAlignment="1" applyProtection="1">
      <alignment horizontal="center" vertical="center"/>
    </xf>
    <xf numFmtId="0" fontId="43" fillId="0" borderId="231" xfId="0" applyFont="1" applyFill="1" applyBorder="1" applyAlignment="1" applyProtection="1">
      <alignment horizontal="center" vertical="center"/>
    </xf>
    <xf numFmtId="0" fontId="43" fillId="0" borderId="66" xfId="0" applyFont="1" applyFill="1" applyBorder="1" applyAlignment="1" applyProtection="1">
      <alignment horizontal="center" vertical="center"/>
      <protection locked="0"/>
    </xf>
    <xf numFmtId="0" fontId="43" fillId="0" borderId="67" xfId="0" applyFont="1" applyFill="1" applyBorder="1" applyAlignment="1" applyProtection="1">
      <alignment horizontal="center" vertical="center"/>
      <protection locked="0"/>
    </xf>
    <xf numFmtId="0" fontId="43" fillId="0" borderId="89" xfId="0" applyFont="1" applyFill="1" applyBorder="1" applyAlignment="1" applyProtection="1">
      <alignment horizontal="center" vertical="center"/>
      <protection locked="0"/>
    </xf>
    <xf numFmtId="0" fontId="43" fillId="0" borderId="13" xfId="0" applyFont="1" applyFill="1" applyBorder="1" applyAlignment="1" applyProtection="1">
      <alignment horizontal="center" vertical="center"/>
    </xf>
    <xf numFmtId="0" fontId="43" fillId="0" borderId="30" xfId="0" applyFont="1" applyFill="1" applyBorder="1" applyAlignment="1" applyProtection="1">
      <alignment horizontal="center" vertical="center"/>
    </xf>
    <xf numFmtId="0" fontId="43" fillId="0" borderId="17" xfId="0" applyFont="1" applyFill="1" applyBorder="1" applyAlignment="1" applyProtection="1">
      <alignment horizontal="center" vertical="center"/>
    </xf>
    <xf numFmtId="178" fontId="7" fillId="0" borderId="0" xfId="0" applyNumberFormat="1" applyFont="1" applyFill="1" applyAlignment="1" applyProtection="1">
      <alignment horizontal="center" vertical="center"/>
      <protection locked="0"/>
    </xf>
    <xf numFmtId="0" fontId="43" fillId="0" borderId="14" xfId="0" applyFont="1" applyFill="1" applyBorder="1" applyAlignment="1" applyProtection="1">
      <alignment horizontal="center" vertical="center"/>
    </xf>
    <xf numFmtId="0" fontId="43" fillId="0" borderId="31" xfId="0" applyFont="1" applyFill="1" applyBorder="1" applyAlignment="1" applyProtection="1">
      <alignment horizontal="center" vertical="center"/>
    </xf>
    <xf numFmtId="0" fontId="43" fillId="0" borderId="18" xfId="0" applyFont="1" applyFill="1" applyBorder="1" applyAlignment="1" applyProtection="1">
      <alignment horizontal="center" vertical="center"/>
    </xf>
    <xf numFmtId="0" fontId="4" fillId="8" borderId="51" xfId="0" applyFont="1" applyFill="1" applyBorder="1" applyAlignment="1" applyProtection="1">
      <alignment horizontal="center" vertical="center"/>
      <protection locked="0"/>
    </xf>
    <xf numFmtId="0" fontId="4" fillId="8" borderId="46" xfId="0" applyFont="1" applyFill="1" applyBorder="1" applyAlignment="1" applyProtection="1">
      <alignment horizontal="center" vertical="center"/>
      <protection locked="0"/>
    </xf>
    <xf numFmtId="0" fontId="4" fillId="8" borderId="44" xfId="0" applyFont="1" applyFill="1" applyBorder="1" applyAlignment="1" applyProtection="1">
      <alignment horizontal="center" vertical="center"/>
      <protection locked="0"/>
    </xf>
    <xf numFmtId="0" fontId="4" fillId="11" borderId="51" xfId="0" applyFont="1" applyFill="1" applyBorder="1" applyAlignment="1" applyProtection="1">
      <alignment horizontal="center" vertical="center"/>
      <protection locked="0"/>
    </xf>
    <xf numFmtId="0" fontId="4" fillId="11" borderId="46" xfId="0" applyFont="1" applyFill="1" applyBorder="1" applyAlignment="1" applyProtection="1">
      <alignment horizontal="center" vertical="center"/>
      <protection locked="0"/>
    </xf>
    <xf numFmtId="0" fontId="4" fillId="11" borderId="44" xfId="0" applyFont="1" applyFill="1" applyBorder="1" applyAlignment="1" applyProtection="1">
      <alignment horizontal="center" vertical="center"/>
      <protection locked="0"/>
    </xf>
    <xf numFmtId="0" fontId="4" fillId="4" borderId="51" xfId="0" applyFont="1" applyFill="1" applyBorder="1" applyAlignment="1" applyProtection="1">
      <alignment horizontal="center" vertical="center"/>
      <protection locked="0"/>
    </xf>
    <xf numFmtId="0" fontId="4" fillId="4" borderId="46" xfId="0" applyFont="1" applyFill="1" applyBorder="1" applyAlignment="1" applyProtection="1">
      <alignment horizontal="center" vertical="center"/>
      <protection locked="0"/>
    </xf>
    <xf numFmtId="0" fontId="4" fillId="4" borderId="44" xfId="0" applyFont="1" applyFill="1" applyBorder="1" applyAlignment="1" applyProtection="1">
      <alignment horizontal="center" vertical="center"/>
      <protection locked="0"/>
    </xf>
    <xf numFmtId="0" fontId="43" fillId="0" borderId="2" xfId="0" applyFont="1" applyFill="1" applyBorder="1" applyAlignment="1" applyProtection="1">
      <alignment horizontal="center" vertical="center"/>
    </xf>
    <xf numFmtId="0" fontId="4" fillId="19" borderId="51" xfId="0" applyFont="1" applyFill="1" applyBorder="1" applyAlignment="1" applyProtection="1">
      <alignment horizontal="center" vertical="center"/>
      <protection locked="0"/>
    </xf>
    <xf numFmtId="0" fontId="4" fillId="19" borderId="46" xfId="0" applyFont="1" applyFill="1" applyBorder="1" applyAlignment="1" applyProtection="1">
      <alignment horizontal="center" vertical="center"/>
      <protection locked="0"/>
    </xf>
    <xf numFmtId="0" fontId="4" fillId="19" borderId="44"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xf>
    <xf numFmtId="0" fontId="5" fillId="0" borderId="31" xfId="0" applyFont="1" applyFill="1" applyBorder="1" applyAlignment="1" applyProtection="1">
      <alignment horizontal="center" vertical="center"/>
    </xf>
    <xf numFmtId="0" fontId="5" fillId="0" borderId="18" xfId="0" applyFont="1" applyFill="1" applyBorder="1" applyAlignment="1" applyProtection="1">
      <alignment horizontal="center" vertical="center"/>
    </xf>
    <xf numFmtId="0" fontId="43" fillId="0" borderId="16" xfId="0" applyFont="1" applyFill="1" applyBorder="1" applyAlignment="1" applyProtection="1">
      <alignment horizontal="center" vertical="center"/>
    </xf>
    <xf numFmtId="0" fontId="43" fillId="0" borderId="32" xfId="0" applyFont="1" applyFill="1" applyBorder="1" applyAlignment="1" applyProtection="1">
      <alignment horizontal="center" vertical="center"/>
    </xf>
    <xf numFmtId="0" fontId="43" fillId="0" borderId="20" xfId="0" applyFont="1" applyFill="1" applyBorder="1" applyAlignment="1" applyProtection="1">
      <alignment horizontal="center" vertical="center"/>
    </xf>
    <xf numFmtId="179" fontId="7" fillId="0" borderId="0" xfId="0" applyNumberFormat="1" applyFont="1" applyFill="1" applyAlignment="1" applyProtection="1">
      <alignment horizontal="center"/>
      <protection locked="0"/>
    </xf>
    <xf numFmtId="0" fontId="4" fillId="2" borderId="51" xfId="0" applyFont="1" applyFill="1" applyBorder="1" applyAlignment="1" applyProtection="1">
      <alignment horizontal="center" vertical="center"/>
      <protection locked="0"/>
    </xf>
    <xf numFmtId="0" fontId="4" fillId="2" borderId="46" xfId="0" applyFont="1" applyFill="1" applyBorder="1" applyAlignment="1" applyProtection="1">
      <alignment horizontal="center" vertical="center"/>
      <protection locked="0"/>
    </xf>
    <xf numFmtId="0" fontId="4" fillId="2" borderId="44" xfId="0" applyFont="1" applyFill="1" applyBorder="1" applyAlignment="1" applyProtection="1">
      <alignment horizontal="center" vertical="center"/>
      <protection locked="0"/>
    </xf>
    <xf numFmtId="0" fontId="43" fillId="0" borderId="220" xfId="0" applyFont="1" applyFill="1" applyBorder="1" applyAlignment="1" applyProtection="1">
      <alignment horizontal="center" vertical="center"/>
      <protection locked="0"/>
    </xf>
  </cellXfs>
  <cellStyles count="3">
    <cellStyle name="ハイパーリンク" xfId="2" builtinId="8"/>
    <cellStyle name="桁区切り" xfId="1" builtinId="6"/>
    <cellStyle name="標準" xfId="0" builtinId="0"/>
  </cellStyles>
  <dxfs count="0"/>
  <tableStyles count="0" defaultTableStyle="TableStyleMedium2" defaultPivotStyle="PivotStyleMedium9"/>
  <colors>
    <mruColors>
      <color rgb="FFEBF2B4"/>
      <color rgb="FF8ECAA0"/>
      <color rgb="FF79C06E"/>
      <color rgb="FFFFFF99"/>
      <color rgb="FF92D050"/>
      <color rgb="FFDBEFF1"/>
      <color rgb="FF0000FF"/>
      <color rgb="FF00CC00"/>
      <color rgb="FF009900"/>
      <color rgb="FF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8</xdr:row>
          <xdr:rowOff>76200</xdr:rowOff>
        </xdr:from>
        <xdr:to>
          <xdr:col>9</xdr:col>
          <xdr:colOff>228600</xdr:colOff>
          <xdr:row>11</xdr:row>
          <xdr:rowOff>0</xdr:rowOff>
        </xdr:to>
        <xdr:sp macro="" textlink="">
          <xdr:nvSpPr>
            <xdr:cNvPr id="49153" name="Button 1" hidden="1">
              <a:extLst>
                <a:ext uri="{63B3BB69-23CF-44E3-9099-C40C66FF867C}">
                  <a14:compatExt spid="_x0000_s4915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400" b="1" i="0" u="none" strike="noStrike" baseline="0">
                  <a:solidFill>
                    <a:srgbClr val="0000FF"/>
                  </a:solidFill>
                  <a:latin typeface="ＭＳ Ｐゴシック"/>
                  <a:ea typeface="ＭＳ Ｐゴシック"/>
                </a:rPr>
                <a:t>メニュー表示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209550</xdr:colOff>
      <xdr:row>10</xdr:row>
      <xdr:rowOff>152400</xdr:rowOff>
    </xdr:from>
    <xdr:to>
      <xdr:col>15</xdr:col>
      <xdr:colOff>1152525</xdr:colOff>
      <xdr:row>17</xdr:row>
      <xdr:rowOff>9525</xdr:rowOff>
    </xdr:to>
    <xdr:sp macro="" textlink="">
      <xdr:nvSpPr>
        <xdr:cNvPr id="4" name="テキスト ボックス 3"/>
        <xdr:cNvSpPr txBox="1"/>
      </xdr:nvSpPr>
      <xdr:spPr>
        <a:xfrm>
          <a:off x="15125700" y="3857625"/>
          <a:ext cx="4514850" cy="205740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5</a:t>
          </a:r>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行目は空白のままにしてください。</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黄色の部分は改変しないでください。</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水色の部分は報酬受取条件をもとに売上先</a:t>
          </a:r>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(E</a:t>
          </a:r>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列）を入れてください。</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例　</a:t>
          </a:r>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=E5 </a:t>
          </a:r>
          <a:r>
            <a:rPr kumimoji="1" lang="en-US" altLang="ja-JP" sz="1100" b="1"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100" b="1" baseline="0">
              <a:latin typeface="メイリオ" panose="020B0604030504040204" pitchFamily="50" charset="-128"/>
              <a:ea typeface="メイリオ" panose="020B0604030504040204" pitchFamily="50" charset="-128"/>
              <a:cs typeface="メイリオ" panose="020B0604030504040204" pitchFamily="50" charset="-128"/>
            </a:rPr>
            <a:t>などの関数を入力する</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2</a:t>
          </a:r>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列目を設定する際には</a:t>
          </a:r>
          <a:r>
            <a:rPr kumimoji="1" lang="ja-JP" altLang="en-US" sz="1100" b="1">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「名前の定義」</a:t>
          </a:r>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を設定する必要があります。</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twoCellAnchor>
    <xdr:from>
      <xdr:col>4</xdr:col>
      <xdr:colOff>0</xdr:colOff>
      <xdr:row>15</xdr:row>
      <xdr:rowOff>0</xdr:rowOff>
    </xdr:from>
    <xdr:to>
      <xdr:col>6</xdr:col>
      <xdr:colOff>1219200</xdr:colOff>
      <xdr:row>21</xdr:row>
      <xdr:rowOff>171450</xdr:rowOff>
    </xdr:to>
    <xdr:sp macro="" textlink="">
      <xdr:nvSpPr>
        <xdr:cNvPr id="5" name="テキスト ボックス 4"/>
        <xdr:cNvSpPr txBox="1"/>
      </xdr:nvSpPr>
      <xdr:spPr>
        <a:xfrm>
          <a:off x="3238500" y="5276850"/>
          <a:ext cx="4514850" cy="205740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初期設定については下記</a:t>
          </a:r>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URL</a:t>
          </a:r>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で詳しくご説明しています。</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 https://shufulife.com/ecxel-chobo-setting/</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3</xdr:row>
      <xdr:rowOff>0</xdr:rowOff>
    </xdr:from>
    <xdr:to>
      <xdr:col>17</xdr:col>
      <xdr:colOff>466725</xdr:colOff>
      <xdr:row>11</xdr:row>
      <xdr:rowOff>88900</xdr:rowOff>
    </xdr:to>
    <xdr:sp macro="" textlink="">
      <xdr:nvSpPr>
        <xdr:cNvPr id="2" name="テキスト ボックス 1"/>
        <xdr:cNvSpPr txBox="1"/>
      </xdr:nvSpPr>
      <xdr:spPr>
        <a:xfrm>
          <a:off x="8302625" y="904875"/>
          <a:ext cx="4514850" cy="205740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b="1">
              <a:latin typeface="メイリオ" panose="020B0604030504040204" pitchFamily="50" charset="-128"/>
              <a:ea typeface="メイリオ" panose="020B0604030504040204" pitchFamily="50" charset="-128"/>
              <a:cs typeface="メイリオ" panose="020B0604030504040204" pitchFamily="50" charset="-128"/>
            </a:rPr>
            <a:t>仕訳帳の入力については以下のサイトにて詳しくご説明しています。</a:t>
          </a:r>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endParaRPr>
        </a:p>
        <a:p>
          <a:pPr algn="l"/>
          <a:r>
            <a:rPr kumimoji="1" lang="en-US" altLang="ja-JP" sz="1100" b="1">
              <a:latin typeface="メイリオ" panose="020B0604030504040204" pitchFamily="50" charset="-128"/>
              <a:ea typeface="メイリオ" panose="020B0604030504040204" pitchFamily="50" charset="-128"/>
              <a:cs typeface="メイリオ" panose="020B0604030504040204" pitchFamily="50" charset="-128"/>
            </a:rPr>
            <a:t>https://shufulife.com/ecxel-chobo-howto/</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3</xdr:row>
      <xdr:rowOff>230188</xdr:rowOff>
    </xdr:from>
    <xdr:to>
      <xdr:col>13</xdr:col>
      <xdr:colOff>635000</xdr:colOff>
      <xdr:row>11</xdr:row>
      <xdr:rowOff>182563</xdr:rowOff>
    </xdr:to>
    <xdr:sp macro="" textlink="">
      <xdr:nvSpPr>
        <xdr:cNvPr id="3" name="テキスト ボックス 2"/>
        <xdr:cNvSpPr txBox="1"/>
      </xdr:nvSpPr>
      <xdr:spPr>
        <a:xfrm>
          <a:off x="7993063" y="1095376"/>
          <a:ext cx="4056062" cy="1809750"/>
        </a:xfrm>
        <a:prstGeom prst="rect">
          <a:avLst/>
        </a:prstGeom>
        <a:solidFill>
          <a:srgbClr val="FDEAD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水色の部分は売掛金の各売上先になります。</a:t>
          </a:r>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ct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下部の合計にこの部分の金額は含まれていません。</a:t>
          </a:r>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4</xdr:col>
      <xdr:colOff>666750</xdr:colOff>
      <xdr:row>2</xdr:row>
      <xdr:rowOff>95250</xdr:rowOff>
    </xdr:from>
    <xdr:to>
      <xdr:col>11</xdr:col>
      <xdr:colOff>381000</xdr:colOff>
      <xdr:row>12</xdr:row>
      <xdr:rowOff>38100</xdr:rowOff>
    </xdr:to>
    <xdr:sp macro="" textlink="">
      <xdr:nvSpPr>
        <xdr:cNvPr id="2" name="テキスト ボックス 1"/>
        <xdr:cNvSpPr txBox="1"/>
      </xdr:nvSpPr>
      <xdr:spPr>
        <a:xfrm>
          <a:off x="7591425" y="762000"/>
          <a:ext cx="4514850" cy="30861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前年度のシート名「前期繰越」より</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金額（黄色の部分）をコピペしてください</a:t>
          </a:r>
          <a:r>
            <a:rPr lang="ja-JP" altLang="en-US" sz="16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endParaRPr lang="en-US" altLang="ja-JP" sz="16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en-US" altLang="ja-JP"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前年度より設定メニューで勘定科目、売上先を変更した場合は反映しません。もし変更した場合には、項目を確認しながら一つずつ金額</a:t>
          </a:r>
          <a:endParaRPr lang="en-US" altLang="ja-JP"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ja-JP" altLang="en-US"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を入力してください。</a:t>
          </a:r>
          <a:endParaRPr lang="en-US" altLang="ja-JP"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endParaRPr lang="en-US" altLang="ja-JP"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5</xdr:col>
      <xdr:colOff>304800</xdr:colOff>
      <xdr:row>13</xdr:row>
      <xdr:rowOff>123825</xdr:rowOff>
    </xdr:from>
    <xdr:to>
      <xdr:col>10</xdr:col>
      <xdr:colOff>923925</xdr:colOff>
      <xdr:row>20</xdr:row>
      <xdr:rowOff>171450</xdr:rowOff>
    </xdr:to>
    <xdr:sp macro="" textlink="">
      <xdr:nvSpPr>
        <xdr:cNvPr id="2" name="テキスト ボックス 1"/>
        <xdr:cNvSpPr txBox="1"/>
      </xdr:nvSpPr>
      <xdr:spPr>
        <a:xfrm>
          <a:off x="8410575" y="4314825"/>
          <a:ext cx="4514850" cy="22479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次年度のシート名「前期繰越」へ</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金額（</a:t>
          </a:r>
          <a:r>
            <a:rPr lang="ja-JP" altLang="en-US" sz="1600" b="1" i="0">
              <a:solidFill>
                <a:srgbClr val="FFFF00"/>
              </a:solidFill>
              <a:effectLst/>
              <a:latin typeface="メイリオ" panose="020B0604030504040204" pitchFamily="50" charset="-128"/>
              <a:ea typeface="メイリオ" panose="020B0604030504040204" pitchFamily="50" charset="-128"/>
              <a:cs typeface="メイリオ" panose="020B0604030504040204" pitchFamily="50" charset="-128"/>
            </a:rPr>
            <a:t>黄色</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の部分）をコピペしてください</a:t>
          </a:r>
          <a:r>
            <a:rPr lang="ja-JP" altLang="en-US" sz="16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endParaRPr lang="en-US" altLang="ja-JP" sz="16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en-US" altLang="ja-JP"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次年度の設定メニューで勘定科目、売上先を変えると反映しません。次年度で変える必要がある場合には、項目を確認しながら一つずつ金額を入力してください。</a:t>
          </a:r>
          <a:endParaRPr lang="en-US" altLang="ja-JP" sz="11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3</xdr:row>
      <xdr:rowOff>0</xdr:rowOff>
    </xdr:from>
    <xdr:to>
      <xdr:col>21</xdr:col>
      <xdr:colOff>457200</xdr:colOff>
      <xdr:row>14</xdr:row>
      <xdr:rowOff>47625</xdr:rowOff>
    </xdr:to>
    <xdr:sp macro="" textlink="">
      <xdr:nvSpPr>
        <xdr:cNvPr id="3" name="テキスト ボックス 2"/>
        <xdr:cNvSpPr txBox="1"/>
      </xdr:nvSpPr>
      <xdr:spPr>
        <a:xfrm>
          <a:off x="11658600" y="942975"/>
          <a:ext cx="5381625" cy="39243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b="1">
              <a:latin typeface="メイリオ" panose="020B0604030504040204" pitchFamily="50" charset="-128"/>
              <a:ea typeface="メイリオ" panose="020B0604030504040204" pitchFamily="50" charset="-128"/>
              <a:cs typeface="メイリオ" panose="020B0604030504040204" pitchFamily="50" charset="-128"/>
            </a:rPr>
            <a:t>青色申告</a:t>
          </a:r>
          <a:r>
            <a:rPr lang="ja-JP" altLang="en-US" sz="20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青色申告決算書</a:t>
          </a:r>
          <a:r>
            <a:rPr lang="ja-JP" altLang="en-US" sz="2000" b="1">
              <a:latin typeface="メイリオ" panose="020B0604030504040204" pitchFamily="50" charset="-128"/>
              <a:ea typeface="メイリオ" panose="020B0604030504040204" pitchFamily="50" charset="-128"/>
              <a:cs typeface="メイリオ" panose="020B0604030504040204" pitchFamily="50" charset="-128"/>
            </a:rPr>
            <a:t/>
          </a:r>
          <a:br>
            <a:rPr lang="ja-JP" altLang="en-US" sz="2000" b="1">
              <a:latin typeface="メイリオ" panose="020B0604030504040204" pitchFamily="50" charset="-128"/>
              <a:ea typeface="メイリオ" panose="020B0604030504040204" pitchFamily="50" charset="-128"/>
              <a:cs typeface="メイリオ" panose="020B0604030504040204" pitchFamily="50" charset="-128"/>
            </a:rPr>
          </a:b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（ページ</a:t>
          </a:r>
          <a:r>
            <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1/4</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endParaRPr lang="ja-JP" altLang="ja-JP" sz="1600">
            <a:effectLst/>
          </a:endParaRPr>
        </a:p>
        <a:p>
          <a:r>
            <a:rPr lang="en-US" altLang="ja-JP" sz="1200" b="0" i="0">
              <a:solidFill>
                <a:schemeClr val="dk1"/>
              </a:solidFill>
              <a:effectLst/>
              <a:latin typeface="+mn-lt"/>
              <a:ea typeface="+mn-ea"/>
              <a:cs typeface="+mn-cs"/>
            </a:rPr>
            <a:t>※</a:t>
          </a:r>
          <a:r>
            <a:rPr lang="ja-JP" altLang="ja-JP" sz="1200" b="0" i="0">
              <a:solidFill>
                <a:schemeClr val="dk1"/>
              </a:solidFill>
              <a:effectLst/>
              <a:latin typeface="+mn-lt"/>
              <a:ea typeface="+mn-ea"/>
              <a:cs typeface="+mn-cs"/>
            </a:rPr>
            <a:t>こちらはこのまま提出することはできません</a:t>
          </a:r>
          <a:endParaRPr lang="ja-JP" altLang="ja-JP" sz="1600">
            <a:effectLst/>
          </a:endParaRPr>
        </a:p>
        <a:p>
          <a:pPr algn="l"/>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ja-JP" altLang="en-US"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・㊹の青色申告特別控除額はご自身の適用額（６５万か</a:t>
          </a:r>
          <a:r>
            <a:rPr lang="en-US" altLang="ja-JP"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10</a:t>
          </a:r>
          <a:r>
            <a:rPr lang="ja-JP" altLang="en-US"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万）を入力ください</a:t>
          </a:r>
          <a:endParaRPr lang="en-US" altLang="ja-JP"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eaLnBrk="1" fontAlgn="auto" latinLnBrk="0" hangingPunct="1"/>
          <a:r>
            <a:rPr lang="ja-JP" altLang="en-US" sz="1100" b="0" i="0">
              <a:solidFill>
                <a:schemeClr val="dk1"/>
              </a:solidFill>
              <a:effectLst/>
              <a:latin typeface="+mn-lt"/>
              <a:ea typeface="+mn-ea"/>
              <a:cs typeface="+mn-cs"/>
            </a:rPr>
            <a:t>・⑧～㉔に</a:t>
          </a:r>
          <a:r>
            <a:rPr lang="ja-JP" altLang="ja-JP" sz="1100" b="0" i="0">
              <a:solidFill>
                <a:schemeClr val="dk1"/>
              </a:solidFill>
              <a:effectLst/>
              <a:latin typeface="+mn-lt"/>
              <a:ea typeface="+mn-ea"/>
              <a:cs typeface="+mn-cs"/>
            </a:rPr>
            <a:t>ご自身で設定した勘定科目がない場合には、</a:t>
          </a:r>
          <a:r>
            <a:rPr lang="ja-JP" altLang="en-US" sz="1100" b="0" i="0">
              <a:solidFill>
                <a:schemeClr val="dk1"/>
              </a:solidFill>
              <a:effectLst/>
              <a:latin typeface="+mn-lt"/>
              <a:ea typeface="+mn-ea"/>
              <a:cs typeface="+mn-cs"/>
            </a:rPr>
            <a:t>緑色のセルに</a:t>
          </a:r>
          <a:r>
            <a:rPr lang="ja-JP" altLang="ja-JP" sz="1100" b="0" i="0">
              <a:solidFill>
                <a:schemeClr val="dk1"/>
              </a:solidFill>
              <a:effectLst/>
              <a:latin typeface="+mn-lt"/>
              <a:ea typeface="+mn-ea"/>
              <a:cs typeface="+mn-cs"/>
            </a:rPr>
            <a:t>付け足してください。</a:t>
          </a:r>
          <a:endParaRPr lang="en-US" altLang="ja-JP" sz="1100" b="0" i="0">
            <a:solidFill>
              <a:schemeClr val="dk1"/>
            </a:solidFill>
            <a:effectLst/>
            <a:latin typeface="+mn-lt"/>
            <a:ea typeface="+mn-ea"/>
            <a:cs typeface="+mn-cs"/>
          </a:endParaRPr>
        </a:p>
        <a:p>
          <a:pPr eaLnBrk="1" fontAlgn="auto" latinLnBrk="0" hangingPunct="1"/>
          <a:endParaRPr lang="en-US" altLang="ja-JP" sz="1100" b="0" i="0">
            <a:solidFill>
              <a:schemeClr val="dk1"/>
            </a:solidFill>
            <a:effectLst/>
            <a:latin typeface="+mn-lt"/>
            <a:ea typeface="+mn-ea"/>
            <a:cs typeface="+mn-cs"/>
          </a:endParaRPr>
        </a:p>
        <a:p>
          <a:pPr eaLnBrk="1" fontAlgn="auto" latinLnBrk="0" hangingPunct="1"/>
          <a:r>
            <a:rPr lang="ja-JP" altLang="en-US" sz="1100" b="0" i="0">
              <a:solidFill>
                <a:schemeClr val="dk1"/>
              </a:solidFill>
              <a:effectLst/>
              <a:latin typeface="+mn-lt"/>
              <a:ea typeface="+mn-ea"/>
              <a:cs typeface="+mn-cs"/>
            </a:rPr>
            <a:t>・経費の勘定科目が</a:t>
          </a:r>
          <a:r>
            <a:rPr lang="ja-JP" altLang="ja-JP" sz="1100" b="0" i="0">
              <a:solidFill>
                <a:schemeClr val="dk1"/>
              </a:solidFill>
              <a:effectLst/>
              <a:latin typeface="+mn-lt"/>
              <a:ea typeface="+mn-ea"/>
              <a:cs typeface="+mn-cs"/>
            </a:rPr>
            <a:t>⑧～㉙</a:t>
          </a:r>
          <a:r>
            <a:rPr lang="ja-JP" altLang="en-US" sz="1100" b="0" i="0">
              <a:solidFill>
                <a:schemeClr val="dk1"/>
              </a:solidFill>
              <a:effectLst/>
              <a:latin typeface="+mn-lt"/>
              <a:ea typeface="+mn-ea"/>
              <a:cs typeface="+mn-cs"/>
            </a:rPr>
            <a:t>以上になる場合には、シート名「精算表」の試算表の項目を「その他経費」に記載しきれなかった分の合計をご自身で計算し記載してください。</a:t>
          </a:r>
          <a:endParaRPr lang="ja-JP" altLang="ja-JP" sz="1200">
            <a:effectLst/>
          </a:endParaRPr>
        </a:p>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twoCellAnchor>
    <xdr:from>
      <xdr:col>14</xdr:col>
      <xdr:colOff>0</xdr:colOff>
      <xdr:row>3</xdr:row>
      <xdr:rowOff>0</xdr:rowOff>
    </xdr:from>
    <xdr:to>
      <xdr:col>21</xdr:col>
      <xdr:colOff>457200</xdr:colOff>
      <xdr:row>14</xdr:row>
      <xdr:rowOff>47625</xdr:rowOff>
    </xdr:to>
    <xdr:sp macro="" textlink="">
      <xdr:nvSpPr>
        <xdr:cNvPr id="4" name="テキスト ボックス 3"/>
        <xdr:cNvSpPr txBox="1"/>
      </xdr:nvSpPr>
      <xdr:spPr>
        <a:xfrm>
          <a:off x="11658600" y="942975"/>
          <a:ext cx="5381625" cy="39243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b="1">
              <a:latin typeface="メイリオ" panose="020B0604030504040204" pitchFamily="50" charset="-128"/>
              <a:ea typeface="メイリオ" panose="020B0604030504040204" pitchFamily="50" charset="-128"/>
              <a:cs typeface="メイリオ" panose="020B0604030504040204" pitchFamily="50" charset="-128"/>
            </a:rPr>
            <a:t>青色申告</a:t>
          </a:r>
          <a:r>
            <a:rPr lang="ja-JP" altLang="en-US" sz="20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青色申告決算書</a:t>
          </a:r>
          <a:r>
            <a:rPr lang="ja-JP" altLang="en-US" sz="2000" b="1">
              <a:latin typeface="メイリオ" panose="020B0604030504040204" pitchFamily="50" charset="-128"/>
              <a:ea typeface="メイリオ" panose="020B0604030504040204" pitchFamily="50" charset="-128"/>
              <a:cs typeface="メイリオ" panose="020B0604030504040204" pitchFamily="50" charset="-128"/>
            </a:rPr>
            <a:t/>
          </a:r>
          <a:br>
            <a:rPr lang="ja-JP" altLang="en-US" sz="2000" b="1">
              <a:latin typeface="メイリオ" panose="020B0604030504040204" pitchFamily="50" charset="-128"/>
              <a:ea typeface="メイリオ" panose="020B0604030504040204" pitchFamily="50" charset="-128"/>
              <a:cs typeface="メイリオ" panose="020B0604030504040204" pitchFamily="50" charset="-128"/>
            </a:rPr>
          </a:b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（ページ</a:t>
          </a:r>
          <a:r>
            <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1/4</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endParaRPr lang="ja-JP" altLang="ja-JP" sz="1600">
            <a:effectLst/>
          </a:endParaRPr>
        </a:p>
        <a:p>
          <a:r>
            <a:rPr lang="en-US" altLang="ja-JP" sz="1200" b="0" i="0">
              <a:solidFill>
                <a:schemeClr val="dk1"/>
              </a:solidFill>
              <a:effectLst/>
              <a:latin typeface="+mn-lt"/>
              <a:ea typeface="+mn-ea"/>
              <a:cs typeface="+mn-cs"/>
            </a:rPr>
            <a:t>※</a:t>
          </a:r>
          <a:r>
            <a:rPr lang="ja-JP" altLang="ja-JP" sz="1200" b="0" i="0">
              <a:solidFill>
                <a:schemeClr val="dk1"/>
              </a:solidFill>
              <a:effectLst/>
              <a:latin typeface="+mn-lt"/>
              <a:ea typeface="+mn-ea"/>
              <a:cs typeface="+mn-cs"/>
            </a:rPr>
            <a:t>こちらはこのまま提出することはできません</a:t>
          </a:r>
          <a:endParaRPr lang="ja-JP" altLang="ja-JP" sz="1600">
            <a:effectLst/>
          </a:endParaRPr>
        </a:p>
        <a:p>
          <a:pPr algn="l"/>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ja-JP" altLang="en-US"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・㊹の青色申告特別控除額はご自身の適用額（６５万か</a:t>
          </a:r>
          <a:r>
            <a:rPr lang="en-US" altLang="ja-JP"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10</a:t>
          </a:r>
          <a:r>
            <a:rPr lang="ja-JP" altLang="en-US"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万）を入力ください</a:t>
          </a:r>
          <a:endParaRPr lang="en-US" altLang="ja-JP" sz="105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eaLnBrk="1" fontAlgn="auto" latinLnBrk="0" hangingPunct="1"/>
          <a:r>
            <a:rPr lang="ja-JP" altLang="en-US" sz="1100" b="0" i="0">
              <a:solidFill>
                <a:schemeClr val="dk1"/>
              </a:solidFill>
              <a:effectLst/>
              <a:latin typeface="+mn-lt"/>
              <a:ea typeface="+mn-ea"/>
              <a:cs typeface="+mn-cs"/>
            </a:rPr>
            <a:t>・⑧～㉔に</a:t>
          </a:r>
          <a:r>
            <a:rPr lang="ja-JP" altLang="ja-JP" sz="1100" b="0" i="0">
              <a:solidFill>
                <a:schemeClr val="dk1"/>
              </a:solidFill>
              <a:effectLst/>
              <a:latin typeface="+mn-lt"/>
              <a:ea typeface="+mn-ea"/>
              <a:cs typeface="+mn-cs"/>
            </a:rPr>
            <a:t>ご自身で設定した勘定科目がない場合には、</a:t>
          </a:r>
          <a:r>
            <a:rPr lang="ja-JP" altLang="en-US" sz="1100" b="0" i="0">
              <a:solidFill>
                <a:schemeClr val="dk1"/>
              </a:solidFill>
              <a:effectLst/>
              <a:latin typeface="+mn-lt"/>
              <a:ea typeface="+mn-ea"/>
              <a:cs typeface="+mn-cs"/>
            </a:rPr>
            <a:t>緑色のセルに</a:t>
          </a:r>
          <a:r>
            <a:rPr lang="ja-JP" altLang="ja-JP" sz="1100" b="0" i="0">
              <a:solidFill>
                <a:schemeClr val="dk1"/>
              </a:solidFill>
              <a:effectLst/>
              <a:latin typeface="+mn-lt"/>
              <a:ea typeface="+mn-ea"/>
              <a:cs typeface="+mn-cs"/>
            </a:rPr>
            <a:t>付け足してください。</a:t>
          </a:r>
          <a:endParaRPr lang="en-US" altLang="ja-JP" sz="1100" b="0" i="0">
            <a:solidFill>
              <a:schemeClr val="dk1"/>
            </a:solidFill>
            <a:effectLst/>
            <a:latin typeface="+mn-lt"/>
            <a:ea typeface="+mn-ea"/>
            <a:cs typeface="+mn-cs"/>
          </a:endParaRPr>
        </a:p>
        <a:p>
          <a:pPr eaLnBrk="1" fontAlgn="auto" latinLnBrk="0" hangingPunct="1"/>
          <a:endParaRPr lang="en-US" altLang="ja-JP" sz="1100" b="0" i="0">
            <a:solidFill>
              <a:schemeClr val="dk1"/>
            </a:solidFill>
            <a:effectLst/>
            <a:latin typeface="+mn-lt"/>
            <a:ea typeface="+mn-ea"/>
            <a:cs typeface="+mn-cs"/>
          </a:endParaRPr>
        </a:p>
        <a:p>
          <a:pPr eaLnBrk="1" fontAlgn="auto" latinLnBrk="0" hangingPunct="1"/>
          <a:r>
            <a:rPr lang="ja-JP" altLang="en-US" sz="1100" b="0" i="0">
              <a:solidFill>
                <a:schemeClr val="dk1"/>
              </a:solidFill>
              <a:effectLst/>
              <a:latin typeface="+mn-lt"/>
              <a:ea typeface="+mn-ea"/>
              <a:cs typeface="+mn-cs"/>
            </a:rPr>
            <a:t>・経費の勘定科目が</a:t>
          </a:r>
          <a:r>
            <a:rPr lang="ja-JP" altLang="ja-JP" sz="1100" b="0" i="0">
              <a:solidFill>
                <a:schemeClr val="dk1"/>
              </a:solidFill>
              <a:effectLst/>
              <a:latin typeface="+mn-lt"/>
              <a:ea typeface="+mn-ea"/>
              <a:cs typeface="+mn-cs"/>
            </a:rPr>
            <a:t>⑧～㉙</a:t>
          </a:r>
          <a:r>
            <a:rPr lang="ja-JP" altLang="en-US" sz="1100" b="0" i="0">
              <a:solidFill>
                <a:schemeClr val="dk1"/>
              </a:solidFill>
              <a:effectLst/>
              <a:latin typeface="+mn-lt"/>
              <a:ea typeface="+mn-ea"/>
              <a:cs typeface="+mn-cs"/>
            </a:rPr>
            <a:t>以上になる場合には、シート名「精算表」の試算表の項目を「その他経費」に記載しきれなかった分の合計をご自身で計算し記載してください。</a:t>
          </a:r>
          <a:endParaRPr lang="ja-JP" altLang="ja-JP" sz="1200">
            <a:effectLst/>
          </a:endParaRPr>
        </a:p>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66675</xdr:rowOff>
    </xdr:from>
    <xdr:to>
      <xdr:col>15</xdr:col>
      <xdr:colOff>104775</xdr:colOff>
      <xdr:row>10</xdr:row>
      <xdr:rowOff>314325</xdr:rowOff>
    </xdr:to>
    <xdr:sp macro="" textlink="">
      <xdr:nvSpPr>
        <xdr:cNvPr id="3" name="テキスト ボックス 2"/>
        <xdr:cNvSpPr txBox="1"/>
      </xdr:nvSpPr>
      <xdr:spPr>
        <a:xfrm>
          <a:off x="11677650" y="1009650"/>
          <a:ext cx="4514850" cy="29718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b="1">
              <a:latin typeface="メイリオ" panose="020B0604030504040204" pitchFamily="50" charset="-128"/>
              <a:ea typeface="メイリオ" panose="020B0604030504040204" pitchFamily="50" charset="-128"/>
              <a:cs typeface="メイリオ" panose="020B0604030504040204" pitchFamily="50" charset="-128"/>
            </a:rPr>
            <a:t>青色申告</a:t>
          </a:r>
          <a:r>
            <a:rPr lang="ja-JP" altLang="en-US" sz="20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青色申告決算書</a:t>
          </a:r>
          <a:r>
            <a:rPr lang="ja-JP" altLang="en-US" sz="2000" b="1">
              <a:latin typeface="メイリオ" panose="020B0604030504040204" pitchFamily="50" charset="-128"/>
              <a:ea typeface="メイリオ" panose="020B0604030504040204" pitchFamily="50" charset="-128"/>
              <a:cs typeface="メイリオ" panose="020B0604030504040204" pitchFamily="50" charset="-128"/>
            </a:rPr>
            <a:t/>
          </a:r>
          <a:br>
            <a:rPr lang="ja-JP" altLang="en-US" sz="2000" b="1">
              <a:latin typeface="メイリオ" panose="020B0604030504040204" pitchFamily="50" charset="-128"/>
              <a:ea typeface="メイリオ" panose="020B0604030504040204" pitchFamily="50" charset="-128"/>
              <a:cs typeface="メイリオ" panose="020B0604030504040204" pitchFamily="50" charset="-128"/>
            </a:rPr>
          </a:b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（ページ</a:t>
          </a:r>
          <a:r>
            <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2/4</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lang="en-US" altLang="ja-JP" sz="1100" b="0" i="0">
              <a:solidFill>
                <a:schemeClr val="dk1"/>
              </a:solidFill>
              <a:effectLst/>
              <a:latin typeface="+mn-lt"/>
              <a:ea typeface="+mn-ea"/>
              <a:cs typeface="+mn-cs"/>
            </a:rPr>
            <a:t>※</a:t>
          </a:r>
          <a:r>
            <a:rPr lang="ja-JP" altLang="ja-JP" sz="1100" b="0" i="0">
              <a:solidFill>
                <a:schemeClr val="dk1"/>
              </a:solidFill>
              <a:effectLst/>
              <a:latin typeface="+mn-lt"/>
              <a:ea typeface="+mn-ea"/>
              <a:cs typeface="+mn-cs"/>
            </a:rPr>
            <a:t>こちらはこのまま提出することはできません</a:t>
          </a: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ja-JP" altLang="en-US" sz="1100" b="0" i="0">
              <a:solidFill>
                <a:schemeClr val="dk1"/>
              </a:solidFill>
              <a:effectLst/>
              <a:latin typeface="+mn-lt"/>
              <a:ea typeface="+mn-ea"/>
              <a:cs typeface="+mn-cs"/>
            </a:rPr>
            <a:t>提出書類には</a:t>
          </a:r>
          <a:r>
            <a:rPr lang="ja-JP" altLang="en-US" sz="1100" b="1" i="0">
              <a:solidFill>
                <a:schemeClr val="dk1"/>
              </a:solidFill>
              <a:effectLst/>
              <a:latin typeface="+mn-lt"/>
              <a:ea typeface="+mn-ea"/>
              <a:cs typeface="+mn-cs"/>
            </a:rPr>
            <a:t>「</a:t>
          </a:r>
          <a:r>
            <a:rPr lang="en-US" altLang="ja-JP" sz="1100" b="1" i="0">
              <a:solidFill>
                <a:schemeClr val="dk1"/>
              </a:solidFill>
              <a:effectLst/>
              <a:latin typeface="+mn-lt"/>
              <a:ea typeface="+mn-ea"/>
              <a:cs typeface="+mn-cs"/>
            </a:rPr>
            <a:t>65</a:t>
          </a:r>
          <a:r>
            <a:rPr lang="ja-JP" altLang="en-US" sz="1100" b="1" i="0">
              <a:solidFill>
                <a:schemeClr val="dk1"/>
              </a:solidFill>
              <a:effectLst/>
              <a:latin typeface="+mn-lt"/>
              <a:ea typeface="+mn-ea"/>
              <a:cs typeface="+mn-cs"/>
            </a:rPr>
            <a:t>万円の青色申告特別控除を受ける場合」</a:t>
          </a:r>
          <a:r>
            <a:rPr lang="ja-JP" altLang="en-US" sz="1100" b="0" i="0">
              <a:solidFill>
                <a:schemeClr val="dk1"/>
              </a:solidFill>
              <a:effectLst/>
              <a:latin typeface="+mn-lt"/>
              <a:ea typeface="+mn-ea"/>
              <a:cs typeface="+mn-cs"/>
            </a:rPr>
            <a:t>と</a:t>
          </a: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ja-JP" altLang="en-US" sz="1100" b="1" i="0">
              <a:solidFill>
                <a:schemeClr val="dk1"/>
              </a:solidFill>
              <a:effectLst/>
              <a:latin typeface="+mn-lt"/>
              <a:ea typeface="+mn-ea"/>
              <a:cs typeface="+mn-cs"/>
            </a:rPr>
            <a:t>「上記以外の場合」</a:t>
          </a:r>
          <a:r>
            <a:rPr lang="ja-JP" altLang="en-US" sz="1100" b="0" i="0">
              <a:solidFill>
                <a:schemeClr val="dk1"/>
              </a:solidFill>
              <a:effectLst/>
              <a:latin typeface="+mn-lt"/>
              <a:ea typeface="+mn-ea"/>
              <a:cs typeface="+mn-cs"/>
            </a:rPr>
            <a:t>のどちらか一方のみを記載してください。</a:t>
          </a:r>
          <a:endParaRPr lang="en-US" altLang="ja-JP" sz="1100" b="0" i="0">
            <a:solidFill>
              <a:schemeClr val="dk1"/>
            </a:solidFill>
            <a:effectLst/>
            <a:latin typeface="+mn-lt"/>
            <a:ea typeface="+mn-ea"/>
            <a:cs typeface="+mn-cs"/>
          </a:endParaRPr>
        </a:p>
        <a:p>
          <a:pPr algn="ctr"/>
          <a:endParaRPr kumimoji="1" lang="ja-JP" altLang="en-US" sz="1100" b="0">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18</xdr:col>
      <xdr:colOff>76200</xdr:colOff>
      <xdr:row>2</xdr:row>
      <xdr:rowOff>28575</xdr:rowOff>
    </xdr:from>
    <xdr:to>
      <xdr:col>24</xdr:col>
      <xdr:colOff>476250</xdr:colOff>
      <xdr:row>9</xdr:row>
      <xdr:rowOff>180975</xdr:rowOff>
    </xdr:to>
    <xdr:sp macro="" textlink="">
      <xdr:nvSpPr>
        <xdr:cNvPr id="3" name="テキスト ボックス 2"/>
        <xdr:cNvSpPr txBox="1"/>
      </xdr:nvSpPr>
      <xdr:spPr>
        <a:xfrm>
          <a:off x="11763375" y="590550"/>
          <a:ext cx="4514850" cy="25527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b="1">
              <a:latin typeface="メイリオ" panose="020B0604030504040204" pitchFamily="50" charset="-128"/>
              <a:ea typeface="メイリオ" panose="020B0604030504040204" pitchFamily="50" charset="-128"/>
              <a:cs typeface="メイリオ" panose="020B0604030504040204" pitchFamily="50" charset="-128"/>
            </a:rPr>
            <a:t>青色申告</a:t>
          </a:r>
          <a:r>
            <a:rPr lang="ja-JP" altLang="en-US" sz="20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青色申告決算書</a:t>
          </a:r>
          <a:r>
            <a:rPr lang="ja-JP" altLang="en-US" sz="2000" b="1">
              <a:latin typeface="メイリオ" panose="020B0604030504040204" pitchFamily="50" charset="-128"/>
              <a:ea typeface="メイリオ" panose="020B0604030504040204" pitchFamily="50" charset="-128"/>
              <a:cs typeface="メイリオ" panose="020B0604030504040204" pitchFamily="50" charset="-128"/>
            </a:rPr>
            <a:t/>
          </a:r>
          <a:br>
            <a:rPr lang="ja-JP" altLang="en-US" sz="2000" b="1">
              <a:latin typeface="メイリオ" panose="020B0604030504040204" pitchFamily="50" charset="-128"/>
              <a:ea typeface="メイリオ" panose="020B0604030504040204" pitchFamily="50" charset="-128"/>
              <a:cs typeface="メイリオ" panose="020B0604030504040204" pitchFamily="50" charset="-128"/>
            </a:rPr>
          </a:b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（ページ３</a:t>
          </a:r>
          <a:r>
            <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/4</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lang="en-US" altLang="ja-JP" sz="1100" b="0" i="0">
              <a:solidFill>
                <a:schemeClr val="dk1"/>
              </a:solidFill>
              <a:effectLst/>
              <a:latin typeface="+mn-lt"/>
              <a:ea typeface="+mn-ea"/>
              <a:cs typeface="+mn-cs"/>
            </a:rPr>
            <a:t>※</a:t>
          </a:r>
          <a:r>
            <a:rPr lang="ja-JP" altLang="ja-JP" sz="1100" b="0" i="0">
              <a:solidFill>
                <a:schemeClr val="dk1"/>
              </a:solidFill>
              <a:effectLst/>
              <a:latin typeface="+mn-lt"/>
              <a:ea typeface="+mn-ea"/>
              <a:cs typeface="+mn-cs"/>
            </a:rPr>
            <a:t>こちらはこのまま提出することはできません</a:t>
          </a:r>
          <a:endParaRPr lang="ja-JP" altLang="ja-JP" sz="1600">
            <a:effectLst/>
          </a:endParaRPr>
        </a:p>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11</xdr:col>
      <xdr:colOff>0</xdr:colOff>
      <xdr:row>2</xdr:row>
      <xdr:rowOff>0</xdr:rowOff>
    </xdr:from>
    <xdr:to>
      <xdr:col>17</xdr:col>
      <xdr:colOff>276225</xdr:colOff>
      <xdr:row>8</xdr:row>
      <xdr:rowOff>57150</xdr:rowOff>
    </xdr:to>
    <xdr:sp macro="" textlink="">
      <xdr:nvSpPr>
        <xdr:cNvPr id="3" name="テキスト ボックス 2"/>
        <xdr:cNvSpPr txBox="1"/>
      </xdr:nvSpPr>
      <xdr:spPr>
        <a:xfrm>
          <a:off x="11249025" y="561975"/>
          <a:ext cx="4514850" cy="20574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ct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収支内訳書（ページ</a:t>
          </a:r>
          <a:r>
            <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1/2</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lang="en-US" altLang="ja-JP" sz="1100" b="0" i="0">
              <a:solidFill>
                <a:schemeClr val="dk1"/>
              </a:solidFill>
              <a:effectLst/>
              <a:latin typeface="+mn-lt"/>
              <a:ea typeface="+mn-ea"/>
              <a:cs typeface="+mn-cs"/>
            </a:rPr>
            <a:t>※</a:t>
          </a:r>
          <a:r>
            <a:rPr lang="ja-JP" altLang="ja-JP" sz="1100" b="0" i="0">
              <a:solidFill>
                <a:schemeClr val="dk1"/>
              </a:solidFill>
              <a:effectLst/>
              <a:latin typeface="+mn-lt"/>
              <a:ea typeface="+mn-ea"/>
              <a:cs typeface="+mn-cs"/>
            </a:rPr>
            <a:t>こちらはこのまま提出することはできません</a:t>
          </a: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endParaRPr lang="ja-JP" altLang="ja-JP" sz="1600">
            <a:effectLst/>
          </a:endParaRPr>
        </a:p>
        <a:p>
          <a:pPr marL="0" marR="0" indent="0" algn="ctr" defTabSz="914400" eaLnBrk="1" fontAlgn="auto" latinLnBrk="0" hangingPunct="1">
            <a:lnSpc>
              <a:spcPct val="100000"/>
            </a:lnSpc>
            <a:spcBef>
              <a:spcPts val="0"/>
            </a:spcBef>
            <a:spcAft>
              <a:spcPts val="0"/>
            </a:spcAft>
            <a:buClrTx/>
            <a:buSzTx/>
            <a:buFontTx/>
            <a:buNone/>
            <a:tabLst/>
            <a:defRPr/>
          </a:pPr>
          <a:r>
            <a:rPr lang="ja-JP" altLang="en-US" sz="1100" b="0" i="0">
              <a:solidFill>
                <a:schemeClr val="dk1"/>
              </a:solidFill>
              <a:effectLst/>
              <a:latin typeface="+mn-lt"/>
              <a:ea typeface="+mn-ea"/>
              <a:cs typeface="+mn-cs"/>
            </a:rPr>
            <a:t>⑪</a:t>
          </a:r>
          <a:r>
            <a:rPr lang="ja-JP" altLang="ja-JP" sz="1100" b="0" i="0">
              <a:solidFill>
                <a:schemeClr val="dk1"/>
              </a:solidFill>
              <a:effectLst/>
              <a:latin typeface="+mn-lt"/>
              <a:ea typeface="+mn-ea"/>
              <a:cs typeface="+mn-cs"/>
            </a:rPr>
            <a:t>～</a:t>
          </a:r>
          <a:r>
            <a:rPr lang="ja-JP" altLang="en-US" sz="1100" b="0" i="0">
              <a:solidFill>
                <a:schemeClr val="dk1"/>
              </a:solidFill>
              <a:effectLst/>
              <a:latin typeface="+mn-lt"/>
              <a:ea typeface="+mn-ea"/>
              <a:cs typeface="+mn-cs"/>
            </a:rPr>
            <a:t>⑯、イ～ルの部分に</a:t>
          </a:r>
          <a:r>
            <a:rPr lang="ja-JP" altLang="ja-JP" sz="1100" b="0" i="0">
              <a:solidFill>
                <a:schemeClr val="dk1"/>
              </a:solidFill>
              <a:effectLst/>
              <a:latin typeface="+mn-lt"/>
              <a:ea typeface="+mn-ea"/>
              <a:cs typeface="+mn-cs"/>
            </a:rPr>
            <a:t>ご自身で設定した勘定科目がない場合には、</a:t>
          </a:r>
          <a:endParaRPr lang="en-US" altLang="ja-JP" sz="1100" b="0" i="0">
            <a:solidFill>
              <a:schemeClr val="dk1"/>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ja-JP" altLang="ja-JP" sz="1100" b="0" i="0">
              <a:solidFill>
                <a:schemeClr val="dk1"/>
              </a:solidFill>
              <a:effectLst/>
              <a:latin typeface="+mn-lt"/>
              <a:ea typeface="+mn-ea"/>
              <a:cs typeface="+mn-cs"/>
            </a:rPr>
            <a:t>緑色のセルに付け足してください。</a:t>
          </a:r>
          <a:endParaRPr lang="ja-JP" altLang="ja-JP" sz="1600">
            <a:effectLst/>
          </a:endParaRPr>
        </a:p>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ctr"/>
          <a:endParaRPr kumimoji="1" lang="ja-JP" altLang="en-US" sz="1100" b="0">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10</xdr:col>
      <xdr:colOff>857250</xdr:colOff>
      <xdr:row>3</xdr:row>
      <xdr:rowOff>95250</xdr:rowOff>
    </xdr:from>
    <xdr:to>
      <xdr:col>16</xdr:col>
      <xdr:colOff>514350</xdr:colOff>
      <xdr:row>10</xdr:row>
      <xdr:rowOff>66675</xdr:rowOff>
    </xdr:to>
    <xdr:sp macro="" textlink="">
      <xdr:nvSpPr>
        <xdr:cNvPr id="3" name="テキスト ボックス 2"/>
        <xdr:cNvSpPr txBox="1"/>
      </xdr:nvSpPr>
      <xdr:spPr>
        <a:xfrm>
          <a:off x="6896100" y="971550"/>
          <a:ext cx="4057650" cy="20193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←売上（収入）金額の明細につきましては</a:t>
          </a:r>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「月刊総括集計表」を見てご自身で入力してくださいますようお願いします。</a:t>
          </a:r>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l"/>
          <a:r>
            <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株</a:t>
          </a:r>
          <a:r>
            <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ファンコミュニケーションズは</a:t>
          </a:r>
          <a:r>
            <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A8.net</a:t>
          </a: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Moba8.net</a:t>
          </a: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nend</a:t>
          </a:r>
          <a:r>
            <a:rPr lang="ja-JP" altLang="en-US"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など複数サービスがありますのでご注意ください。</a:t>
          </a:r>
          <a:endParaRPr lang="en-US" altLang="ja-JP" sz="1200" b="0"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twoCellAnchor>
    <xdr:from>
      <xdr:col>18</xdr:col>
      <xdr:colOff>0</xdr:colOff>
      <xdr:row>4</xdr:row>
      <xdr:rowOff>0</xdr:rowOff>
    </xdr:from>
    <xdr:to>
      <xdr:col>24</xdr:col>
      <xdr:colOff>400050</xdr:colOff>
      <xdr:row>11</xdr:row>
      <xdr:rowOff>9525</xdr:rowOff>
    </xdr:to>
    <xdr:sp macro="" textlink="">
      <xdr:nvSpPr>
        <xdr:cNvPr id="7" name="テキスト ボックス 6"/>
        <xdr:cNvSpPr txBox="1"/>
      </xdr:nvSpPr>
      <xdr:spPr>
        <a:xfrm>
          <a:off x="11715750" y="1190625"/>
          <a:ext cx="4514850" cy="2057400"/>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ct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収支内訳書（ページ</a:t>
          </a:r>
          <a:r>
            <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2/2</a:t>
          </a:r>
          <a:r>
            <a:rPr lang="ja-JP" altLang="en-US"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marL="0" marR="0" indent="0" algn="ctr" defTabSz="914400" eaLnBrk="1" fontAlgn="auto" latinLnBrk="0" hangingPunct="1">
            <a:lnSpc>
              <a:spcPct val="100000"/>
            </a:lnSpc>
            <a:spcBef>
              <a:spcPts val="0"/>
            </a:spcBef>
            <a:spcAft>
              <a:spcPts val="0"/>
            </a:spcAft>
            <a:buClrTx/>
            <a:buSzTx/>
            <a:buFontTx/>
            <a:buNone/>
            <a:tabLst/>
            <a:defRPr/>
          </a:pPr>
          <a:r>
            <a:rPr lang="en-US" altLang="ja-JP" sz="1100" b="0" i="0">
              <a:solidFill>
                <a:schemeClr val="dk1"/>
              </a:solidFill>
              <a:effectLst/>
              <a:latin typeface="+mn-lt"/>
              <a:ea typeface="+mn-ea"/>
              <a:cs typeface="+mn-cs"/>
            </a:rPr>
            <a:t>※</a:t>
          </a:r>
          <a:r>
            <a:rPr lang="ja-JP" altLang="ja-JP" sz="1100" b="0" i="0">
              <a:solidFill>
                <a:schemeClr val="dk1"/>
              </a:solidFill>
              <a:effectLst/>
              <a:latin typeface="+mn-lt"/>
              <a:ea typeface="+mn-ea"/>
              <a:cs typeface="+mn-cs"/>
            </a:rPr>
            <a:t>こちらはこのまま提出することはできません</a:t>
          </a:r>
          <a:endParaRPr lang="ja-JP" altLang="ja-JP" sz="1600">
            <a:effectLst/>
          </a:endParaRPr>
        </a:p>
        <a:p>
          <a:pPr algn="ctr"/>
          <a:endParaRPr lang="en-US" altLang="ja-JP" sz="1600" b="1" i="0">
            <a:solidFill>
              <a:schemeClr val="dk1"/>
            </a:solidFill>
            <a:effectLst/>
            <a:latin typeface="メイリオ" panose="020B0604030504040204" pitchFamily="50" charset="-128"/>
            <a:ea typeface="メイリオ" panose="020B0604030504040204" pitchFamily="50" charset="-128"/>
            <a:cs typeface="メイリオ" panose="020B0604030504040204" pitchFamily="50" charset="-128"/>
          </a:endParaRPr>
        </a:p>
        <a:p>
          <a:pPr algn="ctr"/>
          <a:endParaRPr kumimoji="1" lang="ja-JP" altLang="en-US" sz="1100" b="0">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G1&#31934;&#31639;&#3492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1精算表"/>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E3:O39"/>
  <sheetViews>
    <sheetView tabSelected="1" workbookViewId="0">
      <selection activeCell="H19" sqref="H19:L19"/>
    </sheetView>
  </sheetViews>
  <sheetFormatPr defaultColWidth="9" defaultRowHeight="18.75"/>
  <cols>
    <col min="1" max="4" width="9" style="168"/>
    <col min="5" max="5" width="12.125" style="168" bestFit="1" customWidth="1"/>
    <col min="6" max="16384" width="9" style="168"/>
  </cols>
  <sheetData>
    <row r="3" spans="5:15">
      <c r="E3" s="834" t="s">
        <v>280</v>
      </c>
      <c r="F3" s="835"/>
      <c r="G3" s="835"/>
      <c r="H3" s="835"/>
      <c r="I3" s="835"/>
      <c r="J3" s="835"/>
      <c r="K3" s="836"/>
    </row>
    <row r="4" spans="5:15">
      <c r="E4" s="837"/>
      <c r="F4" s="838"/>
      <c r="G4" s="838"/>
      <c r="H4" s="838"/>
      <c r="I4" s="838"/>
      <c r="J4" s="838"/>
      <c r="K4" s="839"/>
      <c r="M4" s="843">
        <f ca="1">TODAY()</f>
        <v>43137</v>
      </c>
      <c r="N4" s="844"/>
      <c r="O4" s="844"/>
    </row>
    <row r="5" spans="5:15">
      <c r="E5" s="840"/>
      <c r="F5" s="841"/>
      <c r="G5" s="841"/>
      <c r="H5" s="841"/>
      <c r="I5" s="841"/>
      <c r="J5" s="841"/>
      <c r="K5" s="842"/>
      <c r="M5" s="845"/>
      <c r="N5" s="845"/>
      <c r="O5" s="845"/>
    </row>
    <row r="6" spans="5:15">
      <c r="K6" s="829" t="s">
        <v>530</v>
      </c>
    </row>
    <row r="14" spans="5:15" ht="24.95" customHeight="1">
      <c r="E14" s="830" t="s">
        <v>523</v>
      </c>
    </row>
    <row r="15" spans="5:15" ht="24.95" customHeight="1">
      <c r="E15" s="846" t="s">
        <v>518</v>
      </c>
      <c r="F15" s="846"/>
      <c r="G15" s="846"/>
      <c r="H15" s="847" t="s">
        <v>529</v>
      </c>
      <c r="I15" s="847"/>
      <c r="J15" s="847"/>
      <c r="K15" s="847"/>
      <c r="L15" s="847"/>
    </row>
    <row r="16" spans="5:15" ht="24.95" customHeight="1">
      <c r="E16" s="846" t="s">
        <v>519</v>
      </c>
      <c r="F16" s="846"/>
      <c r="G16" s="846"/>
      <c r="H16" s="847" t="s">
        <v>528</v>
      </c>
      <c r="I16" s="847"/>
      <c r="J16" s="847"/>
      <c r="K16" s="847"/>
      <c r="L16" s="847"/>
    </row>
    <row r="17" spans="5:12" ht="24.95" customHeight="1">
      <c r="E17" s="846" t="s">
        <v>520</v>
      </c>
      <c r="F17" s="846"/>
      <c r="G17" s="846"/>
      <c r="H17" t="s">
        <v>525</v>
      </c>
      <c r="I17" s="832"/>
      <c r="J17" s="832"/>
      <c r="K17" s="832"/>
      <c r="L17" s="832"/>
    </row>
    <row r="18" spans="5:12" ht="24.95" customHeight="1">
      <c r="E18" s="846" t="s">
        <v>521</v>
      </c>
      <c r="F18" s="846"/>
      <c r="G18" s="846"/>
      <c r="H18" s="847" t="s">
        <v>527</v>
      </c>
      <c r="I18" s="847"/>
      <c r="J18" s="847"/>
      <c r="K18" s="847"/>
      <c r="L18" s="847"/>
    </row>
    <row r="19" spans="5:12" ht="24.95" customHeight="1">
      <c r="E19" s="846" t="s">
        <v>522</v>
      </c>
      <c r="F19" s="846"/>
      <c r="G19" s="846"/>
      <c r="H19" s="847" t="s">
        <v>526</v>
      </c>
      <c r="I19" s="847"/>
      <c r="J19" s="847"/>
      <c r="K19" s="847"/>
      <c r="L19" s="847"/>
    </row>
    <row r="20" spans="5:12" ht="24.95" customHeight="1">
      <c r="H20" s="828"/>
    </row>
    <row r="22" spans="5:12" ht="22.5">
      <c r="E22" s="830" t="s">
        <v>423</v>
      </c>
    </row>
    <row r="23" spans="5:12">
      <c r="E23" s="168" t="s">
        <v>404</v>
      </c>
    </row>
    <row r="25" spans="5:12">
      <c r="E25" s="168" t="s">
        <v>516</v>
      </c>
    </row>
    <row r="27" spans="5:12">
      <c r="E27" s="168" t="s">
        <v>295</v>
      </c>
    </row>
    <row r="29" spans="5:12">
      <c r="E29" s="168" t="s">
        <v>296</v>
      </c>
    </row>
    <row r="30" spans="5:12">
      <c r="E30" s="831" t="s">
        <v>419</v>
      </c>
    </row>
    <row r="31" spans="5:12">
      <c r="E31" s="831" t="s">
        <v>420</v>
      </c>
    </row>
    <row r="32" spans="5:12">
      <c r="E32" s="831" t="s">
        <v>421</v>
      </c>
    </row>
    <row r="33" spans="5:5">
      <c r="E33" s="168" t="s">
        <v>297</v>
      </c>
    </row>
    <row r="34" spans="5:5">
      <c r="E34" s="168" t="s">
        <v>298</v>
      </c>
    </row>
    <row r="36" spans="5:5">
      <c r="E36" s="168" t="s">
        <v>416</v>
      </c>
    </row>
    <row r="38" spans="5:5" ht="22.5">
      <c r="E38" s="830"/>
    </row>
    <row r="39" spans="5:5">
      <c r="E39" s="833"/>
    </row>
  </sheetData>
  <mergeCells count="11">
    <mergeCell ref="E18:G18"/>
    <mergeCell ref="E19:G19"/>
    <mergeCell ref="H15:L15"/>
    <mergeCell ref="H16:L16"/>
    <mergeCell ref="H18:L18"/>
    <mergeCell ref="H19:L19"/>
    <mergeCell ref="E3:K5"/>
    <mergeCell ref="M4:O5"/>
    <mergeCell ref="E15:G15"/>
    <mergeCell ref="E16:G16"/>
    <mergeCell ref="E17:G17"/>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メニュー表示">
                <anchor moveWithCells="1" sizeWithCells="1">
                  <from>
                    <xdr:col>6</xdr:col>
                    <xdr:colOff>114300</xdr:colOff>
                    <xdr:row>8</xdr:row>
                    <xdr:rowOff>76200</xdr:rowOff>
                  </from>
                  <to>
                    <xdr:col>9</xdr:col>
                    <xdr:colOff>228600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8"/>
  <sheetViews>
    <sheetView workbookViewId="0">
      <selection activeCell="C15" sqref="C15"/>
    </sheetView>
  </sheetViews>
  <sheetFormatPr defaultColWidth="9" defaultRowHeight="24.95" customHeight="1"/>
  <cols>
    <col min="1" max="1" width="7" style="1" customWidth="1"/>
    <col min="2" max="2" width="13.25" style="1" customWidth="1"/>
    <col min="3" max="3" width="8.375" style="1" customWidth="1"/>
    <col min="4" max="4" width="13.875" style="224" customWidth="1"/>
    <col min="5" max="6" width="21.625" style="1" customWidth="1"/>
    <col min="7" max="7" width="16.625" style="1" customWidth="1"/>
    <col min="8" max="8" width="10.125" style="1" customWidth="1"/>
    <col min="9" max="9" width="36.375" style="1" customWidth="1"/>
    <col min="10" max="19" width="15.625" style="1" customWidth="1"/>
    <col min="20" max="20" width="20.625" style="1" customWidth="1"/>
    <col min="21" max="21" width="32.875" style="1" customWidth="1"/>
    <col min="22" max="23" width="20.625" style="1" customWidth="1"/>
    <col min="24" max="16384" width="9" style="1"/>
  </cols>
  <sheetData>
    <row r="1" spans="1:23" ht="38.25" customHeight="1"/>
    <row r="2" spans="1:23" ht="30" customHeight="1" thickBot="1">
      <c r="B2" s="848">
        <v>42736</v>
      </c>
      <c r="C2" s="848"/>
      <c r="D2" s="848"/>
      <c r="E2" s="376" t="s">
        <v>278</v>
      </c>
      <c r="F2" s="404">
        <v>43100</v>
      </c>
    </row>
    <row r="3" spans="1:23" ht="39" customHeight="1" thickTop="1" thickBot="1">
      <c r="A3" s="88" t="s">
        <v>101</v>
      </c>
      <c r="E3" s="88" t="s">
        <v>102</v>
      </c>
      <c r="I3" s="89" t="s">
        <v>103</v>
      </c>
      <c r="J3" s="19"/>
      <c r="K3" s="19"/>
      <c r="L3" s="19"/>
      <c r="M3" s="19"/>
      <c r="N3" s="19"/>
      <c r="O3" s="19"/>
      <c r="P3" s="19"/>
      <c r="Q3" s="19"/>
      <c r="R3" s="19"/>
      <c r="S3" s="19"/>
      <c r="T3" s="19"/>
      <c r="U3" s="88" t="s">
        <v>104</v>
      </c>
    </row>
    <row r="4" spans="1:23" s="168" customFormat="1" ht="36" customHeight="1" thickTop="1" thickBot="1">
      <c r="A4" s="859" t="s">
        <v>27</v>
      </c>
      <c r="B4" s="860"/>
      <c r="C4" s="90" t="s">
        <v>39</v>
      </c>
      <c r="D4" s="395"/>
      <c r="E4" s="396" t="s">
        <v>36</v>
      </c>
      <c r="F4" s="397" t="s">
        <v>45</v>
      </c>
      <c r="G4" s="398" t="s">
        <v>46</v>
      </c>
      <c r="I4" s="399" t="s">
        <v>105</v>
      </c>
      <c r="J4" s="849" t="s">
        <v>106</v>
      </c>
      <c r="K4" s="850"/>
      <c r="L4" s="850"/>
      <c r="M4" s="850"/>
      <c r="N4" s="850"/>
      <c r="O4" s="850"/>
      <c r="P4" s="850"/>
      <c r="Q4" s="850"/>
      <c r="R4" s="850"/>
      <c r="S4" s="851"/>
      <c r="T4" s="400"/>
      <c r="U4" s="401" t="s">
        <v>49</v>
      </c>
      <c r="V4" s="402" t="s">
        <v>50</v>
      </c>
      <c r="W4" s="403" t="s">
        <v>51</v>
      </c>
    </row>
    <row r="5" spans="1:23" ht="24.95" customHeight="1">
      <c r="A5" s="861" t="s">
        <v>81</v>
      </c>
      <c r="B5" s="76" t="s">
        <v>19</v>
      </c>
      <c r="C5" s="77">
        <v>1</v>
      </c>
      <c r="E5" s="236" t="s">
        <v>283</v>
      </c>
      <c r="F5" s="208" t="s">
        <v>41</v>
      </c>
      <c r="G5" s="237"/>
      <c r="I5" s="377"/>
      <c r="J5" s="27"/>
      <c r="K5" s="27"/>
      <c r="L5" s="27"/>
      <c r="M5" s="27"/>
      <c r="N5" s="27"/>
      <c r="O5" s="204"/>
      <c r="P5" s="27"/>
      <c r="Q5" s="27"/>
      <c r="R5" s="204"/>
      <c r="S5" s="28"/>
      <c r="T5" s="19"/>
      <c r="U5" s="20" t="str">
        <f>IF(I5="","",I5)</f>
        <v/>
      </c>
      <c r="V5" s="204"/>
      <c r="W5" s="28"/>
    </row>
    <row r="6" spans="1:23" ht="24.95" customHeight="1">
      <c r="A6" s="862"/>
      <c r="B6" s="78" t="s">
        <v>20</v>
      </c>
      <c r="C6" s="79">
        <v>2</v>
      </c>
      <c r="E6" s="91" t="s">
        <v>284</v>
      </c>
      <c r="F6" s="33" t="s">
        <v>279</v>
      </c>
      <c r="G6" s="238"/>
      <c r="I6" s="377" t="s">
        <v>40</v>
      </c>
      <c r="J6" s="27" t="str">
        <f>E5</f>
        <v>Googleアドセンス</v>
      </c>
      <c r="K6" s="27" t="str">
        <f>E6</f>
        <v>Amazonアソシエイト</v>
      </c>
      <c r="L6" s="27" t="str">
        <f>E7</f>
        <v>A8.net</v>
      </c>
      <c r="M6" s="27" t="str">
        <f>E8</f>
        <v>アクセストレード</v>
      </c>
      <c r="N6" s="27" t="str">
        <f>E9</f>
        <v>もしも</v>
      </c>
      <c r="O6" s="204" t="str">
        <f>E10</f>
        <v>楽天</v>
      </c>
      <c r="P6" s="27" t="str">
        <f>E11</f>
        <v>バリューコマース</v>
      </c>
      <c r="Q6" s="27" t="str">
        <f>E12</f>
        <v>Moba8.net</v>
      </c>
      <c r="R6" s="204" t="str">
        <f>E13</f>
        <v>nend</v>
      </c>
      <c r="S6" s="24" t="str">
        <f>E14</f>
        <v>売上先予備1</v>
      </c>
      <c r="T6" s="19"/>
      <c r="U6" s="20" t="str">
        <f t="shared" ref="U6:U30" si="0">IF(I6="","",I6)</f>
        <v>成果確定</v>
      </c>
      <c r="V6" s="205" t="s">
        <v>56</v>
      </c>
      <c r="W6" s="24" t="s">
        <v>55</v>
      </c>
    </row>
    <row r="7" spans="1:23" ht="24.95" customHeight="1">
      <c r="A7" s="862"/>
      <c r="B7" s="78" t="s">
        <v>22</v>
      </c>
      <c r="C7" s="79">
        <v>3</v>
      </c>
      <c r="E7" s="91" t="s">
        <v>32</v>
      </c>
      <c r="F7" s="33" t="s">
        <v>41</v>
      </c>
      <c r="G7" s="238" t="s">
        <v>46</v>
      </c>
      <c r="I7" s="378" t="s">
        <v>413</v>
      </c>
      <c r="J7" s="383" t="str">
        <f>E5</f>
        <v>Googleアドセンス</v>
      </c>
      <c r="K7" s="384" t="str">
        <f>E7</f>
        <v>A8.net</v>
      </c>
      <c r="L7" s="384" t="str">
        <f>E8</f>
        <v>アクセストレード</v>
      </c>
      <c r="M7" s="384" t="str">
        <f>E9</f>
        <v>もしも</v>
      </c>
      <c r="N7" s="384" t="str">
        <f>E11</f>
        <v>バリューコマース</v>
      </c>
      <c r="O7" s="384" t="str">
        <f>E12</f>
        <v>Moba8.net</v>
      </c>
      <c r="P7" s="385" t="str">
        <f>E13</f>
        <v>nend</v>
      </c>
      <c r="Q7" s="384"/>
      <c r="R7" s="385"/>
      <c r="S7" s="386"/>
      <c r="T7" s="19"/>
      <c r="U7" s="20" t="str">
        <f t="shared" si="0"/>
        <v>振込</v>
      </c>
      <c r="V7" s="205" t="s">
        <v>57</v>
      </c>
      <c r="W7" s="24" t="s">
        <v>56</v>
      </c>
    </row>
    <row r="8" spans="1:23" ht="24.95" customHeight="1">
      <c r="A8" s="862"/>
      <c r="B8" s="78" t="s">
        <v>43</v>
      </c>
      <c r="C8" s="79">
        <v>4</v>
      </c>
      <c r="E8" s="91" t="s">
        <v>33</v>
      </c>
      <c r="F8" s="33" t="s">
        <v>41</v>
      </c>
      <c r="G8" s="238"/>
      <c r="I8" s="378" t="s">
        <v>422</v>
      </c>
      <c r="J8" s="384" t="str">
        <f>E7</f>
        <v>A8.net</v>
      </c>
      <c r="K8" s="384"/>
      <c r="L8" s="384"/>
      <c r="M8" s="384"/>
      <c r="N8" s="384"/>
      <c r="O8" s="385"/>
      <c r="P8" s="384"/>
      <c r="Q8" s="384"/>
      <c r="R8" s="385"/>
      <c r="S8" s="386"/>
      <c r="T8" s="19"/>
      <c r="U8" s="20" t="str">
        <f t="shared" si="0"/>
        <v>振込手数料</v>
      </c>
      <c r="V8" s="205" t="s">
        <v>21</v>
      </c>
      <c r="W8" s="24" t="s">
        <v>56</v>
      </c>
    </row>
    <row r="9" spans="1:23" ht="24.95" customHeight="1">
      <c r="A9" s="862"/>
      <c r="B9" s="78" t="s">
        <v>107</v>
      </c>
      <c r="C9" s="79">
        <v>5</v>
      </c>
      <c r="E9" s="91" t="s">
        <v>47</v>
      </c>
      <c r="F9" s="33" t="s">
        <v>41</v>
      </c>
      <c r="G9" s="238"/>
      <c r="I9" s="378" t="s">
        <v>411</v>
      </c>
      <c r="J9" s="384" t="str">
        <f>E6</f>
        <v>Amazonアソシエイト</v>
      </c>
      <c r="K9" s="384"/>
      <c r="L9" s="384"/>
      <c r="M9" s="384"/>
      <c r="N9" s="384"/>
      <c r="O9" s="385"/>
      <c r="P9" s="384"/>
      <c r="Q9" s="384"/>
      <c r="R9" s="387"/>
      <c r="S9" s="388"/>
      <c r="T9" s="19"/>
      <c r="U9" s="20" t="str">
        <f t="shared" si="0"/>
        <v>Amazonギフト券受取</v>
      </c>
      <c r="V9" s="205" t="s">
        <v>21</v>
      </c>
      <c r="W9" s="24" t="s">
        <v>56</v>
      </c>
    </row>
    <row r="10" spans="1:23" ht="24.95" customHeight="1">
      <c r="A10" s="862"/>
      <c r="B10" s="244" t="s">
        <v>285</v>
      </c>
      <c r="C10" s="245">
        <v>6</v>
      </c>
      <c r="D10" s="232"/>
      <c r="E10" s="91" t="s">
        <v>34</v>
      </c>
      <c r="F10" s="33" t="s">
        <v>44</v>
      </c>
      <c r="G10" s="238"/>
      <c r="I10" s="379" t="s">
        <v>412</v>
      </c>
      <c r="J10" s="389" t="str">
        <f>E10</f>
        <v>楽天</v>
      </c>
      <c r="K10" s="389"/>
      <c r="L10" s="389"/>
      <c r="M10" s="389"/>
      <c r="N10" s="389"/>
      <c r="O10" s="390"/>
      <c r="P10" s="389"/>
      <c r="Q10" s="389"/>
      <c r="R10" s="390"/>
      <c r="S10" s="391"/>
      <c r="T10" s="19"/>
      <c r="U10" s="20" t="str">
        <f t="shared" si="0"/>
        <v>楽天ポイント受取</v>
      </c>
      <c r="V10" s="205" t="s">
        <v>61</v>
      </c>
      <c r="W10" s="24" t="s">
        <v>56</v>
      </c>
    </row>
    <row r="11" spans="1:23" ht="24.95" customHeight="1">
      <c r="A11" s="863"/>
      <c r="B11" s="246" t="s">
        <v>21</v>
      </c>
      <c r="C11" s="247">
        <v>7</v>
      </c>
      <c r="D11" s="232"/>
      <c r="E11" s="241" t="s">
        <v>288</v>
      </c>
      <c r="F11" s="33" t="s">
        <v>316</v>
      </c>
      <c r="G11" s="238"/>
      <c r="I11" s="209" t="s">
        <v>524</v>
      </c>
      <c r="J11" s="27"/>
      <c r="K11" s="27"/>
      <c r="L11" s="27"/>
      <c r="M11" s="27"/>
      <c r="N11" s="27"/>
      <c r="O11" s="204"/>
      <c r="P11" s="27"/>
      <c r="Q11" s="27"/>
      <c r="R11" s="204"/>
      <c r="S11" s="28"/>
      <c r="T11" s="19"/>
      <c r="U11" s="20" t="str">
        <f t="shared" si="0"/>
        <v>事業用クレジットカード引き落とし</v>
      </c>
      <c r="V11" s="205" t="s">
        <v>58</v>
      </c>
      <c r="W11" s="24" t="s">
        <v>57</v>
      </c>
    </row>
    <row r="12" spans="1:23" ht="24.95" customHeight="1">
      <c r="A12" s="855" t="s">
        <v>82</v>
      </c>
      <c r="B12" s="248" t="s">
        <v>23</v>
      </c>
      <c r="C12" s="249">
        <v>8</v>
      </c>
      <c r="D12" s="232"/>
      <c r="E12" s="241" t="s">
        <v>289</v>
      </c>
      <c r="F12" s="33" t="s">
        <v>316</v>
      </c>
      <c r="G12" s="238"/>
      <c r="I12" s="21" t="s">
        <v>60</v>
      </c>
      <c r="J12" s="23"/>
      <c r="K12" s="23"/>
      <c r="L12" s="23"/>
      <c r="M12" s="23"/>
      <c r="N12" s="23"/>
      <c r="O12" s="205"/>
      <c r="P12" s="23"/>
      <c r="Q12" s="23"/>
      <c r="R12" s="205"/>
      <c r="S12" s="24"/>
      <c r="T12" s="19"/>
      <c r="U12" s="20" t="str">
        <f t="shared" si="0"/>
        <v>事業主生活費引出</v>
      </c>
      <c r="V12" s="205" t="s">
        <v>59</v>
      </c>
      <c r="W12" s="24" t="s">
        <v>57</v>
      </c>
    </row>
    <row r="13" spans="1:23" ht="24.95" customHeight="1">
      <c r="A13" s="856"/>
      <c r="B13" s="250" t="s">
        <v>35</v>
      </c>
      <c r="C13" s="251">
        <v>9</v>
      </c>
      <c r="D13" s="232"/>
      <c r="E13" s="242" t="s">
        <v>317</v>
      </c>
      <c r="F13" s="33" t="s">
        <v>316</v>
      </c>
      <c r="G13" s="240"/>
      <c r="I13" s="21" t="s">
        <v>310</v>
      </c>
      <c r="J13" s="23"/>
      <c r="K13" s="23"/>
      <c r="L13" s="23"/>
      <c r="M13" s="23"/>
      <c r="N13" s="23"/>
      <c r="O13" s="205"/>
      <c r="P13" s="23"/>
      <c r="Q13" s="23"/>
      <c r="R13" s="205"/>
      <c r="S13" s="24"/>
      <c r="T13" s="19"/>
      <c r="U13" s="20" t="str">
        <f t="shared" si="0"/>
        <v>書籍購入(アマゾンにてギフト券利用)</v>
      </c>
      <c r="V13" s="205" t="s">
        <v>111</v>
      </c>
      <c r="W13" s="24" t="s">
        <v>299</v>
      </c>
    </row>
    <row r="14" spans="1:23" ht="24.95" customHeight="1" thickBot="1">
      <c r="A14" s="857" t="s">
        <v>83</v>
      </c>
      <c r="B14" s="252" t="s">
        <v>24</v>
      </c>
      <c r="C14" s="245">
        <v>10</v>
      </c>
      <c r="D14" s="232"/>
      <c r="E14" s="243" t="s">
        <v>300</v>
      </c>
      <c r="F14" s="381" t="s">
        <v>316</v>
      </c>
      <c r="G14" s="239"/>
      <c r="I14" s="21" t="s">
        <v>311</v>
      </c>
      <c r="J14" s="23"/>
      <c r="K14" s="23"/>
      <c r="L14" s="23"/>
      <c r="M14" s="23"/>
      <c r="N14" s="23"/>
      <c r="O14" s="205"/>
      <c r="P14" s="23"/>
      <c r="Q14" s="23"/>
      <c r="R14" s="205"/>
      <c r="S14" s="24"/>
      <c r="T14" s="19"/>
      <c r="U14" s="20" t="str">
        <f t="shared" si="0"/>
        <v>書籍購入(アマゾンにてカード払い)</v>
      </c>
      <c r="V14" s="205" t="s">
        <v>111</v>
      </c>
      <c r="W14" s="24" t="s">
        <v>58</v>
      </c>
    </row>
    <row r="15" spans="1:23" ht="24.95" customHeight="1">
      <c r="A15" s="858"/>
      <c r="B15" s="246" t="s">
        <v>286</v>
      </c>
      <c r="C15" s="247">
        <v>11</v>
      </c>
      <c r="D15" s="226"/>
      <c r="E15" s="231"/>
      <c r="I15" s="21" t="s">
        <v>312</v>
      </c>
      <c r="J15" s="23"/>
      <c r="K15" s="23"/>
      <c r="L15" s="23"/>
      <c r="M15" s="23"/>
      <c r="N15" s="23"/>
      <c r="O15" s="205"/>
      <c r="P15" s="23"/>
      <c r="Q15" s="23"/>
      <c r="R15" s="205"/>
      <c r="S15" s="24"/>
      <c r="T15" s="19"/>
      <c r="U15" s="20" t="str">
        <f t="shared" si="0"/>
        <v>書籍購入(アマゾンにてポイント利用)</v>
      </c>
      <c r="V15" s="205" t="s">
        <v>111</v>
      </c>
      <c r="W15" s="24" t="s">
        <v>299</v>
      </c>
    </row>
    <row r="16" spans="1:23" ht="24.95" customHeight="1">
      <c r="A16" s="852" t="s">
        <v>84</v>
      </c>
      <c r="B16" s="75" t="s">
        <v>9</v>
      </c>
      <c r="C16" s="18">
        <v>21</v>
      </c>
      <c r="I16" s="22" t="s">
        <v>108</v>
      </c>
      <c r="J16" s="23" t="s">
        <v>86</v>
      </c>
      <c r="K16" s="23" t="s">
        <v>87</v>
      </c>
      <c r="L16" s="23" t="s">
        <v>88</v>
      </c>
      <c r="M16" s="23"/>
      <c r="N16" s="23"/>
      <c r="O16" s="205"/>
      <c r="P16" s="23"/>
      <c r="Q16" s="23"/>
      <c r="R16" s="205"/>
      <c r="S16" s="24"/>
      <c r="T16" s="19"/>
      <c r="U16" s="20" t="str">
        <f t="shared" si="0"/>
        <v>エックスサーバー（カード払い）</v>
      </c>
      <c r="V16" s="380" t="s">
        <v>62</v>
      </c>
      <c r="W16" s="24" t="s">
        <v>58</v>
      </c>
    </row>
    <row r="17" spans="1:23" ht="24.95" customHeight="1">
      <c r="A17" s="853"/>
      <c r="B17" s="75" t="s">
        <v>10</v>
      </c>
      <c r="C17" s="18">
        <v>22</v>
      </c>
      <c r="I17" s="22" t="s">
        <v>52</v>
      </c>
      <c r="J17" s="23" t="s">
        <v>89</v>
      </c>
      <c r="K17" s="23" t="s">
        <v>88</v>
      </c>
      <c r="L17" s="23"/>
      <c r="M17" s="23"/>
      <c r="N17" s="23"/>
      <c r="O17" s="205"/>
      <c r="P17" s="23"/>
      <c r="Q17" s="23"/>
      <c r="R17" s="205"/>
      <c r="S17" s="24"/>
      <c r="T17" s="19"/>
      <c r="U17" s="20" t="str">
        <f t="shared" si="0"/>
        <v>ドメイン更新費（カード払い）</v>
      </c>
      <c r="V17" s="380" t="s">
        <v>62</v>
      </c>
      <c r="W17" s="24" t="s">
        <v>58</v>
      </c>
    </row>
    <row r="18" spans="1:23" ht="24.95" customHeight="1">
      <c r="A18" s="853"/>
      <c r="B18" s="75" t="s">
        <v>11</v>
      </c>
      <c r="C18" s="18">
        <v>23</v>
      </c>
      <c r="I18" s="22" t="s">
        <v>53</v>
      </c>
      <c r="J18" s="23" t="s">
        <v>89</v>
      </c>
      <c r="K18" s="23" t="s">
        <v>88</v>
      </c>
      <c r="L18" s="23"/>
      <c r="M18" s="23"/>
      <c r="N18" s="23"/>
      <c r="O18" s="205"/>
      <c r="P18" s="23"/>
      <c r="Q18" s="23"/>
      <c r="R18" s="205"/>
      <c r="S18" s="24"/>
      <c r="T18" s="19"/>
      <c r="U18" s="20" t="str">
        <f t="shared" si="0"/>
        <v>ドメイン新規取得（カード払い）</v>
      </c>
      <c r="V18" s="205" t="s">
        <v>62</v>
      </c>
      <c r="W18" s="382" t="s">
        <v>58</v>
      </c>
    </row>
    <row r="19" spans="1:23" ht="24.95" customHeight="1">
      <c r="A19" s="853"/>
      <c r="B19" s="75" t="s">
        <v>13</v>
      </c>
      <c r="C19" s="18">
        <v>24</v>
      </c>
      <c r="I19" s="22" t="s">
        <v>110</v>
      </c>
      <c r="J19" s="31"/>
      <c r="K19" s="31"/>
      <c r="L19" s="31"/>
      <c r="M19" s="31"/>
      <c r="N19" s="31"/>
      <c r="O19" s="206"/>
      <c r="P19" s="23"/>
      <c r="Q19" s="23"/>
      <c r="R19" s="205"/>
      <c r="S19" s="24"/>
      <c r="T19" s="19"/>
      <c r="U19" s="20" t="str">
        <f t="shared" si="0"/>
        <v>ココナラで技術提供（カード払い）</v>
      </c>
      <c r="V19" s="205" t="s">
        <v>143</v>
      </c>
      <c r="W19" s="382" t="s">
        <v>58</v>
      </c>
    </row>
    <row r="20" spans="1:23" ht="24.95" customHeight="1">
      <c r="A20" s="853"/>
      <c r="B20" s="75" t="s">
        <v>190</v>
      </c>
      <c r="C20" s="18">
        <v>25</v>
      </c>
      <c r="I20" s="30" t="s">
        <v>109</v>
      </c>
      <c r="J20" s="23"/>
      <c r="K20" s="23"/>
      <c r="L20" s="23"/>
      <c r="M20" s="23"/>
      <c r="N20" s="23"/>
      <c r="O20" s="205"/>
      <c r="P20" s="23"/>
      <c r="Q20" s="23"/>
      <c r="R20" s="205"/>
      <c r="S20" s="24"/>
      <c r="T20" s="19"/>
      <c r="U20" s="20" t="str">
        <f t="shared" si="0"/>
        <v>クラウドワークスで記事依頼（カード払い）</v>
      </c>
      <c r="V20" s="205" t="s">
        <v>143</v>
      </c>
      <c r="W20" s="24" t="s">
        <v>58</v>
      </c>
    </row>
    <row r="21" spans="1:23" ht="24.95" customHeight="1">
      <c r="A21" s="853"/>
      <c r="B21" s="75" t="s">
        <v>18</v>
      </c>
      <c r="C21" s="18">
        <v>26</v>
      </c>
      <c r="I21" s="21" t="s">
        <v>313</v>
      </c>
      <c r="J21" s="23"/>
      <c r="K21" s="23"/>
      <c r="L21" s="23"/>
      <c r="M21" s="23"/>
      <c r="N21" s="23"/>
      <c r="O21" s="205"/>
      <c r="P21" s="23"/>
      <c r="Q21" s="23"/>
      <c r="R21" s="205"/>
      <c r="S21" s="24"/>
      <c r="T21" s="19"/>
      <c r="U21" s="20" t="str">
        <f t="shared" si="0"/>
        <v>アマゾンギフト券にて</v>
      </c>
      <c r="V21" s="206"/>
      <c r="W21" s="382" t="s">
        <v>299</v>
      </c>
    </row>
    <row r="22" spans="1:23" ht="24.95" customHeight="1">
      <c r="A22" s="853"/>
      <c r="B22" s="75" t="s">
        <v>16</v>
      </c>
      <c r="C22" s="18">
        <v>27</v>
      </c>
      <c r="I22" s="29" t="s">
        <v>314</v>
      </c>
      <c r="J22" s="23"/>
      <c r="K22" s="23"/>
      <c r="L22" s="23"/>
      <c r="M22" s="23"/>
      <c r="N22" s="23"/>
      <c r="O22" s="205"/>
      <c r="P22" s="23"/>
      <c r="Q22" s="23"/>
      <c r="R22" s="205"/>
      <c r="S22" s="24"/>
      <c r="T22" s="19"/>
      <c r="U22" s="392" t="str">
        <f t="shared" si="0"/>
        <v>アマゾンにてカード払いで</v>
      </c>
      <c r="V22" s="206"/>
      <c r="W22" s="382" t="s">
        <v>58</v>
      </c>
    </row>
    <row r="23" spans="1:23" ht="24.95" customHeight="1">
      <c r="A23" s="853"/>
      <c r="B23" s="75" t="s">
        <v>15</v>
      </c>
      <c r="C23" s="18">
        <v>28</v>
      </c>
      <c r="E23" s="74"/>
      <c r="I23" s="22" t="s">
        <v>315</v>
      </c>
      <c r="J23" s="23"/>
      <c r="K23" s="23"/>
      <c r="L23" s="23"/>
      <c r="M23" s="23"/>
      <c r="N23" s="23"/>
      <c r="O23" s="205"/>
      <c r="P23" s="23"/>
      <c r="Q23" s="23"/>
      <c r="R23" s="205"/>
      <c r="S23" s="24"/>
      <c r="U23" s="393" t="str">
        <f t="shared" si="0"/>
        <v>アマゾンポイント利用にて</v>
      </c>
      <c r="V23" s="205"/>
      <c r="W23" s="24" t="s">
        <v>299</v>
      </c>
    </row>
    <row r="24" spans="1:23" ht="24.95" customHeight="1">
      <c r="A24" s="853"/>
      <c r="B24" s="75" t="s">
        <v>17</v>
      </c>
      <c r="C24" s="18">
        <v>29</v>
      </c>
      <c r="E24" s="74"/>
      <c r="I24" s="22" t="s">
        <v>406</v>
      </c>
      <c r="J24" s="23"/>
      <c r="K24" s="23"/>
      <c r="L24" s="23"/>
      <c r="M24" s="23"/>
      <c r="N24" s="23"/>
      <c r="O24" s="205"/>
      <c r="P24" s="23"/>
      <c r="Q24" s="23"/>
      <c r="R24" s="205"/>
      <c r="S24" s="24"/>
      <c r="U24" s="393" t="str">
        <f t="shared" si="0"/>
        <v>事業主家事用購入分（カード払い）</v>
      </c>
      <c r="V24" s="205" t="s">
        <v>405</v>
      </c>
      <c r="W24" s="24" t="s">
        <v>58</v>
      </c>
    </row>
    <row r="25" spans="1:23" ht="24.95" customHeight="1">
      <c r="A25" s="853"/>
      <c r="B25" s="253" t="s">
        <v>91</v>
      </c>
      <c r="C25" s="254">
        <v>30</v>
      </c>
      <c r="E25" s="74"/>
      <c r="I25" s="22" t="s">
        <v>407</v>
      </c>
      <c r="J25" s="23"/>
      <c r="K25" s="23"/>
      <c r="L25" s="23"/>
      <c r="M25" s="23"/>
      <c r="N25" s="23"/>
      <c r="O25" s="205"/>
      <c r="P25" s="23"/>
      <c r="Q25" s="23"/>
      <c r="R25" s="205"/>
      <c r="S25" s="24"/>
      <c r="U25" s="393" t="str">
        <f t="shared" si="0"/>
        <v>家事按分（カード払い）</v>
      </c>
      <c r="V25" s="205" t="s">
        <v>405</v>
      </c>
      <c r="W25" s="24" t="s">
        <v>58</v>
      </c>
    </row>
    <row r="26" spans="1:23" ht="24.95" customHeight="1">
      <c r="A26" s="853"/>
      <c r="B26" s="255" t="s">
        <v>287</v>
      </c>
      <c r="C26" s="254">
        <v>31</v>
      </c>
      <c r="E26" s="74"/>
      <c r="I26" s="22" t="s">
        <v>414</v>
      </c>
      <c r="J26" s="23"/>
      <c r="K26" s="23"/>
      <c r="L26" s="23"/>
      <c r="M26" s="23"/>
      <c r="N26" s="23"/>
      <c r="O26" s="205"/>
      <c r="P26" s="23"/>
      <c r="Q26" s="23"/>
      <c r="R26" s="205"/>
      <c r="S26" s="24"/>
      <c r="U26" s="393" t="str">
        <f t="shared" si="0"/>
        <v>事業主のカードにて</v>
      </c>
      <c r="V26" s="205"/>
      <c r="W26" s="24" t="s">
        <v>410</v>
      </c>
    </row>
    <row r="27" spans="1:23" ht="24.95" customHeight="1">
      <c r="A27" s="853"/>
      <c r="B27" s="255" t="s">
        <v>293</v>
      </c>
      <c r="C27" s="256">
        <v>32</v>
      </c>
      <c r="E27" s="74"/>
      <c r="I27" s="22" t="s">
        <v>408</v>
      </c>
      <c r="J27" s="23"/>
      <c r="K27" s="23"/>
      <c r="L27" s="23"/>
      <c r="M27" s="23"/>
      <c r="N27" s="23"/>
      <c r="O27" s="205"/>
      <c r="P27" s="23"/>
      <c r="Q27" s="23"/>
      <c r="R27" s="205"/>
      <c r="S27" s="24"/>
      <c r="U27" s="393" t="str">
        <f t="shared" si="0"/>
        <v>銀行の利子の受取</v>
      </c>
      <c r="V27" s="205" t="s">
        <v>409</v>
      </c>
      <c r="W27" s="24" t="s">
        <v>410</v>
      </c>
    </row>
    <row r="28" spans="1:23" ht="24.95" customHeight="1">
      <c r="A28" s="853"/>
      <c r="B28" s="227" t="s">
        <v>292</v>
      </c>
      <c r="C28" s="256">
        <v>33</v>
      </c>
      <c r="E28" s="74"/>
      <c r="I28" s="22"/>
      <c r="J28" s="23"/>
      <c r="K28" s="23"/>
      <c r="L28" s="23"/>
      <c r="M28" s="23"/>
      <c r="N28" s="23"/>
      <c r="O28" s="205"/>
      <c r="P28" s="23"/>
      <c r="Q28" s="23"/>
      <c r="R28" s="205"/>
      <c r="S28" s="24"/>
      <c r="U28" s="393" t="str">
        <f t="shared" si="0"/>
        <v/>
      </c>
      <c r="V28" s="205"/>
      <c r="W28" s="24"/>
    </row>
    <row r="29" spans="1:23" ht="24.95" customHeight="1">
      <c r="A29" s="853"/>
      <c r="B29" s="227" t="s">
        <v>294</v>
      </c>
      <c r="C29" s="228">
        <v>34</v>
      </c>
      <c r="I29" s="22"/>
      <c r="J29" s="23"/>
      <c r="K29" s="23"/>
      <c r="L29" s="23"/>
      <c r="M29" s="23"/>
      <c r="N29" s="23"/>
      <c r="O29" s="205"/>
      <c r="P29" s="23"/>
      <c r="Q29" s="23"/>
      <c r="R29" s="205"/>
      <c r="S29" s="24"/>
      <c r="U29" s="393" t="str">
        <f t="shared" si="0"/>
        <v/>
      </c>
      <c r="V29" s="205"/>
      <c r="W29" s="24"/>
    </row>
    <row r="30" spans="1:23" ht="24.95" customHeight="1" thickBot="1">
      <c r="A30" s="854"/>
      <c r="B30" s="229" t="s">
        <v>417</v>
      </c>
      <c r="C30" s="230">
        <v>35</v>
      </c>
      <c r="I30" s="92"/>
      <c r="J30" s="25"/>
      <c r="K30" s="25"/>
      <c r="L30" s="25"/>
      <c r="M30" s="25"/>
      <c r="N30" s="25"/>
      <c r="O30" s="207"/>
      <c r="P30" s="25"/>
      <c r="Q30" s="25"/>
      <c r="R30" s="207"/>
      <c r="S30" s="26"/>
      <c r="U30" s="394" t="str">
        <f t="shared" si="0"/>
        <v/>
      </c>
      <c r="V30" s="207"/>
      <c r="W30" s="26"/>
    </row>
    <row r="31" spans="1:23" ht="24.95" customHeight="1" thickTop="1"/>
    <row r="32" spans="1:23" ht="24.95" customHeight="1">
      <c r="B32" s="10" t="s">
        <v>30</v>
      </c>
    </row>
    <row r="33" spans="2:7" ht="24.95" customHeight="1">
      <c r="B33" s="10" t="s">
        <v>7</v>
      </c>
      <c r="C33" s="19"/>
      <c r="D33" s="225"/>
      <c r="E33" s="19"/>
      <c r="F33" s="19"/>
      <c r="G33" s="19"/>
    </row>
    <row r="34" spans="2:7" ht="24.95" customHeight="1">
      <c r="B34" s="10" t="s">
        <v>8</v>
      </c>
      <c r="C34" s="19"/>
      <c r="D34" s="225"/>
      <c r="E34" s="74"/>
      <c r="F34" s="74"/>
      <c r="G34" s="19"/>
    </row>
    <row r="35" spans="2:7" ht="24.95" customHeight="1">
      <c r="B35" s="10" t="s">
        <v>14</v>
      </c>
      <c r="C35" s="19"/>
      <c r="D35" s="225"/>
      <c r="E35" s="74"/>
      <c r="F35" s="19"/>
      <c r="G35" s="19"/>
    </row>
    <row r="36" spans="2:7" ht="24.95" customHeight="1">
      <c r="B36" s="10" t="s">
        <v>12</v>
      </c>
      <c r="C36" s="19"/>
      <c r="D36" s="225"/>
      <c r="G36" s="19"/>
    </row>
    <row r="37" spans="2:7" ht="24.95" customHeight="1">
      <c r="B37" s="226"/>
      <c r="C37" s="226"/>
      <c r="D37" s="225"/>
      <c r="E37" s="19"/>
      <c r="F37" s="19"/>
      <c r="G37" s="19"/>
    </row>
    <row r="38" spans="2:7" ht="24.95" customHeight="1">
      <c r="B38" s="74"/>
      <c r="C38" s="19"/>
      <c r="D38" s="225"/>
      <c r="E38" s="19"/>
      <c r="F38" s="19"/>
      <c r="G38" s="19"/>
    </row>
  </sheetData>
  <mergeCells count="7">
    <mergeCell ref="B2:D2"/>
    <mergeCell ref="J4:S4"/>
    <mergeCell ref="A16:A30"/>
    <mergeCell ref="A12:A13"/>
    <mergeCell ref="A14:A15"/>
    <mergeCell ref="A4:B4"/>
    <mergeCell ref="A5:A11"/>
  </mergeCells>
  <phoneticPr fontId="2"/>
  <printOptions horizontalCentered="1"/>
  <pageMargins left="0.39370078740157483" right="0.19685039370078741" top="0.39370078740157483" bottom="0.31496062992125984" header="0.31496062992125984" footer="0"/>
  <pageSetup paperSize="9" pageOrder="overThenDown" orientation="portrait" blackAndWhite="1"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K509"/>
  <sheetViews>
    <sheetView zoomScale="120" zoomScaleNormal="120" workbookViewId="0">
      <pane xSplit="1" ySplit="3" topLeftCell="B4" activePane="bottomRight" state="frozen"/>
      <selection activeCell="O13" sqref="O13"/>
      <selection pane="topRight" activeCell="O13" sqref="O13"/>
      <selection pane="bottomLeft" activeCell="O13" sqref="O13"/>
      <selection pane="bottomRight" activeCell="N19" sqref="N19"/>
    </sheetView>
  </sheetViews>
  <sheetFormatPr defaultColWidth="8.875" defaultRowHeight="20.100000000000001" customHeight="1"/>
  <cols>
    <col min="1" max="1" width="10.625" style="36" customWidth="1"/>
    <col min="2" max="2" width="16.625" style="12" customWidth="1"/>
    <col min="3" max="3" width="14.625" style="12" customWidth="1"/>
    <col min="4" max="4" width="5.625" style="2" customWidth="1"/>
    <col min="5" max="5" width="3.625" style="2" customWidth="1"/>
    <col min="6" max="6" width="10.625" style="3" customWidth="1"/>
    <col min="7" max="7" width="10.625" style="4" customWidth="1"/>
    <col min="8" max="8" width="3.625" style="3" customWidth="1"/>
    <col min="9" max="9" width="10.625" style="3" customWidth="1"/>
    <col min="10" max="10" width="10.625" style="4" customWidth="1"/>
    <col min="11" max="11" width="11.625" style="221" customWidth="1"/>
    <col min="12" max="16384" width="8.875" style="2"/>
  </cols>
  <sheetData>
    <row r="1" spans="1:11" ht="32.1" customHeight="1">
      <c r="A1" s="867" t="s">
        <v>25</v>
      </c>
      <c r="B1" s="867"/>
      <c r="C1" s="867"/>
      <c r="D1" s="867"/>
      <c r="E1" s="867"/>
      <c r="F1" s="867"/>
      <c r="G1" s="867"/>
      <c r="H1" s="867"/>
      <c r="I1" s="867"/>
      <c r="J1" s="867"/>
      <c r="K1" s="217"/>
    </row>
    <row r="2" spans="1:11" s="6" customFormat="1" ht="9.9499999999999993" customHeight="1" thickBot="1">
      <c r="A2" s="35"/>
      <c r="B2" s="11"/>
      <c r="C2" s="11"/>
      <c r="D2" s="5"/>
      <c r="F2" s="7"/>
      <c r="G2" s="8"/>
      <c r="H2" s="7"/>
      <c r="I2" s="7"/>
      <c r="J2" s="8"/>
      <c r="K2" s="218"/>
    </row>
    <row r="3" spans="1:11" s="3" customFormat="1" ht="30" customHeight="1" thickTop="1" thickBot="1">
      <c r="A3" s="49">
        <f>YEAR(設定メニュー!$B$2)</f>
        <v>2017</v>
      </c>
      <c r="B3" s="868" t="s">
        <v>1</v>
      </c>
      <c r="C3" s="868"/>
      <c r="D3" s="869"/>
      <c r="E3" s="61" t="s">
        <v>0</v>
      </c>
      <c r="F3" s="14" t="s">
        <v>5</v>
      </c>
      <c r="G3" s="15" t="s">
        <v>4</v>
      </c>
      <c r="H3" s="62" t="s">
        <v>0</v>
      </c>
      <c r="I3" s="14" t="s">
        <v>2</v>
      </c>
      <c r="J3" s="16" t="s">
        <v>3</v>
      </c>
      <c r="K3" s="219"/>
    </row>
    <row r="4" spans="1:11" s="9" customFormat="1" ht="20.100000000000001" customHeight="1">
      <c r="A4" s="803">
        <v>41640</v>
      </c>
      <c r="B4" s="870" t="s">
        <v>38</v>
      </c>
      <c r="C4" s="871"/>
      <c r="D4" s="872"/>
      <c r="E4" s="804"/>
      <c r="F4" s="805"/>
      <c r="G4" s="806">
        <f>前期繰越!B29</f>
        <v>0</v>
      </c>
      <c r="H4" s="794" t="s">
        <v>418</v>
      </c>
      <c r="I4" s="807"/>
      <c r="J4" s="808">
        <f>前期繰越!C29</f>
        <v>0</v>
      </c>
      <c r="K4" s="219"/>
    </row>
    <row r="5" spans="1:11" s="9" customFormat="1" ht="20.100000000000001" customHeight="1">
      <c r="A5" s="13"/>
      <c r="B5" s="48"/>
      <c r="C5" s="48"/>
      <c r="D5" s="585"/>
      <c r="E5" s="60" t="str">
        <f>IFERROR(VLOOKUP(F5,設定メニュー!$B$5:$C$30,2,0),"")</f>
        <v/>
      </c>
      <c r="F5" s="65" t="str">
        <f>IFERROR(VLOOKUP(B5,設定メニュー!$U$5:$W$30,2,0),"")</f>
        <v/>
      </c>
      <c r="G5" s="66"/>
      <c r="H5" s="60" t="str">
        <f>IFERROR(VLOOKUP(I5,設定メニュー!$B$5:$C$30,2,0),"")</f>
        <v/>
      </c>
      <c r="I5" s="55" t="str">
        <f>IFERROR(VLOOKUP(B5,設定メニュー!$U$5:$W$30,3,0),"")</f>
        <v/>
      </c>
      <c r="J5" s="809" t="str">
        <f t="shared" ref="J5:J68" si="0">IF(G5&lt;&gt;"",G5,"")</f>
        <v/>
      </c>
      <c r="K5" s="220"/>
    </row>
    <row r="6" spans="1:11" s="9" customFormat="1" ht="20.100000000000001" customHeight="1">
      <c r="A6" s="13"/>
      <c r="B6" s="48"/>
      <c r="C6" s="48"/>
      <c r="D6" s="585"/>
      <c r="E6" s="60" t="str">
        <f>IFERROR(VLOOKUP(F6,設定メニュー!$B$5:$C$30,2,0),"")</f>
        <v/>
      </c>
      <c r="F6" s="65" t="str">
        <f>IFERROR(VLOOKUP(B6,設定メニュー!$U$5:$W$30,2,0),"")</f>
        <v/>
      </c>
      <c r="G6" s="66"/>
      <c r="H6" s="60" t="str">
        <f>IFERROR(VLOOKUP(I6,設定メニュー!$B$5:$C$30,2,0),"")</f>
        <v/>
      </c>
      <c r="I6" s="55" t="str">
        <f>IFERROR(VLOOKUP(B6,設定メニュー!$U$5:$W$30,3,0),"")</f>
        <v/>
      </c>
      <c r="J6" s="809" t="str">
        <f t="shared" si="0"/>
        <v/>
      </c>
      <c r="K6" s="220"/>
    </row>
    <row r="7" spans="1:11" s="9" customFormat="1" ht="20.100000000000001" customHeight="1">
      <c r="A7" s="13"/>
      <c r="B7" s="48"/>
      <c r="C7" s="48"/>
      <c r="D7" s="585"/>
      <c r="E7" s="60" t="str">
        <f>IFERROR(VLOOKUP(F7,設定メニュー!$B$5:$C$30,2,0),"")</f>
        <v/>
      </c>
      <c r="F7" s="65" t="str">
        <f>IFERROR(VLOOKUP(B7,設定メニュー!$U$5:$W$30,2,0),"")</f>
        <v/>
      </c>
      <c r="G7" s="66"/>
      <c r="H7" s="60" t="str">
        <f>IFERROR(VLOOKUP(I7,設定メニュー!$B$5:$C$30,2,0),"")</f>
        <v/>
      </c>
      <c r="I7" s="55" t="str">
        <f>IFERROR(VLOOKUP(B7,設定メニュー!$U$5:$W$30,3,0),"")</f>
        <v/>
      </c>
      <c r="J7" s="809" t="str">
        <f t="shared" si="0"/>
        <v/>
      </c>
      <c r="K7" s="220"/>
    </row>
    <row r="8" spans="1:11" s="9" customFormat="1" ht="20.100000000000001" customHeight="1">
      <c r="A8" s="13"/>
      <c r="B8" s="48"/>
      <c r="C8" s="48"/>
      <c r="D8" s="585"/>
      <c r="E8" s="60" t="str">
        <f>IFERROR(VLOOKUP(F8,設定メニュー!$B$5:$C$30,2,0),"")</f>
        <v/>
      </c>
      <c r="F8" s="65" t="str">
        <f>IFERROR(VLOOKUP(B8,設定メニュー!$U$5:$W$30,2,0),"")</f>
        <v/>
      </c>
      <c r="G8" s="66"/>
      <c r="H8" s="60" t="str">
        <f>IFERROR(VLOOKUP(I8,設定メニュー!$B$5:$C$30,2,0),"")</f>
        <v/>
      </c>
      <c r="I8" s="55" t="str">
        <f>IFERROR(VLOOKUP(B8,設定メニュー!$U$5:$W$30,3,0),"")</f>
        <v/>
      </c>
      <c r="J8" s="809" t="str">
        <f t="shared" si="0"/>
        <v/>
      </c>
      <c r="K8" s="220"/>
    </row>
    <row r="9" spans="1:11" s="9" customFormat="1" ht="20.100000000000001" customHeight="1">
      <c r="A9" s="13"/>
      <c r="B9" s="48"/>
      <c r="C9" s="48"/>
      <c r="D9" s="585"/>
      <c r="E9" s="60" t="str">
        <f>IFERROR(VLOOKUP(F9,設定メニュー!$B$5:$C$30,2,0),"")</f>
        <v/>
      </c>
      <c r="F9" s="65" t="str">
        <f>IFERROR(VLOOKUP(B9,設定メニュー!$U$5:$W$30,2,0),"")</f>
        <v/>
      </c>
      <c r="G9" s="66"/>
      <c r="H9" s="60" t="str">
        <f>IFERROR(VLOOKUP(I9,設定メニュー!$B$5:$C$30,2,0),"")</f>
        <v/>
      </c>
      <c r="I9" s="55" t="str">
        <f>IFERROR(VLOOKUP(B9,設定メニュー!$U$5:$W$30,3,0),"")</f>
        <v/>
      </c>
      <c r="J9" s="809" t="str">
        <f t="shared" si="0"/>
        <v/>
      </c>
      <c r="K9" s="220"/>
    </row>
    <row r="10" spans="1:11" s="9" customFormat="1" ht="20.100000000000001" customHeight="1">
      <c r="A10" s="13"/>
      <c r="B10" s="48"/>
      <c r="C10" s="48"/>
      <c r="D10" s="585"/>
      <c r="E10" s="60" t="str">
        <f>IFERROR(VLOOKUP(F10,設定メニュー!$B$5:$C$30,2,0),"")</f>
        <v/>
      </c>
      <c r="F10" s="65" t="str">
        <f>IFERROR(VLOOKUP(B10,設定メニュー!$U$5:$W$30,2,0),"")</f>
        <v/>
      </c>
      <c r="G10" s="66"/>
      <c r="H10" s="60" t="str">
        <f>IFERROR(VLOOKUP(I10,設定メニュー!$B$5:$C$30,2,0),"")</f>
        <v/>
      </c>
      <c r="I10" s="55" t="str">
        <f>IFERROR(VLOOKUP(B10,設定メニュー!$U$5:$W$30,3,0),"")</f>
        <v/>
      </c>
      <c r="J10" s="809" t="str">
        <f t="shared" si="0"/>
        <v/>
      </c>
      <c r="K10" s="220"/>
    </row>
    <row r="11" spans="1:11" s="9" customFormat="1" ht="20.100000000000001" customHeight="1">
      <c r="A11" s="13"/>
      <c r="B11" s="48"/>
      <c r="C11" s="48"/>
      <c r="D11" s="585"/>
      <c r="E11" s="60" t="str">
        <f>IFERROR(VLOOKUP(F11,設定メニュー!$B$5:$C$30,2,0),"")</f>
        <v/>
      </c>
      <c r="F11" s="65" t="str">
        <f>IFERROR(VLOOKUP(B11,設定メニュー!$U$5:$W$30,2,0),"")</f>
        <v/>
      </c>
      <c r="G11" s="66"/>
      <c r="H11" s="60" t="str">
        <f>IFERROR(VLOOKUP(I11,設定メニュー!$B$5:$C$30,2,0),"")</f>
        <v/>
      </c>
      <c r="I11" s="55" t="str">
        <f>IFERROR(VLOOKUP(B11,設定メニュー!$U$5:$W$30,3,0),"")</f>
        <v/>
      </c>
      <c r="J11" s="809" t="str">
        <f t="shared" si="0"/>
        <v/>
      </c>
      <c r="K11" s="220"/>
    </row>
    <row r="12" spans="1:11" s="9" customFormat="1" ht="20.100000000000001" customHeight="1">
      <c r="A12" s="13"/>
      <c r="B12" s="48"/>
      <c r="C12" s="48"/>
      <c r="D12" s="585"/>
      <c r="E12" s="60" t="str">
        <f>IFERROR(VLOOKUP(F12,設定メニュー!$B$5:$C$30,2,0),"")</f>
        <v/>
      </c>
      <c r="F12" s="65" t="str">
        <f>IFERROR(VLOOKUP(B12,設定メニュー!$U$5:$W$30,2,0),"")</f>
        <v/>
      </c>
      <c r="G12" s="66"/>
      <c r="H12" s="60" t="str">
        <f>IFERROR(VLOOKUP(I12,設定メニュー!$B$5:$C$30,2,0),"")</f>
        <v/>
      </c>
      <c r="I12" s="55" t="str">
        <f>IFERROR(VLOOKUP(B12,設定メニュー!$U$5:$W$30,3,0),"")</f>
        <v/>
      </c>
      <c r="J12" s="809" t="str">
        <f t="shared" si="0"/>
        <v/>
      </c>
      <c r="K12" s="221"/>
    </row>
    <row r="13" spans="1:11" s="9" customFormat="1" ht="20.100000000000001" customHeight="1">
      <c r="A13" s="13"/>
      <c r="B13" s="48"/>
      <c r="C13" s="48"/>
      <c r="D13" s="585"/>
      <c r="E13" s="60" t="str">
        <f>IFERROR(VLOOKUP(F13,設定メニュー!$B$5:$C$30,2,0),"")</f>
        <v/>
      </c>
      <c r="F13" s="65" t="str">
        <f>IFERROR(VLOOKUP(B13,設定メニュー!$U$5:$W$30,2,0),"")</f>
        <v/>
      </c>
      <c r="G13" s="66"/>
      <c r="H13" s="60" t="str">
        <f>IFERROR(VLOOKUP(I13,設定メニュー!$B$5:$C$30,2,0),"")</f>
        <v/>
      </c>
      <c r="I13" s="55" t="str">
        <f>IFERROR(VLOOKUP(B13,設定メニュー!$U$5:$W$30,3,0),"")</f>
        <v/>
      </c>
      <c r="J13" s="809" t="str">
        <f t="shared" si="0"/>
        <v/>
      </c>
      <c r="K13" s="220"/>
    </row>
    <row r="14" spans="1:11" s="9" customFormat="1" ht="20.100000000000001" customHeight="1">
      <c r="A14" s="13"/>
      <c r="B14" s="48"/>
      <c r="C14" s="48"/>
      <c r="D14" s="585"/>
      <c r="E14" s="60" t="str">
        <f>IFERROR(VLOOKUP(F14,設定メニュー!$B$5:$C$30,2,0),"")</f>
        <v/>
      </c>
      <c r="F14" s="65" t="str">
        <f>IFERROR(VLOOKUP(B14,設定メニュー!$U$5:$W$30,2,0),"")</f>
        <v/>
      </c>
      <c r="G14" s="66"/>
      <c r="H14" s="60" t="str">
        <f>IFERROR(VLOOKUP(I14,設定メニュー!$B$5:$C$30,2,0),"")</f>
        <v/>
      </c>
      <c r="I14" s="55" t="str">
        <f>IFERROR(VLOOKUP(B14,設定メニュー!$U$5:$W$30,3,0),"")</f>
        <v/>
      </c>
      <c r="J14" s="809" t="str">
        <f t="shared" si="0"/>
        <v/>
      </c>
      <c r="K14" s="220"/>
    </row>
    <row r="15" spans="1:11" s="9" customFormat="1" ht="20.100000000000001" customHeight="1">
      <c r="A15" s="13"/>
      <c r="B15" s="48"/>
      <c r="C15" s="48"/>
      <c r="D15" s="585"/>
      <c r="E15" s="60" t="str">
        <f>IFERROR(VLOOKUP(F15,設定メニュー!$B$5:$C$30,2,0),"")</f>
        <v/>
      </c>
      <c r="F15" s="65" t="str">
        <f>IFERROR(VLOOKUP(B15,設定メニュー!$U$5:$W$30,2,0),"")</f>
        <v/>
      </c>
      <c r="G15" s="66"/>
      <c r="H15" s="60" t="str">
        <f>IFERROR(VLOOKUP(I15,設定メニュー!$B$5:$C$30,2,0),"")</f>
        <v/>
      </c>
      <c r="I15" s="55" t="str">
        <f>IFERROR(VLOOKUP(B15,設定メニュー!$U$5:$W$30,3,0),"")</f>
        <v/>
      </c>
      <c r="J15" s="809" t="str">
        <f t="shared" si="0"/>
        <v/>
      </c>
      <c r="K15" s="220"/>
    </row>
    <row r="16" spans="1:11" s="9" customFormat="1" ht="20.100000000000001" customHeight="1">
      <c r="A16" s="13"/>
      <c r="B16" s="48"/>
      <c r="C16" s="48"/>
      <c r="D16" s="585"/>
      <c r="E16" s="60" t="str">
        <f>IFERROR(VLOOKUP(F16,設定メニュー!$B$5:$C$30,2,0),"")</f>
        <v/>
      </c>
      <c r="F16" s="65" t="str">
        <f>IFERROR(VLOOKUP(B16,設定メニュー!$U$5:$W$30,2,0),"")</f>
        <v/>
      </c>
      <c r="G16" s="66"/>
      <c r="H16" s="60" t="str">
        <f>IFERROR(VLOOKUP(I16,設定メニュー!$B$5:$C$30,2,0),"")</f>
        <v/>
      </c>
      <c r="I16" s="55" t="str">
        <f>IFERROR(VLOOKUP(B16,設定メニュー!$U$5:$W$30,3,0),"")</f>
        <v/>
      </c>
      <c r="J16" s="809" t="str">
        <f t="shared" si="0"/>
        <v/>
      </c>
      <c r="K16" s="220"/>
    </row>
    <row r="17" spans="1:11" s="9" customFormat="1" ht="20.100000000000001" customHeight="1">
      <c r="A17" s="13"/>
      <c r="B17" s="48"/>
      <c r="C17" s="48"/>
      <c r="D17" s="585"/>
      <c r="E17" s="60" t="str">
        <f>IFERROR(VLOOKUP(F17,設定メニュー!$B$5:$C$30,2,0),"")</f>
        <v/>
      </c>
      <c r="F17" s="65" t="str">
        <f>IFERROR(VLOOKUP(B17,設定メニュー!$U$5:$W$30,2,0),"")</f>
        <v/>
      </c>
      <c r="G17" s="66"/>
      <c r="H17" s="60" t="str">
        <f>IFERROR(VLOOKUP(I17,設定メニュー!$B$5:$C$30,2,0),"")</f>
        <v/>
      </c>
      <c r="I17" s="55" t="str">
        <f>IFERROR(VLOOKUP(B17,設定メニュー!$U$5:$W$30,3,0),"")</f>
        <v/>
      </c>
      <c r="J17" s="809" t="str">
        <f t="shared" si="0"/>
        <v/>
      </c>
      <c r="K17" s="220"/>
    </row>
    <row r="18" spans="1:11" s="9" customFormat="1" ht="20.100000000000001" customHeight="1">
      <c r="A18" s="13"/>
      <c r="B18" s="48"/>
      <c r="C18" s="48"/>
      <c r="D18" s="585"/>
      <c r="E18" s="60" t="str">
        <f>IFERROR(VLOOKUP(F18,設定メニュー!$B$5:$C$30,2,0),"")</f>
        <v/>
      </c>
      <c r="F18" s="65" t="str">
        <f>IFERROR(VLOOKUP(B18,設定メニュー!$U$5:$W$30,2,0),"")</f>
        <v/>
      </c>
      <c r="G18" s="66"/>
      <c r="H18" s="60" t="str">
        <f>IFERROR(VLOOKUP(I18,設定メニュー!$B$5:$C$30,2,0),"")</f>
        <v/>
      </c>
      <c r="I18" s="55" t="str">
        <f>IFERROR(VLOOKUP(B18,設定メニュー!$U$5:$W$30,3,0),"")</f>
        <v/>
      </c>
      <c r="J18" s="809" t="str">
        <f t="shared" si="0"/>
        <v/>
      </c>
      <c r="K18" s="220"/>
    </row>
    <row r="19" spans="1:11" s="9" customFormat="1" ht="20.100000000000001" customHeight="1">
      <c r="A19" s="13"/>
      <c r="B19" s="48"/>
      <c r="C19" s="48"/>
      <c r="D19" s="585"/>
      <c r="E19" s="60" t="str">
        <f>IFERROR(VLOOKUP(F19,設定メニュー!$B$5:$C$30,2,0),"")</f>
        <v/>
      </c>
      <c r="F19" s="65" t="str">
        <f>IFERROR(VLOOKUP(B19,設定メニュー!$U$5:$W$30,2,0),"")</f>
        <v/>
      </c>
      <c r="G19" s="66"/>
      <c r="H19" s="60" t="str">
        <f>IFERROR(VLOOKUP(I19,設定メニュー!$B$5:$C$30,2,0),"")</f>
        <v/>
      </c>
      <c r="I19" s="55" t="str">
        <f>IFERROR(VLOOKUP(B19,設定メニュー!$U$5:$W$30,3,0),"")</f>
        <v/>
      </c>
      <c r="J19" s="809" t="str">
        <f t="shared" si="0"/>
        <v/>
      </c>
      <c r="K19" s="220"/>
    </row>
    <row r="20" spans="1:11" s="9" customFormat="1" ht="20.100000000000001" customHeight="1">
      <c r="A20" s="13"/>
      <c r="B20" s="48"/>
      <c r="C20" s="48"/>
      <c r="D20" s="585"/>
      <c r="E20" s="60" t="str">
        <f>IFERROR(VLOOKUP(F20,設定メニュー!$B$5:$C$30,2,0),"")</f>
        <v/>
      </c>
      <c r="F20" s="65" t="str">
        <f>IFERROR(VLOOKUP(B20,設定メニュー!$U$5:$W$30,2,0),"")</f>
        <v/>
      </c>
      <c r="G20" s="66"/>
      <c r="H20" s="60" t="str">
        <f>IFERROR(VLOOKUP(I20,設定メニュー!$B$5:$C$30,2,0),"")</f>
        <v/>
      </c>
      <c r="I20" s="55" t="str">
        <f>IFERROR(VLOOKUP(B20,設定メニュー!$U$5:$W$30,3,0),"")</f>
        <v/>
      </c>
      <c r="J20" s="809" t="str">
        <f t="shared" si="0"/>
        <v/>
      </c>
      <c r="K20" s="220"/>
    </row>
    <row r="21" spans="1:11" s="9" customFormat="1" ht="20.100000000000001" customHeight="1">
      <c r="A21" s="64"/>
      <c r="B21" s="48"/>
      <c r="C21" s="48"/>
      <c r="D21" s="585"/>
      <c r="E21" s="60" t="str">
        <f>IFERROR(VLOOKUP(F21,設定メニュー!$B$5:$C$30,2,0),"")</f>
        <v/>
      </c>
      <c r="F21" s="65" t="str">
        <f>IFERROR(VLOOKUP(B21,設定メニュー!$U$5:$W$30,2,0),"")</f>
        <v/>
      </c>
      <c r="G21" s="66"/>
      <c r="H21" s="60" t="str">
        <f>IFERROR(VLOOKUP(I21,設定メニュー!$B$5:$C$30,2,0),"")</f>
        <v/>
      </c>
      <c r="I21" s="55" t="str">
        <f>IFERROR(VLOOKUP(B21,設定メニュー!$U$5:$W$30,3,0),"")</f>
        <v/>
      </c>
      <c r="J21" s="809" t="str">
        <f t="shared" si="0"/>
        <v/>
      </c>
      <c r="K21" s="219"/>
    </row>
    <row r="22" spans="1:11" s="9" customFormat="1" ht="20.100000000000001" customHeight="1">
      <c r="A22" s="13"/>
      <c r="B22" s="48"/>
      <c r="C22" s="48"/>
      <c r="D22" s="585"/>
      <c r="E22" s="60" t="str">
        <f>IFERROR(VLOOKUP(F22,設定メニュー!$B$5:$C$30,2,0),"")</f>
        <v/>
      </c>
      <c r="F22" s="65" t="str">
        <f>IFERROR(VLOOKUP(B22,設定メニュー!$U$5:$W$30,2,0),"")</f>
        <v/>
      </c>
      <c r="G22" s="66"/>
      <c r="H22" s="60" t="str">
        <f>IFERROR(VLOOKUP(I22,設定メニュー!$B$5:$C$30,2,0),"")</f>
        <v/>
      </c>
      <c r="I22" s="55" t="str">
        <f>IFERROR(VLOOKUP(B22,設定メニュー!$U$5:$W$30,3,0),"")</f>
        <v/>
      </c>
      <c r="J22" s="809" t="str">
        <f t="shared" si="0"/>
        <v/>
      </c>
      <c r="K22" s="220"/>
    </row>
    <row r="23" spans="1:11" s="9" customFormat="1" ht="20.100000000000001" customHeight="1">
      <c r="A23" s="13"/>
      <c r="B23" s="48"/>
      <c r="C23" s="48"/>
      <c r="D23" s="585"/>
      <c r="E23" s="60" t="str">
        <f>IFERROR(VLOOKUP(F23,設定メニュー!$B$5:$C$30,2,0),"")</f>
        <v/>
      </c>
      <c r="F23" s="65" t="str">
        <f>IFERROR(VLOOKUP(B23,設定メニュー!$U$5:$W$30,2,0),"")</f>
        <v/>
      </c>
      <c r="G23" s="66"/>
      <c r="H23" s="60" t="str">
        <f>IFERROR(VLOOKUP(I23,設定メニュー!$B$5:$C$30,2,0),"")</f>
        <v/>
      </c>
      <c r="I23" s="55" t="str">
        <f>IFERROR(VLOOKUP(B23,設定メニュー!$U$5:$W$30,3,0),"")</f>
        <v/>
      </c>
      <c r="J23" s="809" t="str">
        <f t="shared" si="0"/>
        <v/>
      </c>
      <c r="K23" s="220"/>
    </row>
    <row r="24" spans="1:11" s="9" customFormat="1" ht="20.100000000000001" customHeight="1">
      <c r="A24" s="13"/>
      <c r="B24" s="48"/>
      <c r="C24" s="48"/>
      <c r="D24" s="585"/>
      <c r="E24" s="60" t="str">
        <f>IFERROR(VLOOKUP(F24,設定メニュー!$B$5:$C$30,2,0),"")</f>
        <v/>
      </c>
      <c r="F24" s="65" t="str">
        <f>IFERROR(VLOOKUP(B24,設定メニュー!$U$5:$W$30,2,0),"")</f>
        <v/>
      </c>
      <c r="G24" s="66"/>
      <c r="H24" s="60" t="str">
        <f>IFERROR(VLOOKUP(I24,設定メニュー!$B$5:$C$30,2,0),"")</f>
        <v/>
      </c>
      <c r="I24" s="55" t="str">
        <f>IFERROR(VLOOKUP(B24,設定メニュー!$U$5:$W$30,3,0),"")</f>
        <v/>
      </c>
      <c r="J24" s="809" t="str">
        <f t="shared" si="0"/>
        <v/>
      </c>
      <c r="K24" s="220"/>
    </row>
    <row r="25" spans="1:11" s="9" customFormat="1" ht="20.100000000000001" customHeight="1">
      <c r="A25" s="13"/>
      <c r="B25" s="48"/>
      <c r="C25" s="48"/>
      <c r="D25" s="585"/>
      <c r="E25" s="60" t="str">
        <f>IFERROR(VLOOKUP(F25,設定メニュー!$B$5:$C$30,2,0),"")</f>
        <v/>
      </c>
      <c r="F25" s="65" t="str">
        <f>IFERROR(VLOOKUP(B25,設定メニュー!$U$5:$W$30,2,0),"")</f>
        <v/>
      </c>
      <c r="G25" s="66"/>
      <c r="H25" s="60" t="str">
        <f>IFERROR(VLOOKUP(I25,設定メニュー!$B$5:$C$30,2,0),"")</f>
        <v/>
      </c>
      <c r="I25" s="55" t="str">
        <f>IFERROR(VLOOKUP(B25,設定メニュー!$U$5:$W$30,3,0),"")</f>
        <v/>
      </c>
      <c r="J25" s="809" t="str">
        <f t="shared" si="0"/>
        <v/>
      </c>
      <c r="K25" s="220"/>
    </row>
    <row r="26" spans="1:11" s="9" customFormat="1" ht="20.100000000000001" customHeight="1">
      <c r="A26" s="13"/>
      <c r="B26" s="48"/>
      <c r="C26" s="48"/>
      <c r="D26" s="585"/>
      <c r="E26" s="60" t="str">
        <f>IFERROR(VLOOKUP(F26,設定メニュー!$B$5:$C$30,2,0),"")</f>
        <v/>
      </c>
      <c r="F26" s="65" t="str">
        <f>IFERROR(VLOOKUP(B26,設定メニュー!$U$5:$W$30,2,0),"")</f>
        <v/>
      </c>
      <c r="G26" s="66"/>
      <c r="H26" s="60" t="str">
        <f>IFERROR(VLOOKUP(I26,設定メニュー!$B$5:$C$30,2,0),"")</f>
        <v/>
      </c>
      <c r="I26" s="55" t="str">
        <f>IFERROR(VLOOKUP(B26,設定メニュー!$U$5:$W$30,3,0),"")</f>
        <v/>
      </c>
      <c r="J26" s="809" t="str">
        <f t="shared" si="0"/>
        <v/>
      </c>
      <c r="K26" s="220"/>
    </row>
    <row r="27" spans="1:11" s="9" customFormat="1" ht="20.100000000000001" customHeight="1">
      <c r="A27" s="13"/>
      <c r="B27" s="48"/>
      <c r="C27" s="48"/>
      <c r="D27" s="585"/>
      <c r="E27" s="60" t="str">
        <f>IFERROR(VLOOKUP(F27,設定メニュー!$B$5:$C$30,2,0),"")</f>
        <v/>
      </c>
      <c r="F27" s="65" t="str">
        <f>IFERROR(VLOOKUP(B27,設定メニュー!$U$5:$W$30,2,0),"")</f>
        <v/>
      </c>
      <c r="G27" s="66"/>
      <c r="H27" s="60" t="str">
        <f>IFERROR(VLOOKUP(I27,設定メニュー!$B$5:$C$30,2,0),"")</f>
        <v/>
      </c>
      <c r="I27" s="55" t="str">
        <f>IFERROR(VLOOKUP(B27,設定メニュー!$U$5:$W$30,3,0),"")</f>
        <v/>
      </c>
      <c r="J27" s="809" t="str">
        <f t="shared" si="0"/>
        <v/>
      </c>
      <c r="K27" s="220"/>
    </row>
    <row r="28" spans="1:11" s="9" customFormat="1" ht="20.100000000000001" customHeight="1">
      <c r="A28" s="13"/>
      <c r="B28" s="48"/>
      <c r="C28" s="48"/>
      <c r="D28" s="585"/>
      <c r="E28" s="60" t="str">
        <f>IFERROR(VLOOKUP(F28,設定メニュー!$B$5:$C$30,2,0),"")</f>
        <v/>
      </c>
      <c r="F28" s="65" t="str">
        <f>IFERROR(VLOOKUP(B28,設定メニュー!$U$5:$W$30,2,0),"")</f>
        <v/>
      </c>
      <c r="G28" s="66"/>
      <c r="H28" s="60" t="str">
        <f>IFERROR(VLOOKUP(I28,設定メニュー!$B$5:$C$30,2,0),"")</f>
        <v/>
      </c>
      <c r="I28" s="55" t="str">
        <f>IFERROR(VLOOKUP(B28,設定メニュー!$U$5:$W$30,3,0),"")</f>
        <v/>
      </c>
      <c r="J28" s="809" t="str">
        <f t="shared" si="0"/>
        <v/>
      </c>
      <c r="K28" s="220"/>
    </row>
    <row r="29" spans="1:11" s="9" customFormat="1" ht="20.100000000000001" customHeight="1">
      <c r="A29" s="13"/>
      <c r="B29" s="48"/>
      <c r="C29" s="48"/>
      <c r="D29" s="585"/>
      <c r="E29" s="60" t="str">
        <f>IFERROR(VLOOKUP(F29,設定メニュー!$B$5:$C$30,2,0),"")</f>
        <v/>
      </c>
      <c r="F29" s="65" t="str">
        <f>IFERROR(VLOOKUP(B29,設定メニュー!$U$5:$W$30,2,0),"")</f>
        <v/>
      </c>
      <c r="G29" s="66"/>
      <c r="H29" s="60" t="str">
        <f>IFERROR(VLOOKUP(I29,設定メニュー!$B$5:$C$30,2,0),"")</f>
        <v/>
      </c>
      <c r="I29" s="55" t="str">
        <f>IFERROR(VLOOKUP(B29,設定メニュー!$U$5:$W$30,3,0),"")</f>
        <v/>
      </c>
      <c r="J29" s="809" t="str">
        <f t="shared" si="0"/>
        <v/>
      </c>
      <c r="K29" s="220"/>
    </row>
    <row r="30" spans="1:11" s="9" customFormat="1" ht="20.100000000000001" customHeight="1">
      <c r="A30" s="13"/>
      <c r="B30" s="48"/>
      <c r="C30" s="48"/>
      <c r="D30" s="585"/>
      <c r="E30" s="60" t="str">
        <f>IFERROR(VLOOKUP(F30,設定メニュー!$B$5:$C$30,2,0),"")</f>
        <v/>
      </c>
      <c r="F30" s="65" t="str">
        <f>IFERROR(VLOOKUP(B30,設定メニュー!$U$5:$W$30,2,0),"")</f>
        <v/>
      </c>
      <c r="G30" s="66"/>
      <c r="H30" s="60" t="str">
        <f>IFERROR(VLOOKUP(I30,設定メニュー!$B$5:$C$30,2,0),"")</f>
        <v/>
      </c>
      <c r="I30" s="55" t="str">
        <f>IFERROR(VLOOKUP(B30,設定メニュー!$U$5:$W$30,3,0),"")</f>
        <v/>
      </c>
      <c r="J30" s="809" t="str">
        <f t="shared" si="0"/>
        <v/>
      </c>
      <c r="K30" s="220"/>
    </row>
    <row r="31" spans="1:11" s="9" customFormat="1" ht="20.100000000000001" customHeight="1">
      <c r="A31" s="64"/>
      <c r="B31" s="48"/>
      <c r="C31" s="48"/>
      <c r="D31" s="585"/>
      <c r="E31" s="60" t="str">
        <f>IFERROR(VLOOKUP(F31,設定メニュー!$B$5:$C$30,2,0),"")</f>
        <v/>
      </c>
      <c r="F31" s="65" t="str">
        <f>IFERROR(VLOOKUP(B31,設定メニュー!$U$5:$W$30,2,0),"")</f>
        <v/>
      </c>
      <c r="G31" s="66"/>
      <c r="H31" s="60" t="str">
        <f>IFERROR(VLOOKUP(I31,設定メニュー!$B$5:$C$30,2,0),"")</f>
        <v/>
      </c>
      <c r="I31" s="55" t="str">
        <f>IFERROR(VLOOKUP(B31,設定メニュー!$U$5:$W$30,3,0),"")</f>
        <v/>
      </c>
      <c r="J31" s="809" t="str">
        <f t="shared" si="0"/>
        <v/>
      </c>
      <c r="K31" s="220"/>
    </row>
    <row r="32" spans="1:11" s="9" customFormat="1" ht="20.100000000000001" customHeight="1">
      <c r="A32" s="13"/>
      <c r="B32" s="48"/>
      <c r="C32" s="48"/>
      <c r="D32" s="585"/>
      <c r="E32" s="60" t="str">
        <f>IFERROR(VLOOKUP(F32,設定メニュー!$B$5:$C$30,2,0),"")</f>
        <v/>
      </c>
      <c r="F32" s="65" t="str">
        <f>IFERROR(VLOOKUP(B32,設定メニュー!$U$5:$W$30,2,0),"")</f>
        <v/>
      </c>
      <c r="G32" s="66"/>
      <c r="H32" s="60" t="str">
        <f>IFERROR(VLOOKUP(I32,設定メニュー!$B$5:$C$30,2,0),"")</f>
        <v/>
      </c>
      <c r="I32" s="55" t="str">
        <f>IFERROR(VLOOKUP(B32,設定メニュー!$U$5:$W$30,3,0),"")</f>
        <v/>
      </c>
      <c r="J32" s="809" t="str">
        <f t="shared" si="0"/>
        <v/>
      </c>
      <c r="K32" s="221"/>
    </row>
    <row r="33" spans="1:11" s="9" customFormat="1" ht="20.100000000000001" customHeight="1">
      <c r="A33" s="13"/>
      <c r="B33" s="48"/>
      <c r="C33" s="48"/>
      <c r="D33" s="585"/>
      <c r="E33" s="60" t="str">
        <f>IFERROR(VLOOKUP(F33,設定メニュー!$B$5:$C$30,2,0),"")</f>
        <v/>
      </c>
      <c r="F33" s="65" t="str">
        <f>IFERROR(VLOOKUP(B33,設定メニュー!$U$5:$W$30,2,0),"")</f>
        <v/>
      </c>
      <c r="G33" s="66"/>
      <c r="H33" s="60" t="str">
        <f>IFERROR(VLOOKUP(I33,設定メニュー!$B$5:$C$30,2,0),"")</f>
        <v/>
      </c>
      <c r="I33" s="55" t="str">
        <f>IFERROR(VLOOKUP(B33,設定メニュー!$U$5:$W$30,3,0),"")</f>
        <v/>
      </c>
      <c r="J33" s="809" t="str">
        <f t="shared" si="0"/>
        <v/>
      </c>
      <c r="K33" s="221"/>
    </row>
    <row r="34" spans="1:11" s="9" customFormat="1" ht="20.100000000000001" customHeight="1">
      <c r="A34" s="13"/>
      <c r="B34" s="48"/>
      <c r="C34" s="48"/>
      <c r="D34" s="585"/>
      <c r="E34" s="60" t="str">
        <f>IFERROR(VLOOKUP(F34,設定メニュー!$B$5:$C$30,2,0),"")</f>
        <v/>
      </c>
      <c r="F34" s="65" t="str">
        <f>IFERROR(VLOOKUP(B34,設定メニュー!$U$5:$W$30,2,0),"")</f>
        <v/>
      </c>
      <c r="G34" s="66"/>
      <c r="H34" s="60" t="str">
        <f>IFERROR(VLOOKUP(I34,設定メニュー!$B$5:$C$30,2,0),"")</f>
        <v/>
      </c>
      <c r="I34" s="55" t="str">
        <f>IFERROR(VLOOKUP(B34,設定メニュー!$U$5:$W$30,3,0),"")</f>
        <v/>
      </c>
      <c r="J34" s="809" t="str">
        <f t="shared" si="0"/>
        <v/>
      </c>
      <c r="K34" s="221"/>
    </row>
    <row r="35" spans="1:11" s="9" customFormat="1" ht="20.100000000000001" customHeight="1">
      <c r="A35" s="13"/>
      <c r="B35" s="48"/>
      <c r="C35" s="48"/>
      <c r="D35" s="585"/>
      <c r="E35" s="60" t="str">
        <f>IFERROR(VLOOKUP(F35,設定メニュー!$B$5:$C$30,2,0),"")</f>
        <v/>
      </c>
      <c r="F35" s="65" t="str">
        <f>IFERROR(VLOOKUP(B35,設定メニュー!$U$5:$W$30,2,0),"")</f>
        <v/>
      </c>
      <c r="G35" s="66"/>
      <c r="H35" s="60" t="str">
        <f>IFERROR(VLOOKUP(I35,設定メニュー!$B$5:$C$30,2,0),"")</f>
        <v/>
      </c>
      <c r="I35" s="55" t="str">
        <f>IFERROR(VLOOKUP(B35,設定メニュー!$U$5:$W$30,3,0),"")</f>
        <v/>
      </c>
      <c r="J35" s="809" t="str">
        <f t="shared" si="0"/>
        <v/>
      </c>
      <c r="K35" s="221"/>
    </row>
    <row r="36" spans="1:11" s="9" customFormat="1" ht="20.100000000000001" customHeight="1">
      <c r="A36" s="13"/>
      <c r="B36" s="48"/>
      <c r="C36" s="48"/>
      <c r="D36" s="585"/>
      <c r="E36" s="60" t="str">
        <f>IFERROR(VLOOKUP(F36,設定メニュー!$B$5:$C$30,2,0),"")</f>
        <v/>
      </c>
      <c r="F36" s="65" t="str">
        <f>IFERROR(VLOOKUP(B36,設定メニュー!$U$5:$W$30,2,0),"")</f>
        <v/>
      </c>
      <c r="G36" s="66"/>
      <c r="H36" s="60" t="str">
        <f>IFERROR(VLOOKUP(I36,設定メニュー!$B$5:$C$30,2,0),"")</f>
        <v/>
      </c>
      <c r="I36" s="55" t="str">
        <f>IFERROR(VLOOKUP(B36,設定メニュー!$U$5:$W$30,3,0),"")</f>
        <v/>
      </c>
      <c r="J36" s="809" t="str">
        <f t="shared" si="0"/>
        <v/>
      </c>
      <c r="K36" s="221"/>
    </row>
    <row r="37" spans="1:11" s="9" customFormat="1" ht="20.100000000000001" customHeight="1">
      <c r="A37" s="64"/>
      <c r="B37" s="48"/>
      <c r="C37" s="48"/>
      <c r="D37" s="585"/>
      <c r="E37" s="60" t="str">
        <f>IFERROR(VLOOKUP(F37,設定メニュー!$B$5:$C$30,2,0),"")</f>
        <v/>
      </c>
      <c r="F37" s="65" t="str">
        <f>IFERROR(VLOOKUP(B37,設定メニュー!$U$5:$W$30,2,0),"")</f>
        <v/>
      </c>
      <c r="G37" s="66"/>
      <c r="H37" s="60" t="str">
        <f>IFERROR(VLOOKUP(I37,設定メニュー!$B$5:$C$30,2,0),"")</f>
        <v/>
      </c>
      <c r="I37" s="55" t="str">
        <f>IFERROR(VLOOKUP(B37,設定メニュー!$U$5:$W$30,3,0),"")</f>
        <v/>
      </c>
      <c r="J37" s="809" t="str">
        <f t="shared" si="0"/>
        <v/>
      </c>
      <c r="K37" s="220"/>
    </row>
    <row r="38" spans="1:11" s="9" customFormat="1" ht="20.100000000000001" customHeight="1">
      <c r="A38" s="64"/>
      <c r="B38" s="48"/>
      <c r="C38" s="48"/>
      <c r="D38" s="585"/>
      <c r="E38" s="60" t="str">
        <f>IFERROR(VLOOKUP(F38,設定メニュー!$B$5:$C$30,2,0),"")</f>
        <v/>
      </c>
      <c r="F38" s="65" t="str">
        <f>IFERROR(VLOOKUP(B38,設定メニュー!$U$5:$W$30,2,0),"")</f>
        <v/>
      </c>
      <c r="G38" s="66"/>
      <c r="H38" s="60" t="str">
        <f>IFERROR(VLOOKUP(I38,設定メニュー!$B$5:$C$30,2,0),"")</f>
        <v/>
      </c>
      <c r="I38" s="55" t="str">
        <f>IFERROR(VLOOKUP(B38,設定メニュー!$U$5:$W$30,3,0),"")</f>
        <v/>
      </c>
      <c r="J38" s="809" t="str">
        <f t="shared" si="0"/>
        <v/>
      </c>
      <c r="K38" s="220"/>
    </row>
    <row r="39" spans="1:11" s="9" customFormat="1" ht="20.100000000000001" customHeight="1">
      <c r="A39" s="64"/>
      <c r="B39" s="48"/>
      <c r="C39" s="48"/>
      <c r="D39" s="585"/>
      <c r="E39" s="60" t="str">
        <f>IFERROR(VLOOKUP(F39,設定メニュー!$B$5:$C$30,2,0),"")</f>
        <v/>
      </c>
      <c r="F39" s="65" t="str">
        <f>IFERROR(VLOOKUP(B39,設定メニュー!$U$5:$W$30,2,0),"")</f>
        <v/>
      </c>
      <c r="G39" s="66"/>
      <c r="H39" s="60" t="str">
        <f>IFERROR(VLOOKUP(I39,設定メニュー!$B$5:$C$30,2,0),"")</f>
        <v/>
      </c>
      <c r="I39" s="55" t="str">
        <f>IFERROR(VLOOKUP(B39,設定メニュー!$U$5:$W$30,3,0),"")</f>
        <v/>
      </c>
      <c r="J39" s="809" t="str">
        <f t="shared" si="0"/>
        <v/>
      </c>
      <c r="K39" s="220"/>
    </row>
    <row r="40" spans="1:11" s="9" customFormat="1" ht="20.100000000000001" customHeight="1">
      <c r="A40" s="64"/>
      <c r="B40" s="48"/>
      <c r="C40" s="48"/>
      <c r="D40" s="585"/>
      <c r="E40" s="60" t="str">
        <f>IFERROR(VLOOKUP(F40,設定メニュー!$B$5:$C$30,2,0),"")</f>
        <v/>
      </c>
      <c r="F40" s="65" t="str">
        <f>IFERROR(VLOOKUP(B40,設定メニュー!$U$5:$W$30,2,0),"")</f>
        <v/>
      </c>
      <c r="G40" s="66"/>
      <c r="H40" s="60" t="str">
        <f>IFERROR(VLOOKUP(I40,設定メニュー!$B$5:$C$30,2,0),"")</f>
        <v/>
      </c>
      <c r="I40" s="55" t="str">
        <f>IFERROR(VLOOKUP(B40,設定メニュー!$U$5:$W$30,3,0),"")</f>
        <v/>
      </c>
      <c r="J40" s="809" t="str">
        <f t="shared" si="0"/>
        <v/>
      </c>
      <c r="K40" s="220"/>
    </row>
    <row r="41" spans="1:11" s="9" customFormat="1" ht="20.100000000000001" customHeight="1">
      <c r="A41" s="64"/>
      <c r="B41" s="48"/>
      <c r="C41" s="48"/>
      <c r="D41" s="585"/>
      <c r="E41" s="60" t="str">
        <f>IFERROR(VLOOKUP(F41,設定メニュー!$B$5:$C$30,2,0),"")</f>
        <v/>
      </c>
      <c r="F41" s="65" t="str">
        <f>IFERROR(VLOOKUP(B41,設定メニュー!$U$5:$W$30,2,0),"")</f>
        <v/>
      </c>
      <c r="G41" s="66"/>
      <c r="H41" s="60" t="str">
        <f>IFERROR(VLOOKUP(I41,設定メニュー!$B$5:$C$30,2,0),"")</f>
        <v/>
      </c>
      <c r="I41" s="55" t="str">
        <f>IFERROR(VLOOKUP(B41,設定メニュー!$U$5:$W$30,3,0),"")</f>
        <v/>
      </c>
      <c r="J41" s="809" t="str">
        <f t="shared" si="0"/>
        <v/>
      </c>
      <c r="K41" s="220"/>
    </row>
    <row r="42" spans="1:11" s="9" customFormat="1" ht="20.100000000000001" customHeight="1">
      <c r="A42" s="13"/>
      <c r="B42" s="48"/>
      <c r="C42" s="48"/>
      <c r="D42" s="585"/>
      <c r="E42" s="60" t="str">
        <f>IFERROR(VLOOKUP(F42,設定メニュー!$B$5:$C$30,2,0),"")</f>
        <v/>
      </c>
      <c r="F42" s="65" t="str">
        <f>IFERROR(VLOOKUP(B42,設定メニュー!$U$5:$W$30,2,0),"")</f>
        <v/>
      </c>
      <c r="G42" s="66"/>
      <c r="H42" s="60" t="str">
        <f>IFERROR(VLOOKUP(I42,設定メニュー!$B$5:$C$30,2,0),"")</f>
        <v/>
      </c>
      <c r="I42" s="55" t="str">
        <f>IFERROR(VLOOKUP(B42,設定メニュー!$U$5:$W$30,3,0),"")</f>
        <v/>
      </c>
      <c r="J42" s="809" t="str">
        <f t="shared" si="0"/>
        <v/>
      </c>
      <c r="K42" s="220"/>
    </row>
    <row r="43" spans="1:11" s="9" customFormat="1" ht="20.100000000000001" customHeight="1">
      <c r="A43" s="64"/>
      <c r="B43" s="48"/>
      <c r="C43" s="48"/>
      <c r="D43" s="585"/>
      <c r="E43" s="60" t="str">
        <f>IFERROR(VLOOKUP(F43,設定メニュー!$B$5:$C$30,2,0),"")</f>
        <v/>
      </c>
      <c r="F43" s="65" t="str">
        <f>IFERROR(VLOOKUP(B43,設定メニュー!$U$5:$W$30,2,0),"")</f>
        <v/>
      </c>
      <c r="G43" s="66"/>
      <c r="H43" s="60" t="str">
        <f>IFERROR(VLOOKUP(I43,設定メニュー!$B$5:$C$30,2,0),"")</f>
        <v/>
      </c>
      <c r="I43" s="55" t="str">
        <f>IFERROR(VLOOKUP(B43,設定メニュー!$U$5:$W$30,3,0),"")</f>
        <v/>
      </c>
      <c r="J43" s="809" t="str">
        <f t="shared" si="0"/>
        <v/>
      </c>
      <c r="K43" s="220"/>
    </row>
    <row r="44" spans="1:11" s="9" customFormat="1" ht="20.100000000000001" customHeight="1">
      <c r="A44" s="13"/>
      <c r="B44" s="48"/>
      <c r="C44" s="48"/>
      <c r="D44" s="585"/>
      <c r="E44" s="60" t="str">
        <f>IFERROR(VLOOKUP(F44,設定メニュー!$B$5:$C$30,2,0),"")</f>
        <v/>
      </c>
      <c r="F44" s="65" t="str">
        <f>IFERROR(VLOOKUP(B44,設定メニュー!$U$5:$W$30,2,0),"")</f>
        <v/>
      </c>
      <c r="G44" s="66"/>
      <c r="H44" s="60" t="str">
        <f>IFERROR(VLOOKUP(I44,設定メニュー!$B$5:$C$30,2,0),"")</f>
        <v/>
      </c>
      <c r="I44" s="55" t="str">
        <f>IFERROR(VLOOKUP(B44,設定メニュー!$U$5:$W$30,3,0),"")</f>
        <v/>
      </c>
      <c r="J44" s="809" t="str">
        <f t="shared" si="0"/>
        <v/>
      </c>
      <c r="K44" s="220"/>
    </row>
    <row r="45" spans="1:11" s="9" customFormat="1" ht="20.100000000000001" customHeight="1">
      <c r="A45" s="13"/>
      <c r="B45" s="48"/>
      <c r="C45" s="48"/>
      <c r="D45" s="585"/>
      <c r="E45" s="60" t="str">
        <f>IFERROR(VLOOKUP(F45,設定メニュー!$B$5:$C$30,2,0),"")</f>
        <v/>
      </c>
      <c r="F45" s="65" t="str">
        <f>IFERROR(VLOOKUP(B45,設定メニュー!$U$5:$W$30,2,0),"")</f>
        <v/>
      </c>
      <c r="G45" s="66"/>
      <c r="H45" s="60" t="str">
        <f>IFERROR(VLOOKUP(I45,設定メニュー!$B$5:$C$30,2,0),"")</f>
        <v/>
      </c>
      <c r="I45" s="55" t="str">
        <f>IFERROR(VLOOKUP(B45,設定メニュー!$U$5:$W$30,3,0),"")</f>
        <v/>
      </c>
      <c r="J45" s="809" t="str">
        <f t="shared" si="0"/>
        <v/>
      </c>
      <c r="K45" s="220"/>
    </row>
    <row r="46" spans="1:11" s="9" customFormat="1" ht="20.100000000000001" customHeight="1">
      <c r="A46" s="13"/>
      <c r="B46" s="48"/>
      <c r="C46" s="48"/>
      <c r="D46" s="585"/>
      <c r="E46" s="60" t="str">
        <f>IFERROR(VLOOKUP(F46,設定メニュー!$B$5:$C$30,2,0),"")</f>
        <v/>
      </c>
      <c r="F46" s="65" t="str">
        <f>IFERROR(VLOOKUP(B46,設定メニュー!$U$5:$W$30,2,0),"")</f>
        <v/>
      </c>
      <c r="G46" s="66"/>
      <c r="H46" s="60" t="str">
        <f>IFERROR(VLOOKUP(I46,設定メニュー!$B$5:$C$30,2,0),"")</f>
        <v/>
      </c>
      <c r="I46" s="55" t="str">
        <f>IFERROR(VLOOKUP(B46,設定メニュー!$U$5:$W$30,3,0),"")</f>
        <v/>
      </c>
      <c r="J46" s="809" t="str">
        <f t="shared" si="0"/>
        <v/>
      </c>
      <c r="K46" s="220"/>
    </row>
    <row r="47" spans="1:11" s="9" customFormat="1" ht="20.100000000000001" customHeight="1">
      <c r="A47" s="13"/>
      <c r="B47" s="48"/>
      <c r="C47" s="48"/>
      <c r="D47" s="585"/>
      <c r="E47" s="60" t="str">
        <f>IFERROR(VLOOKUP(F47,設定メニュー!$B$5:$C$30,2,0),"")</f>
        <v/>
      </c>
      <c r="F47" s="65" t="str">
        <f>IFERROR(VLOOKUP(B47,設定メニュー!$U$5:$W$30,2,0),"")</f>
        <v/>
      </c>
      <c r="G47" s="66"/>
      <c r="H47" s="60" t="str">
        <f>IFERROR(VLOOKUP(I47,設定メニュー!$B$5:$C$30,2,0),"")</f>
        <v/>
      </c>
      <c r="I47" s="55" t="str">
        <f>IFERROR(VLOOKUP(B47,設定メニュー!$U$5:$W$30,3,0),"")</f>
        <v/>
      </c>
      <c r="J47" s="809" t="str">
        <f t="shared" si="0"/>
        <v/>
      </c>
      <c r="K47" s="220"/>
    </row>
    <row r="48" spans="1:11" s="9" customFormat="1" ht="20.100000000000001" customHeight="1">
      <c r="A48" s="13"/>
      <c r="B48" s="48"/>
      <c r="C48" s="48"/>
      <c r="D48" s="585"/>
      <c r="E48" s="60" t="str">
        <f>IFERROR(VLOOKUP(F48,設定メニュー!$B$5:$C$30,2,0),"")</f>
        <v/>
      </c>
      <c r="F48" s="65" t="str">
        <f>IFERROR(VLOOKUP(B48,設定メニュー!$U$5:$W$30,2,0),"")</f>
        <v/>
      </c>
      <c r="G48" s="66"/>
      <c r="H48" s="60" t="str">
        <f>IFERROR(VLOOKUP(I48,設定メニュー!$B$5:$C$30,2,0),"")</f>
        <v/>
      </c>
      <c r="I48" s="55" t="str">
        <f>IFERROR(VLOOKUP(B48,設定メニュー!$U$5:$W$30,3,0),"")</f>
        <v/>
      </c>
      <c r="J48" s="809" t="str">
        <f t="shared" si="0"/>
        <v/>
      </c>
      <c r="K48" s="220"/>
    </row>
    <row r="49" spans="1:11" s="9" customFormat="1" ht="20.100000000000001" customHeight="1">
      <c r="A49" s="13"/>
      <c r="B49" s="48"/>
      <c r="C49" s="48"/>
      <c r="D49" s="585"/>
      <c r="E49" s="60" t="str">
        <f>IFERROR(VLOOKUP(F49,設定メニュー!$B$5:$C$30,2,0),"")</f>
        <v/>
      </c>
      <c r="F49" s="65" t="str">
        <f>IFERROR(VLOOKUP(B49,設定メニュー!$U$5:$W$30,2,0),"")</f>
        <v/>
      </c>
      <c r="G49" s="66"/>
      <c r="H49" s="60" t="str">
        <f>IFERROR(VLOOKUP(I49,設定メニュー!$B$5:$C$30,2,0),"")</f>
        <v/>
      </c>
      <c r="I49" s="55" t="str">
        <f>IFERROR(VLOOKUP(B49,設定メニュー!$U$5:$W$30,3,0),"")</f>
        <v/>
      </c>
      <c r="J49" s="809" t="str">
        <f t="shared" si="0"/>
        <v/>
      </c>
      <c r="K49" s="220"/>
    </row>
    <row r="50" spans="1:11" s="9" customFormat="1" ht="20.100000000000001" customHeight="1">
      <c r="A50" s="13"/>
      <c r="B50" s="48"/>
      <c r="C50" s="48"/>
      <c r="D50" s="585"/>
      <c r="E50" s="60" t="str">
        <f>IFERROR(VLOOKUP(F50,設定メニュー!$B$5:$C$30,2,0),"")</f>
        <v/>
      </c>
      <c r="F50" s="65" t="str">
        <f>IFERROR(VLOOKUP(B50,設定メニュー!$U$5:$W$30,2,0),"")</f>
        <v/>
      </c>
      <c r="G50" s="66"/>
      <c r="H50" s="60" t="str">
        <f>IFERROR(VLOOKUP(I50,設定メニュー!$B$5:$C$30,2,0),"")</f>
        <v/>
      </c>
      <c r="I50" s="55" t="str">
        <f>IFERROR(VLOOKUP(B50,設定メニュー!$U$5:$W$30,3,0),"")</f>
        <v/>
      </c>
      <c r="J50" s="809" t="str">
        <f t="shared" si="0"/>
        <v/>
      </c>
      <c r="K50" s="220"/>
    </row>
    <row r="51" spans="1:11" s="9" customFormat="1" ht="20.100000000000001" customHeight="1">
      <c r="A51" s="13"/>
      <c r="B51" s="48"/>
      <c r="C51" s="48"/>
      <c r="D51" s="585"/>
      <c r="E51" s="60" t="str">
        <f>IFERROR(VLOOKUP(F51,設定メニュー!$B$5:$C$30,2,0),"")</f>
        <v/>
      </c>
      <c r="F51" s="65" t="str">
        <f>IFERROR(VLOOKUP(B51,設定メニュー!$U$5:$W$30,2,0),"")</f>
        <v/>
      </c>
      <c r="G51" s="66"/>
      <c r="H51" s="60" t="str">
        <f>IFERROR(VLOOKUP(I51,設定メニュー!$B$5:$C$30,2,0),"")</f>
        <v/>
      </c>
      <c r="I51" s="55" t="str">
        <f>IFERROR(VLOOKUP(B51,設定メニュー!$U$5:$W$30,3,0),"")</f>
        <v/>
      </c>
      <c r="J51" s="809" t="str">
        <f t="shared" si="0"/>
        <v/>
      </c>
      <c r="K51" s="220"/>
    </row>
    <row r="52" spans="1:11" s="9" customFormat="1" ht="20.100000000000001" customHeight="1">
      <c r="A52" s="13"/>
      <c r="B52" s="48"/>
      <c r="C52" s="48"/>
      <c r="D52" s="585"/>
      <c r="E52" s="60" t="str">
        <f>IFERROR(VLOOKUP(F52,設定メニュー!$B$5:$C$30,2,0),"")</f>
        <v/>
      </c>
      <c r="F52" s="65" t="str">
        <f>IFERROR(VLOOKUP(B52,設定メニュー!$U$5:$W$30,2,0),"")</f>
        <v/>
      </c>
      <c r="G52" s="66"/>
      <c r="H52" s="60" t="str">
        <f>IFERROR(VLOOKUP(I52,設定メニュー!$B$5:$C$30,2,0),"")</f>
        <v/>
      </c>
      <c r="I52" s="55" t="str">
        <f>IFERROR(VLOOKUP(B52,設定メニュー!$U$5:$W$30,3,0),"")</f>
        <v/>
      </c>
      <c r="J52" s="809" t="str">
        <f t="shared" si="0"/>
        <v/>
      </c>
      <c r="K52" s="221"/>
    </row>
    <row r="53" spans="1:11" s="9" customFormat="1" ht="20.100000000000001" customHeight="1">
      <c r="A53" s="64"/>
      <c r="B53" s="48"/>
      <c r="C53" s="48"/>
      <c r="D53" s="585"/>
      <c r="E53" s="60" t="str">
        <f>IFERROR(VLOOKUP(F53,設定メニュー!$B$5:$C$30,2,0),"")</f>
        <v/>
      </c>
      <c r="F53" s="65" t="str">
        <f>IFERROR(VLOOKUP(B53,設定メニュー!$U$5:$W$30,2,0),"")</f>
        <v/>
      </c>
      <c r="G53" s="66"/>
      <c r="H53" s="60" t="str">
        <f>IFERROR(VLOOKUP(I53,設定メニュー!$B$5:$C$30,2,0),"")</f>
        <v/>
      </c>
      <c r="I53" s="55" t="str">
        <f>IFERROR(VLOOKUP(B53,設定メニュー!$U$5:$W$30,3,0),"")</f>
        <v/>
      </c>
      <c r="J53" s="809" t="str">
        <f t="shared" si="0"/>
        <v/>
      </c>
      <c r="K53" s="220"/>
    </row>
    <row r="54" spans="1:11" s="9" customFormat="1" ht="20.100000000000001" customHeight="1">
      <c r="A54" s="64"/>
      <c r="B54" s="48"/>
      <c r="C54" s="48"/>
      <c r="D54" s="585"/>
      <c r="E54" s="60" t="str">
        <f>IFERROR(VLOOKUP(F54,設定メニュー!$B$5:$C$30,2,0),"")</f>
        <v/>
      </c>
      <c r="F54" s="65" t="str">
        <f>IFERROR(VLOOKUP(B54,設定メニュー!$U$5:$W$30,2,0),"")</f>
        <v/>
      </c>
      <c r="G54" s="66"/>
      <c r="H54" s="60" t="str">
        <f>IFERROR(VLOOKUP(I54,設定メニュー!$B$5:$C$30,2,0),"")</f>
        <v/>
      </c>
      <c r="I54" s="55" t="str">
        <f>IFERROR(VLOOKUP(B54,設定メニュー!$U$5:$W$30,3,0),"")</f>
        <v/>
      </c>
      <c r="J54" s="809" t="str">
        <f t="shared" si="0"/>
        <v/>
      </c>
      <c r="K54" s="220"/>
    </row>
    <row r="55" spans="1:11" s="9" customFormat="1" ht="20.100000000000001" customHeight="1">
      <c r="A55" s="64"/>
      <c r="B55" s="48"/>
      <c r="C55" s="48"/>
      <c r="D55" s="585"/>
      <c r="E55" s="60" t="str">
        <f>IFERROR(VLOOKUP(F55,設定メニュー!$B$5:$C$30,2,0),"")</f>
        <v/>
      </c>
      <c r="F55" s="65" t="str">
        <f>IFERROR(VLOOKUP(B55,設定メニュー!$U$5:$W$30,2,0),"")</f>
        <v/>
      </c>
      <c r="G55" s="66"/>
      <c r="H55" s="60" t="str">
        <f>IFERROR(VLOOKUP(I55,設定メニュー!$B$5:$C$30,2,0),"")</f>
        <v/>
      </c>
      <c r="I55" s="55" t="str">
        <f>IFERROR(VLOOKUP(B55,設定メニュー!$U$5:$W$30,3,0),"")</f>
        <v/>
      </c>
      <c r="J55" s="809" t="str">
        <f t="shared" si="0"/>
        <v/>
      </c>
      <c r="K55" s="220"/>
    </row>
    <row r="56" spans="1:11" s="9" customFormat="1" ht="20.100000000000001" customHeight="1">
      <c r="A56" s="64"/>
      <c r="B56" s="48"/>
      <c r="C56" s="48"/>
      <c r="D56" s="585"/>
      <c r="E56" s="60" t="str">
        <f>IFERROR(VLOOKUP(F56,設定メニュー!$B$5:$C$30,2,0),"")</f>
        <v/>
      </c>
      <c r="F56" s="65" t="str">
        <f>IFERROR(VLOOKUP(B56,設定メニュー!$U$5:$W$30,2,0),"")</f>
        <v/>
      </c>
      <c r="G56" s="66"/>
      <c r="H56" s="60" t="str">
        <f>IFERROR(VLOOKUP(I56,設定メニュー!$B$5:$C$30,2,0),"")</f>
        <v/>
      </c>
      <c r="I56" s="55" t="str">
        <f>IFERROR(VLOOKUP(B56,設定メニュー!$U$5:$W$30,3,0),"")</f>
        <v/>
      </c>
      <c r="J56" s="809" t="str">
        <f t="shared" si="0"/>
        <v/>
      </c>
      <c r="K56" s="220"/>
    </row>
    <row r="57" spans="1:11" s="9" customFormat="1" ht="20.100000000000001" customHeight="1">
      <c r="A57" s="13"/>
      <c r="B57" s="48"/>
      <c r="C57" s="48"/>
      <c r="D57" s="585"/>
      <c r="E57" s="60" t="str">
        <f>IFERROR(VLOOKUP(F57,設定メニュー!$B$5:$C$30,2,0),"")</f>
        <v/>
      </c>
      <c r="F57" s="65" t="str">
        <f>IFERROR(VLOOKUP(B57,設定メニュー!$U$5:$W$30,2,0),"")</f>
        <v/>
      </c>
      <c r="G57" s="66"/>
      <c r="H57" s="60" t="str">
        <f>IFERROR(VLOOKUP(I57,設定メニュー!$B$5:$C$30,2,0),"")</f>
        <v/>
      </c>
      <c r="I57" s="55" t="str">
        <f>IFERROR(VLOOKUP(B57,設定メニュー!$U$5:$W$30,3,0),"")</f>
        <v/>
      </c>
      <c r="J57" s="809" t="str">
        <f t="shared" si="0"/>
        <v/>
      </c>
      <c r="K57" s="220"/>
    </row>
    <row r="58" spans="1:11" s="9" customFormat="1" ht="20.100000000000001" customHeight="1">
      <c r="A58" s="13"/>
      <c r="B58" s="48"/>
      <c r="C58" s="48"/>
      <c r="D58" s="585"/>
      <c r="E58" s="60" t="str">
        <f>IFERROR(VLOOKUP(F58,設定メニュー!$B$5:$C$30,2,0),"")</f>
        <v/>
      </c>
      <c r="F58" s="65" t="str">
        <f>IFERROR(VLOOKUP(B58,設定メニュー!$U$5:$W$30,2,0),"")</f>
        <v/>
      </c>
      <c r="G58" s="66"/>
      <c r="H58" s="60" t="str">
        <f>IFERROR(VLOOKUP(I58,設定メニュー!$B$5:$C$30,2,0),"")</f>
        <v/>
      </c>
      <c r="I58" s="55" t="str">
        <f>IFERROR(VLOOKUP(B58,設定メニュー!$U$5:$W$30,3,0),"")</f>
        <v/>
      </c>
      <c r="J58" s="809" t="str">
        <f t="shared" si="0"/>
        <v/>
      </c>
      <c r="K58" s="220"/>
    </row>
    <row r="59" spans="1:11" s="9" customFormat="1" ht="20.100000000000001" customHeight="1">
      <c r="A59" s="13"/>
      <c r="B59" s="48"/>
      <c r="C59" s="48"/>
      <c r="D59" s="585"/>
      <c r="E59" s="60" t="str">
        <f>IFERROR(VLOOKUP(F59,設定メニュー!$B$5:$C$30,2,0),"")</f>
        <v/>
      </c>
      <c r="F59" s="65" t="str">
        <f>IFERROR(VLOOKUP(B59,設定メニュー!$U$5:$W$30,2,0),"")</f>
        <v/>
      </c>
      <c r="G59" s="66"/>
      <c r="H59" s="60" t="str">
        <f>IFERROR(VLOOKUP(I59,設定メニュー!$B$5:$C$30,2,0),"")</f>
        <v/>
      </c>
      <c r="I59" s="55" t="str">
        <f>IFERROR(VLOOKUP(B59,設定メニュー!$U$5:$W$30,3,0),"")</f>
        <v/>
      </c>
      <c r="J59" s="809" t="str">
        <f t="shared" si="0"/>
        <v/>
      </c>
      <c r="K59" s="220"/>
    </row>
    <row r="60" spans="1:11" s="9" customFormat="1" ht="20.100000000000001" customHeight="1">
      <c r="A60" s="13"/>
      <c r="B60" s="48"/>
      <c r="C60" s="48"/>
      <c r="D60" s="585"/>
      <c r="E60" s="60" t="str">
        <f>IFERROR(VLOOKUP(F60,設定メニュー!$B$5:$C$30,2,0),"")</f>
        <v/>
      </c>
      <c r="F60" s="65" t="str">
        <f>IFERROR(VLOOKUP(B60,設定メニュー!$U$5:$W$30,2,0),"")</f>
        <v/>
      </c>
      <c r="G60" s="66"/>
      <c r="H60" s="60" t="str">
        <f>IFERROR(VLOOKUP(I60,設定メニュー!$B$5:$C$30,2,0),"")</f>
        <v/>
      </c>
      <c r="I60" s="55" t="str">
        <f>IFERROR(VLOOKUP(B60,設定メニュー!$U$5:$W$30,3,0),"")</f>
        <v/>
      </c>
      <c r="J60" s="809" t="str">
        <f t="shared" si="0"/>
        <v/>
      </c>
      <c r="K60" s="221"/>
    </row>
    <row r="61" spans="1:11" s="9" customFormat="1" ht="20.100000000000001" customHeight="1">
      <c r="A61" s="13"/>
      <c r="B61" s="48"/>
      <c r="C61" s="48"/>
      <c r="D61" s="585"/>
      <c r="E61" s="60" t="str">
        <f>IFERROR(VLOOKUP(F61,設定メニュー!$B$5:$C$30,2,0),"")</f>
        <v/>
      </c>
      <c r="F61" s="65" t="str">
        <f>IFERROR(VLOOKUP(B61,設定メニュー!$U$5:$W$30,2,0),"")</f>
        <v/>
      </c>
      <c r="G61" s="66"/>
      <c r="H61" s="60" t="str">
        <f>IFERROR(VLOOKUP(I61,設定メニュー!$B$5:$C$30,2,0),"")</f>
        <v/>
      </c>
      <c r="I61" s="55" t="str">
        <f>IFERROR(VLOOKUP(B61,設定メニュー!$U$5:$W$30,3,0),"")</f>
        <v/>
      </c>
      <c r="J61" s="809" t="str">
        <f t="shared" si="0"/>
        <v/>
      </c>
      <c r="K61" s="220"/>
    </row>
    <row r="62" spans="1:11" s="9" customFormat="1" ht="20.100000000000001" customHeight="1">
      <c r="A62" s="13"/>
      <c r="B62" s="48"/>
      <c r="C62" s="48"/>
      <c r="D62" s="585"/>
      <c r="E62" s="60" t="str">
        <f>IFERROR(VLOOKUP(F62,設定メニュー!$B$5:$C$30,2,0),"")</f>
        <v/>
      </c>
      <c r="F62" s="65" t="str">
        <f>IFERROR(VLOOKUP(B62,設定メニュー!$U$5:$W$30,2,0),"")</f>
        <v/>
      </c>
      <c r="G62" s="66"/>
      <c r="H62" s="60" t="str">
        <f>IFERROR(VLOOKUP(I62,設定メニュー!$B$5:$C$30,2,0),"")</f>
        <v/>
      </c>
      <c r="I62" s="55" t="str">
        <f>IFERROR(VLOOKUP(B62,設定メニュー!$U$5:$W$30,3,0),"")</f>
        <v/>
      </c>
      <c r="J62" s="809" t="str">
        <f t="shared" si="0"/>
        <v/>
      </c>
      <c r="K62" s="220"/>
    </row>
    <row r="63" spans="1:11" s="9" customFormat="1" ht="20.100000000000001" customHeight="1">
      <c r="A63" s="13"/>
      <c r="B63" s="48"/>
      <c r="C63" s="48"/>
      <c r="D63" s="585"/>
      <c r="E63" s="60" t="str">
        <f>IFERROR(VLOOKUP(F63,設定メニュー!$B$5:$C$30,2,0),"")</f>
        <v/>
      </c>
      <c r="F63" s="65" t="str">
        <f>IFERROR(VLOOKUP(B63,設定メニュー!$U$5:$W$30,2,0),"")</f>
        <v/>
      </c>
      <c r="G63" s="66"/>
      <c r="H63" s="60" t="str">
        <f>IFERROR(VLOOKUP(I63,設定メニュー!$B$5:$C$30,2,0),"")</f>
        <v/>
      </c>
      <c r="I63" s="55" t="str">
        <f>IFERROR(VLOOKUP(B63,設定メニュー!$U$5:$W$30,3,0),"")</f>
        <v/>
      </c>
      <c r="J63" s="809" t="str">
        <f t="shared" si="0"/>
        <v/>
      </c>
      <c r="K63" s="220"/>
    </row>
    <row r="64" spans="1:11" s="9" customFormat="1" ht="20.100000000000001" customHeight="1">
      <c r="A64" s="13"/>
      <c r="B64" s="48"/>
      <c r="C64" s="48"/>
      <c r="D64" s="585"/>
      <c r="E64" s="60" t="str">
        <f>IFERROR(VLOOKUP(F64,設定メニュー!$B$5:$C$30,2,0),"")</f>
        <v/>
      </c>
      <c r="F64" s="65" t="str">
        <f>IFERROR(VLOOKUP(B64,設定メニュー!$U$5:$W$30,2,0),"")</f>
        <v/>
      </c>
      <c r="G64" s="66"/>
      <c r="H64" s="60" t="str">
        <f>IFERROR(VLOOKUP(I64,設定メニュー!$B$5:$C$30,2,0),"")</f>
        <v/>
      </c>
      <c r="I64" s="55" t="str">
        <f>IFERROR(VLOOKUP(B64,設定メニュー!$U$5:$W$30,3,0),"")</f>
        <v/>
      </c>
      <c r="J64" s="809" t="str">
        <f t="shared" si="0"/>
        <v/>
      </c>
      <c r="K64" s="220"/>
    </row>
    <row r="65" spans="1:11" s="9" customFormat="1" ht="20.100000000000001" customHeight="1">
      <c r="A65" s="13"/>
      <c r="B65" s="48"/>
      <c r="C65" s="48"/>
      <c r="D65" s="585"/>
      <c r="E65" s="60" t="str">
        <f>IFERROR(VLOOKUP(F65,設定メニュー!$B$5:$C$30,2,0),"")</f>
        <v/>
      </c>
      <c r="F65" s="65" t="str">
        <f>IFERROR(VLOOKUP(B65,設定メニュー!$U$5:$W$30,2,0),"")</f>
        <v/>
      </c>
      <c r="G65" s="66"/>
      <c r="H65" s="60" t="str">
        <f>IFERROR(VLOOKUP(I65,設定メニュー!$B$5:$C$30,2,0),"")</f>
        <v/>
      </c>
      <c r="I65" s="55" t="str">
        <f>IFERROR(VLOOKUP(B65,設定メニュー!$U$5:$W$30,3,0),"")</f>
        <v/>
      </c>
      <c r="J65" s="809" t="str">
        <f t="shared" si="0"/>
        <v/>
      </c>
      <c r="K65" s="220"/>
    </row>
    <row r="66" spans="1:11" s="9" customFormat="1" ht="20.100000000000001" customHeight="1">
      <c r="A66" s="13"/>
      <c r="B66" s="48"/>
      <c r="C66" s="48"/>
      <c r="D66" s="585"/>
      <c r="E66" s="60" t="str">
        <f>IFERROR(VLOOKUP(F66,設定メニュー!$B$5:$C$30,2,0),"")</f>
        <v/>
      </c>
      <c r="F66" s="65" t="str">
        <f>IFERROR(VLOOKUP(B66,設定メニュー!$U$5:$W$30,2,0),"")</f>
        <v/>
      </c>
      <c r="G66" s="66"/>
      <c r="H66" s="60" t="str">
        <f>IFERROR(VLOOKUP(I66,設定メニュー!$B$5:$C$30,2,0),"")</f>
        <v/>
      </c>
      <c r="I66" s="55" t="str">
        <f>IFERROR(VLOOKUP(B66,設定メニュー!$U$5:$W$30,3,0),"")</f>
        <v/>
      </c>
      <c r="J66" s="809" t="str">
        <f t="shared" si="0"/>
        <v/>
      </c>
      <c r="K66" s="220"/>
    </row>
    <row r="67" spans="1:11" s="9" customFormat="1" ht="20.100000000000001" customHeight="1">
      <c r="A67" s="13"/>
      <c r="B67" s="48"/>
      <c r="C67" s="48"/>
      <c r="D67" s="585"/>
      <c r="E67" s="60" t="str">
        <f>IFERROR(VLOOKUP(F67,設定メニュー!$B$5:$C$30,2,0),"")</f>
        <v/>
      </c>
      <c r="F67" s="65" t="str">
        <f>IFERROR(VLOOKUP(B67,設定メニュー!$U$5:$W$30,2,0),"")</f>
        <v/>
      </c>
      <c r="G67" s="66"/>
      <c r="H67" s="60" t="str">
        <f>IFERROR(VLOOKUP(I67,設定メニュー!$B$5:$C$30,2,0),"")</f>
        <v/>
      </c>
      <c r="I67" s="55" t="str">
        <f>IFERROR(VLOOKUP(B67,設定メニュー!$U$5:$W$30,3,0),"")</f>
        <v/>
      </c>
      <c r="J67" s="809" t="str">
        <f t="shared" si="0"/>
        <v/>
      </c>
      <c r="K67" s="220"/>
    </row>
    <row r="68" spans="1:11" s="9" customFormat="1" ht="20.100000000000001" customHeight="1">
      <c r="A68" s="13"/>
      <c r="B68" s="48"/>
      <c r="C68" s="48"/>
      <c r="D68" s="585"/>
      <c r="E68" s="60" t="str">
        <f>IFERROR(VLOOKUP(F68,設定メニュー!$B$5:$C$30,2,0),"")</f>
        <v/>
      </c>
      <c r="F68" s="65" t="str">
        <f>IFERROR(VLOOKUP(B68,設定メニュー!$U$5:$W$30,2,0),"")</f>
        <v/>
      </c>
      <c r="G68" s="66"/>
      <c r="H68" s="60" t="str">
        <f>IFERROR(VLOOKUP(I68,設定メニュー!$B$5:$C$30,2,0),"")</f>
        <v/>
      </c>
      <c r="I68" s="55" t="str">
        <f>IFERROR(VLOOKUP(B68,設定メニュー!$U$5:$W$30,3,0),"")</f>
        <v/>
      </c>
      <c r="J68" s="809" t="str">
        <f t="shared" si="0"/>
        <v/>
      </c>
      <c r="K68" s="221"/>
    </row>
    <row r="69" spans="1:11" s="9" customFormat="1" ht="20.100000000000001" customHeight="1">
      <c r="A69" s="64"/>
      <c r="B69" s="48"/>
      <c r="C69" s="48"/>
      <c r="D69" s="585"/>
      <c r="E69" s="60" t="str">
        <f>IFERROR(VLOOKUP(F69,設定メニュー!$B$5:$C$30,2,0),"")</f>
        <v/>
      </c>
      <c r="F69" s="65" t="str">
        <f>IFERROR(VLOOKUP(B69,設定メニュー!$U$5:$W$30,2,0),"")</f>
        <v/>
      </c>
      <c r="G69" s="66"/>
      <c r="H69" s="60" t="str">
        <f>IFERROR(VLOOKUP(I69,設定メニュー!$B$5:$C$30,2,0),"")</f>
        <v/>
      </c>
      <c r="I69" s="55" t="str">
        <f>IFERROR(VLOOKUP(B69,設定メニュー!$U$5:$W$30,3,0),"")</f>
        <v/>
      </c>
      <c r="J69" s="809" t="str">
        <f t="shared" ref="J69:J132" si="1">IF(G69&lt;&gt;"",G69,"")</f>
        <v/>
      </c>
      <c r="K69" s="220"/>
    </row>
    <row r="70" spans="1:11" s="9" customFormat="1" ht="20.100000000000001" customHeight="1">
      <c r="A70" s="13"/>
      <c r="B70" s="48"/>
      <c r="C70" s="48"/>
      <c r="D70" s="585"/>
      <c r="E70" s="60" t="str">
        <f>IFERROR(VLOOKUP(F70,設定メニュー!$B$5:$C$30,2,0),"")</f>
        <v/>
      </c>
      <c r="F70" s="65" t="str">
        <f>IFERROR(VLOOKUP(B70,設定メニュー!$U$5:$W$30,2,0),"")</f>
        <v/>
      </c>
      <c r="G70" s="66"/>
      <c r="H70" s="60" t="str">
        <f>IFERROR(VLOOKUP(I70,設定メニュー!$B$5:$C$30,2,0),"")</f>
        <v/>
      </c>
      <c r="I70" s="55" t="str">
        <f>IFERROR(VLOOKUP(B70,設定メニュー!$U$5:$W$30,3,0),"")</f>
        <v/>
      </c>
      <c r="J70" s="809" t="str">
        <f t="shared" si="1"/>
        <v/>
      </c>
      <c r="K70" s="220"/>
    </row>
    <row r="71" spans="1:11" s="9" customFormat="1" ht="20.100000000000001" customHeight="1">
      <c r="A71" s="13"/>
      <c r="B71" s="48"/>
      <c r="C71" s="48"/>
      <c r="D71" s="585"/>
      <c r="E71" s="60" t="str">
        <f>IFERROR(VLOOKUP(F71,設定メニュー!$B$5:$C$30,2,0),"")</f>
        <v/>
      </c>
      <c r="F71" s="65" t="str">
        <f>IFERROR(VLOOKUP(B71,設定メニュー!$U$5:$W$30,2,0),"")</f>
        <v/>
      </c>
      <c r="G71" s="66"/>
      <c r="H71" s="60" t="str">
        <f>IFERROR(VLOOKUP(I71,設定メニュー!$B$5:$C$30,2,0),"")</f>
        <v/>
      </c>
      <c r="I71" s="55" t="str">
        <f>IFERROR(VLOOKUP(B71,設定メニュー!$U$5:$W$30,3,0),"")</f>
        <v/>
      </c>
      <c r="J71" s="809" t="str">
        <f t="shared" si="1"/>
        <v/>
      </c>
      <c r="K71" s="220"/>
    </row>
    <row r="72" spans="1:11" s="9" customFormat="1" ht="20.100000000000001" customHeight="1">
      <c r="A72" s="13"/>
      <c r="B72" s="48"/>
      <c r="C72" s="48"/>
      <c r="D72" s="585"/>
      <c r="E72" s="60" t="str">
        <f>IFERROR(VLOOKUP(F72,設定メニュー!$B$5:$C$30,2,0),"")</f>
        <v/>
      </c>
      <c r="F72" s="65" t="str">
        <f>IFERROR(VLOOKUP(B72,設定メニュー!$U$5:$W$30,2,0),"")</f>
        <v/>
      </c>
      <c r="G72" s="66"/>
      <c r="H72" s="60" t="str">
        <f>IFERROR(VLOOKUP(I72,設定メニュー!$B$5:$C$30,2,0),"")</f>
        <v/>
      </c>
      <c r="I72" s="55" t="str">
        <f>IFERROR(VLOOKUP(B72,設定メニュー!$U$5:$W$30,3,0),"")</f>
        <v/>
      </c>
      <c r="J72" s="809" t="str">
        <f t="shared" si="1"/>
        <v/>
      </c>
      <c r="K72" s="220"/>
    </row>
    <row r="73" spans="1:11" s="9" customFormat="1" ht="20.100000000000001" customHeight="1">
      <c r="A73" s="64"/>
      <c r="B73" s="48"/>
      <c r="C73" s="48"/>
      <c r="D73" s="585"/>
      <c r="E73" s="60" t="str">
        <f>IFERROR(VLOOKUP(F73,設定メニュー!$B$5:$C$30,2,0),"")</f>
        <v/>
      </c>
      <c r="F73" s="65" t="str">
        <f>IFERROR(VLOOKUP(B73,設定メニュー!$U$5:$W$30,2,0),"")</f>
        <v/>
      </c>
      <c r="G73" s="66"/>
      <c r="H73" s="60" t="str">
        <f>IFERROR(VLOOKUP(I73,設定メニュー!$B$5:$C$30,2,0),"")</f>
        <v/>
      </c>
      <c r="I73" s="55" t="str">
        <f>IFERROR(VLOOKUP(B73,設定メニュー!$U$5:$W$30,3,0),"")</f>
        <v/>
      </c>
      <c r="J73" s="809" t="str">
        <f t="shared" si="1"/>
        <v/>
      </c>
      <c r="K73" s="220"/>
    </row>
    <row r="74" spans="1:11" s="9" customFormat="1" ht="20.100000000000001" customHeight="1">
      <c r="A74" s="13"/>
      <c r="B74" s="48"/>
      <c r="C74" s="48"/>
      <c r="D74" s="585"/>
      <c r="E74" s="60" t="str">
        <f>IFERROR(VLOOKUP(F74,設定メニュー!$B$5:$C$30,2,0),"")</f>
        <v/>
      </c>
      <c r="F74" s="65" t="str">
        <f>IFERROR(VLOOKUP(B74,設定メニュー!$U$5:$W$30,2,0),"")</f>
        <v/>
      </c>
      <c r="G74" s="66"/>
      <c r="H74" s="60" t="str">
        <f>IFERROR(VLOOKUP(I74,設定メニュー!$B$5:$C$30,2,0),"")</f>
        <v/>
      </c>
      <c r="I74" s="55" t="str">
        <f>IFERROR(VLOOKUP(B74,設定メニュー!$U$5:$W$30,3,0),"")</f>
        <v/>
      </c>
      <c r="J74" s="809" t="str">
        <f t="shared" si="1"/>
        <v/>
      </c>
      <c r="K74" s="220"/>
    </row>
    <row r="75" spans="1:11" s="9" customFormat="1" ht="20.100000000000001" customHeight="1">
      <c r="A75" s="13"/>
      <c r="B75" s="48"/>
      <c r="C75" s="48"/>
      <c r="D75" s="585"/>
      <c r="E75" s="60" t="str">
        <f>IFERROR(VLOOKUP(F75,設定メニュー!$B$5:$C$30,2,0),"")</f>
        <v/>
      </c>
      <c r="F75" s="65" t="str">
        <f>IFERROR(VLOOKUP(B75,設定メニュー!$U$5:$W$30,2,0),"")</f>
        <v/>
      </c>
      <c r="G75" s="66"/>
      <c r="H75" s="60" t="str">
        <f>IFERROR(VLOOKUP(I75,設定メニュー!$B$5:$C$30,2,0),"")</f>
        <v/>
      </c>
      <c r="I75" s="55" t="str">
        <f>IFERROR(VLOOKUP(B75,設定メニュー!$U$5:$W$30,3,0),"")</f>
        <v/>
      </c>
      <c r="J75" s="809" t="str">
        <f t="shared" si="1"/>
        <v/>
      </c>
      <c r="K75" s="220"/>
    </row>
    <row r="76" spans="1:11" s="9" customFormat="1" ht="20.100000000000001" customHeight="1">
      <c r="A76" s="13"/>
      <c r="B76" s="48"/>
      <c r="C76" s="48"/>
      <c r="D76" s="585"/>
      <c r="E76" s="60" t="str">
        <f>IFERROR(VLOOKUP(F76,設定メニュー!$B$5:$C$30,2,0),"")</f>
        <v/>
      </c>
      <c r="F76" s="65" t="str">
        <f>IFERROR(VLOOKUP(B76,設定メニュー!$U$5:$W$30,2,0),"")</f>
        <v/>
      </c>
      <c r="G76" s="66"/>
      <c r="H76" s="60" t="str">
        <f>IFERROR(VLOOKUP(I76,設定メニュー!$B$5:$C$30,2,0),"")</f>
        <v/>
      </c>
      <c r="I76" s="55" t="str">
        <f>IFERROR(VLOOKUP(B76,設定メニュー!$U$5:$W$30,3,0),"")</f>
        <v/>
      </c>
      <c r="J76" s="809" t="str">
        <f t="shared" si="1"/>
        <v/>
      </c>
      <c r="K76" s="220"/>
    </row>
    <row r="77" spans="1:11" s="9" customFormat="1" ht="20.100000000000001" customHeight="1">
      <c r="A77" s="13"/>
      <c r="B77" s="48"/>
      <c r="C77" s="48"/>
      <c r="D77" s="585"/>
      <c r="E77" s="60" t="str">
        <f>IFERROR(VLOOKUP(F77,設定メニュー!$B$5:$C$30,2,0),"")</f>
        <v/>
      </c>
      <c r="F77" s="65" t="str">
        <f>IFERROR(VLOOKUP(B77,設定メニュー!$U$5:$W$30,2,0),"")</f>
        <v/>
      </c>
      <c r="G77" s="66"/>
      <c r="H77" s="60" t="str">
        <f>IFERROR(VLOOKUP(I77,設定メニュー!$B$5:$C$30,2,0),"")</f>
        <v/>
      </c>
      <c r="I77" s="55" t="str">
        <f>IFERROR(VLOOKUP(B77,設定メニュー!$U$5:$W$30,3,0),"")</f>
        <v/>
      </c>
      <c r="J77" s="809" t="str">
        <f t="shared" si="1"/>
        <v/>
      </c>
      <c r="K77" s="220"/>
    </row>
    <row r="78" spans="1:11" s="9" customFormat="1" ht="20.100000000000001" customHeight="1">
      <c r="A78" s="13"/>
      <c r="B78" s="48"/>
      <c r="C78" s="48"/>
      <c r="D78" s="585"/>
      <c r="E78" s="60" t="str">
        <f>IFERROR(VLOOKUP(F78,設定メニュー!$B$5:$C$30,2,0),"")</f>
        <v/>
      </c>
      <c r="F78" s="65" t="str">
        <f>IFERROR(VLOOKUP(B78,設定メニュー!$U$5:$W$30,2,0),"")</f>
        <v/>
      </c>
      <c r="G78" s="66"/>
      <c r="H78" s="60" t="str">
        <f>IFERROR(VLOOKUP(I78,設定メニュー!$B$5:$C$30,2,0),"")</f>
        <v/>
      </c>
      <c r="I78" s="55" t="str">
        <f>IFERROR(VLOOKUP(B78,設定メニュー!$U$5:$W$30,3,0),"")</f>
        <v/>
      </c>
      <c r="J78" s="809" t="str">
        <f t="shared" si="1"/>
        <v/>
      </c>
      <c r="K78" s="220"/>
    </row>
    <row r="79" spans="1:11" s="9" customFormat="1" ht="20.100000000000001" customHeight="1">
      <c r="A79" s="13"/>
      <c r="B79" s="48"/>
      <c r="C79" s="48"/>
      <c r="D79" s="585"/>
      <c r="E79" s="60" t="str">
        <f>IFERROR(VLOOKUP(F79,設定メニュー!$B$5:$C$30,2,0),"")</f>
        <v/>
      </c>
      <c r="F79" s="65" t="str">
        <f>IFERROR(VLOOKUP(B79,設定メニュー!$U$5:$W$30,2,0),"")</f>
        <v/>
      </c>
      <c r="G79" s="66"/>
      <c r="H79" s="60" t="str">
        <f>IFERROR(VLOOKUP(I79,設定メニュー!$B$5:$C$30,2,0),"")</f>
        <v/>
      </c>
      <c r="I79" s="55" t="str">
        <f>IFERROR(VLOOKUP(B79,設定メニュー!$U$5:$W$30,3,0),"")</f>
        <v/>
      </c>
      <c r="J79" s="809" t="str">
        <f t="shared" si="1"/>
        <v/>
      </c>
      <c r="K79" s="220"/>
    </row>
    <row r="80" spans="1:11" s="9" customFormat="1" ht="20.100000000000001" customHeight="1">
      <c r="A80" s="64"/>
      <c r="B80" s="48"/>
      <c r="C80" s="48"/>
      <c r="D80" s="585"/>
      <c r="E80" s="60" t="str">
        <f>IFERROR(VLOOKUP(F80,設定メニュー!$B$5:$C$30,2,0),"")</f>
        <v/>
      </c>
      <c r="F80" s="65" t="str">
        <f>IFERROR(VLOOKUP(B80,設定メニュー!$U$5:$W$30,2,0),"")</f>
        <v/>
      </c>
      <c r="G80" s="66"/>
      <c r="H80" s="60" t="str">
        <f>IFERROR(VLOOKUP(I80,設定メニュー!$B$5:$C$30,2,0),"")</f>
        <v/>
      </c>
      <c r="I80" s="55" t="str">
        <f>IFERROR(VLOOKUP(B80,設定メニュー!$U$5:$W$30,3,0),"")</f>
        <v/>
      </c>
      <c r="J80" s="809" t="str">
        <f t="shared" si="1"/>
        <v/>
      </c>
      <c r="K80" s="220"/>
    </row>
    <row r="81" spans="1:11" s="9" customFormat="1" ht="20.100000000000001" customHeight="1">
      <c r="A81" s="64"/>
      <c r="B81" s="48"/>
      <c r="C81" s="48"/>
      <c r="D81" s="585"/>
      <c r="E81" s="60" t="str">
        <f>IFERROR(VLOOKUP(F81,設定メニュー!$B$5:$C$30,2,0),"")</f>
        <v/>
      </c>
      <c r="F81" s="65" t="str">
        <f>IFERROR(VLOOKUP(B81,設定メニュー!$U$5:$W$30,2,0),"")</f>
        <v/>
      </c>
      <c r="G81" s="66"/>
      <c r="H81" s="60" t="str">
        <f>IFERROR(VLOOKUP(I81,設定メニュー!$B$5:$C$30,2,0),"")</f>
        <v/>
      </c>
      <c r="I81" s="55" t="str">
        <f>IFERROR(VLOOKUP(B81,設定メニュー!$U$5:$W$30,3,0),"")</f>
        <v/>
      </c>
      <c r="J81" s="809" t="str">
        <f t="shared" si="1"/>
        <v/>
      </c>
      <c r="K81" s="220"/>
    </row>
    <row r="82" spans="1:11" s="9" customFormat="1" ht="20.100000000000001" customHeight="1">
      <c r="A82" s="13"/>
      <c r="B82" s="48"/>
      <c r="C82" s="48"/>
      <c r="D82" s="585"/>
      <c r="E82" s="60" t="str">
        <f>IFERROR(VLOOKUP(F82,設定メニュー!$B$5:$C$30,2,0),"")</f>
        <v/>
      </c>
      <c r="F82" s="65" t="str">
        <f>IFERROR(VLOOKUP(B82,設定メニュー!$U$5:$W$30,2,0),"")</f>
        <v/>
      </c>
      <c r="G82" s="66"/>
      <c r="H82" s="60" t="str">
        <f>IFERROR(VLOOKUP(I82,設定メニュー!$B$5:$C$30,2,0),"")</f>
        <v/>
      </c>
      <c r="I82" s="55" t="str">
        <f>IFERROR(VLOOKUP(B82,設定メニュー!$U$5:$W$30,3,0),"")</f>
        <v/>
      </c>
      <c r="J82" s="809" t="str">
        <f t="shared" si="1"/>
        <v/>
      </c>
      <c r="K82" s="220"/>
    </row>
    <row r="83" spans="1:11" s="9" customFormat="1" ht="20.100000000000001" customHeight="1">
      <c r="A83" s="13"/>
      <c r="B83" s="48"/>
      <c r="C83" s="48"/>
      <c r="D83" s="585"/>
      <c r="E83" s="60" t="str">
        <f>IFERROR(VLOOKUP(F83,設定メニュー!$B$5:$C$30,2,0),"")</f>
        <v/>
      </c>
      <c r="F83" s="65" t="str">
        <f>IFERROR(VLOOKUP(B83,設定メニュー!$U$5:$W$30,2,0),"")</f>
        <v/>
      </c>
      <c r="G83" s="66"/>
      <c r="H83" s="60" t="str">
        <f>IFERROR(VLOOKUP(I83,設定メニュー!$B$5:$C$30,2,0),"")</f>
        <v/>
      </c>
      <c r="I83" s="55" t="str">
        <f>IFERROR(VLOOKUP(B83,設定メニュー!$U$5:$W$30,3,0),"")</f>
        <v/>
      </c>
      <c r="J83" s="809" t="str">
        <f t="shared" si="1"/>
        <v/>
      </c>
      <c r="K83" s="220"/>
    </row>
    <row r="84" spans="1:11" s="9" customFormat="1" ht="20.100000000000001" customHeight="1">
      <c r="A84" s="13"/>
      <c r="B84" s="48"/>
      <c r="C84" s="48"/>
      <c r="D84" s="585"/>
      <c r="E84" s="60" t="str">
        <f>IFERROR(VLOOKUP(F84,設定メニュー!$B$5:$C$30,2,0),"")</f>
        <v/>
      </c>
      <c r="F84" s="65" t="str">
        <f>IFERROR(VLOOKUP(B84,設定メニュー!$U$5:$W$30,2,0),"")</f>
        <v/>
      </c>
      <c r="G84" s="66"/>
      <c r="H84" s="60" t="str">
        <f>IFERROR(VLOOKUP(I84,設定メニュー!$B$5:$C$30,2,0),"")</f>
        <v/>
      </c>
      <c r="I84" s="55" t="str">
        <f>IFERROR(VLOOKUP(B84,設定メニュー!$U$5:$W$30,3,0),"")</f>
        <v/>
      </c>
      <c r="J84" s="809" t="str">
        <f t="shared" si="1"/>
        <v/>
      </c>
      <c r="K84" s="220"/>
    </row>
    <row r="85" spans="1:11" s="9" customFormat="1" ht="20.100000000000001" customHeight="1">
      <c r="A85" s="13"/>
      <c r="B85" s="48"/>
      <c r="C85" s="48"/>
      <c r="D85" s="585"/>
      <c r="E85" s="60" t="str">
        <f>IFERROR(VLOOKUP(F85,設定メニュー!$B$5:$C$30,2,0),"")</f>
        <v/>
      </c>
      <c r="F85" s="65" t="str">
        <f>IFERROR(VLOOKUP(B85,設定メニュー!$U$5:$W$30,2,0),"")</f>
        <v/>
      </c>
      <c r="G85" s="66"/>
      <c r="H85" s="60" t="str">
        <f>IFERROR(VLOOKUP(I85,設定メニュー!$B$5:$C$30,2,0),"")</f>
        <v/>
      </c>
      <c r="I85" s="55" t="str">
        <f>IFERROR(VLOOKUP(B85,設定メニュー!$U$5:$W$30,3,0),"")</f>
        <v/>
      </c>
      <c r="J85" s="809" t="str">
        <f t="shared" si="1"/>
        <v/>
      </c>
      <c r="K85" s="220"/>
    </row>
    <row r="86" spans="1:11" s="9" customFormat="1" ht="20.100000000000001" customHeight="1">
      <c r="A86" s="13"/>
      <c r="B86" s="48"/>
      <c r="C86" s="48"/>
      <c r="D86" s="585"/>
      <c r="E86" s="60" t="str">
        <f>IFERROR(VLOOKUP(F86,設定メニュー!$B$5:$C$30,2,0),"")</f>
        <v/>
      </c>
      <c r="F86" s="65" t="str">
        <f>IFERROR(VLOOKUP(B86,設定メニュー!$U$5:$W$30,2,0),"")</f>
        <v/>
      </c>
      <c r="G86" s="66"/>
      <c r="H86" s="60" t="str">
        <f>IFERROR(VLOOKUP(I86,設定メニュー!$B$5:$C$30,2,0),"")</f>
        <v/>
      </c>
      <c r="I86" s="55" t="str">
        <f>IFERROR(VLOOKUP(B86,設定メニュー!$U$5:$W$30,3,0),"")</f>
        <v/>
      </c>
      <c r="J86" s="809" t="str">
        <f t="shared" si="1"/>
        <v/>
      </c>
      <c r="K86" s="220"/>
    </row>
    <row r="87" spans="1:11" s="9" customFormat="1" ht="20.100000000000001" customHeight="1">
      <c r="A87" s="13"/>
      <c r="B87" s="48"/>
      <c r="C87" s="48"/>
      <c r="D87" s="585"/>
      <c r="E87" s="60" t="str">
        <f>IFERROR(VLOOKUP(F87,設定メニュー!$B$5:$C$30,2,0),"")</f>
        <v/>
      </c>
      <c r="F87" s="65" t="str">
        <f>IFERROR(VLOOKUP(B87,設定メニュー!$U$5:$W$30,2,0),"")</f>
        <v/>
      </c>
      <c r="G87" s="66"/>
      <c r="H87" s="60" t="str">
        <f>IFERROR(VLOOKUP(I87,設定メニュー!$B$5:$C$30,2,0),"")</f>
        <v/>
      </c>
      <c r="I87" s="55" t="str">
        <f>IFERROR(VLOOKUP(B87,設定メニュー!$U$5:$W$30,3,0),"")</f>
        <v/>
      </c>
      <c r="J87" s="809" t="str">
        <f t="shared" si="1"/>
        <v/>
      </c>
      <c r="K87" s="220"/>
    </row>
    <row r="88" spans="1:11" s="9" customFormat="1" ht="20.100000000000001" customHeight="1">
      <c r="A88" s="13"/>
      <c r="B88" s="48"/>
      <c r="C88" s="48"/>
      <c r="D88" s="585"/>
      <c r="E88" s="60" t="str">
        <f>IFERROR(VLOOKUP(F88,設定メニュー!$B$5:$C$30,2,0),"")</f>
        <v/>
      </c>
      <c r="F88" s="65" t="str">
        <f>IFERROR(VLOOKUP(B88,設定メニュー!$U$5:$W$30,2,0),"")</f>
        <v/>
      </c>
      <c r="G88" s="66"/>
      <c r="H88" s="60" t="str">
        <f>IFERROR(VLOOKUP(I88,設定メニュー!$B$5:$C$30,2,0),"")</f>
        <v/>
      </c>
      <c r="I88" s="55" t="str">
        <f>IFERROR(VLOOKUP(B88,設定メニュー!$U$5:$W$30,3,0),"")</f>
        <v/>
      </c>
      <c r="J88" s="809" t="str">
        <f t="shared" si="1"/>
        <v/>
      </c>
      <c r="K88" s="220"/>
    </row>
    <row r="89" spans="1:11" s="9" customFormat="1" ht="20.100000000000001" customHeight="1">
      <c r="A89" s="13"/>
      <c r="B89" s="48"/>
      <c r="C89" s="48"/>
      <c r="D89" s="585"/>
      <c r="E89" s="60" t="str">
        <f>IFERROR(VLOOKUP(F89,設定メニュー!$B$5:$C$30,2,0),"")</f>
        <v/>
      </c>
      <c r="F89" s="65" t="str">
        <f>IFERROR(VLOOKUP(B89,設定メニュー!$U$5:$W$30,2,0),"")</f>
        <v/>
      </c>
      <c r="G89" s="66"/>
      <c r="H89" s="60" t="str">
        <f>IFERROR(VLOOKUP(I89,設定メニュー!$B$5:$C$30,2,0),"")</f>
        <v/>
      </c>
      <c r="I89" s="55" t="str">
        <f>IFERROR(VLOOKUP(B89,設定メニュー!$U$5:$W$30,3,0),"")</f>
        <v/>
      </c>
      <c r="J89" s="809" t="str">
        <f t="shared" si="1"/>
        <v/>
      </c>
      <c r="K89" s="221"/>
    </row>
    <row r="90" spans="1:11" s="9" customFormat="1" ht="20.100000000000001" customHeight="1">
      <c r="A90" s="64"/>
      <c r="B90" s="48"/>
      <c r="C90" s="48"/>
      <c r="D90" s="585"/>
      <c r="E90" s="60" t="str">
        <f>IFERROR(VLOOKUP(F90,設定メニュー!$B$5:$C$30,2,0),"")</f>
        <v/>
      </c>
      <c r="F90" s="65" t="str">
        <f>IFERROR(VLOOKUP(B90,設定メニュー!$U$5:$W$30,2,0),"")</f>
        <v/>
      </c>
      <c r="G90" s="66"/>
      <c r="H90" s="60" t="str">
        <f>IFERROR(VLOOKUP(I90,設定メニュー!$B$5:$C$30,2,0),"")</f>
        <v/>
      </c>
      <c r="I90" s="55" t="str">
        <f>IFERROR(VLOOKUP(B90,設定メニュー!$U$5:$W$30,3,0),"")</f>
        <v/>
      </c>
      <c r="J90" s="809" t="str">
        <f t="shared" si="1"/>
        <v/>
      </c>
      <c r="K90" s="220"/>
    </row>
    <row r="91" spans="1:11" s="9" customFormat="1" ht="20.100000000000001" customHeight="1">
      <c r="A91" s="64"/>
      <c r="B91" s="48"/>
      <c r="C91" s="48"/>
      <c r="D91" s="585"/>
      <c r="E91" s="60" t="str">
        <f>IFERROR(VLOOKUP(F91,設定メニュー!$B$5:$C$30,2,0),"")</f>
        <v/>
      </c>
      <c r="F91" s="65" t="str">
        <f>IFERROR(VLOOKUP(B91,設定メニュー!$U$5:$W$30,2,0),"")</f>
        <v/>
      </c>
      <c r="G91" s="66"/>
      <c r="H91" s="60" t="str">
        <f>IFERROR(VLOOKUP(I91,設定メニュー!$B$5:$C$30,2,0),"")</f>
        <v/>
      </c>
      <c r="I91" s="55" t="str">
        <f>IFERROR(VLOOKUP(B91,設定メニュー!$U$5:$W$30,3,0),"")</f>
        <v/>
      </c>
      <c r="J91" s="809" t="str">
        <f t="shared" si="1"/>
        <v/>
      </c>
      <c r="K91" s="220"/>
    </row>
    <row r="92" spans="1:11" s="9" customFormat="1" ht="20.100000000000001" customHeight="1">
      <c r="A92" s="64"/>
      <c r="B92" s="48"/>
      <c r="C92" s="48"/>
      <c r="D92" s="585"/>
      <c r="E92" s="60" t="str">
        <f>IFERROR(VLOOKUP(F92,設定メニュー!$B$5:$C$30,2,0),"")</f>
        <v/>
      </c>
      <c r="F92" s="65" t="str">
        <f>IFERROR(VLOOKUP(B92,設定メニュー!$U$5:$W$30,2,0),"")</f>
        <v/>
      </c>
      <c r="G92" s="66"/>
      <c r="H92" s="60" t="str">
        <f>IFERROR(VLOOKUP(I92,設定メニュー!$B$5:$C$30,2,0),"")</f>
        <v/>
      </c>
      <c r="I92" s="55" t="str">
        <f>IFERROR(VLOOKUP(B92,設定メニュー!$U$5:$W$30,3,0),"")</f>
        <v/>
      </c>
      <c r="J92" s="809" t="str">
        <f t="shared" si="1"/>
        <v/>
      </c>
      <c r="K92" s="220"/>
    </row>
    <row r="93" spans="1:11" s="9" customFormat="1" ht="20.100000000000001" customHeight="1">
      <c r="A93" s="64"/>
      <c r="B93" s="48"/>
      <c r="C93" s="48"/>
      <c r="D93" s="585"/>
      <c r="E93" s="60" t="str">
        <f>IFERROR(VLOOKUP(F93,設定メニュー!$B$5:$C$30,2,0),"")</f>
        <v/>
      </c>
      <c r="F93" s="65" t="str">
        <f>IFERROR(VLOOKUP(B93,設定メニュー!$U$5:$W$30,2,0),"")</f>
        <v/>
      </c>
      <c r="G93" s="66"/>
      <c r="H93" s="60" t="str">
        <f>IFERROR(VLOOKUP(I93,設定メニュー!$B$5:$C$30,2,0),"")</f>
        <v/>
      </c>
      <c r="I93" s="55" t="str">
        <f>IFERROR(VLOOKUP(B93,設定メニュー!$U$5:$W$30,3,0),"")</f>
        <v/>
      </c>
      <c r="J93" s="809" t="str">
        <f t="shared" si="1"/>
        <v/>
      </c>
      <c r="K93" s="220"/>
    </row>
    <row r="94" spans="1:11" s="9" customFormat="1" ht="20.100000000000001" customHeight="1">
      <c r="A94" s="64"/>
      <c r="B94" s="48"/>
      <c r="C94" s="48"/>
      <c r="D94" s="585"/>
      <c r="E94" s="60" t="str">
        <f>IFERROR(VLOOKUP(F94,設定メニュー!$B$5:$C$30,2,0),"")</f>
        <v/>
      </c>
      <c r="F94" s="65" t="str">
        <f>IFERROR(VLOOKUP(B94,設定メニュー!$U$5:$W$30,2,0),"")</f>
        <v/>
      </c>
      <c r="G94" s="66"/>
      <c r="H94" s="60" t="str">
        <f>IFERROR(VLOOKUP(I94,設定メニュー!$B$5:$C$30,2,0),"")</f>
        <v/>
      </c>
      <c r="I94" s="55" t="str">
        <f>IFERROR(VLOOKUP(B94,設定メニュー!$U$5:$W$30,3,0),"")</f>
        <v/>
      </c>
      <c r="J94" s="809" t="str">
        <f t="shared" si="1"/>
        <v/>
      </c>
      <c r="K94" s="220"/>
    </row>
    <row r="95" spans="1:11" s="9" customFormat="1" ht="20.100000000000001" customHeight="1">
      <c r="A95" s="64"/>
      <c r="B95" s="48"/>
      <c r="C95" s="48"/>
      <c r="D95" s="585"/>
      <c r="E95" s="60" t="str">
        <f>IFERROR(VLOOKUP(F95,設定メニュー!$B$5:$C$30,2,0),"")</f>
        <v/>
      </c>
      <c r="F95" s="65" t="str">
        <f>IFERROR(VLOOKUP(B95,設定メニュー!$U$5:$W$30,2,0),"")</f>
        <v/>
      </c>
      <c r="G95" s="66"/>
      <c r="H95" s="60" t="str">
        <f>IFERROR(VLOOKUP(I95,設定メニュー!$B$5:$C$30,2,0),"")</f>
        <v/>
      </c>
      <c r="I95" s="55" t="str">
        <f>IFERROR(VLOOKUP(B95,設定メニュー!$U$5:$W$30,3,0),"")</f>
        <v/>
      </c>
      <c r="J95" s="809" t="str">
        <f t="shared" si="1"/>
        <v/>
      </c>
      <c r="K95" s="220"/>
    </row>
    <row r="96" spans="1:11" s="9" customFormat="1" ht="20.100000000000001" customHeight="1">
      <c r="A96" s="64"/>
      <c r="B96" s="48"/>
      <c r="C96" s="48"/>
      <c r="D96" s="585"/>
      <c r="E96" s="60" t="str">
        <f>IFERROR(VLOOKUP(F96,設定メニュー!$B$5:$C$30,2,0),"")</f>
        <v/>
      </c>
      <c r="F96" s="65" t="str">
        <f>IFERROR(VLOOKUP(B96,設定メニュー!$U$5:$W$30,2,0),"")</f>
        <v/>
      </c>
      <c r="G96" s="66"/>
      <c r="H96" s="60" t="str">
        <f>IFERROR(VLOOKUP(I96,設定メニュー!$B$5:$C$30,2,0),"")</f>
        <v/>
      </c>
      <c r="I96" s="55" t="str">
        <f>IFERROR(VLOOKUP(B96,設定メニュー!$U$5:$W$30,3,0),"")</f>
        <v/>
      </c>
      <c r="J96" s="809" t="str">
        <f t="shared" si="1"/>
        <v/>
      </c>
      <c r="K96" s="220"/>
    </row>
    <row r="97" spans="1:11" s="9" customFormat="1" ht="20.100000000000001" customHeight="1">
      <c r="A97" s="13"/>
      <c r="B97" s="48"/>
      <c r="C97" s="48"/>
      <c r="D97" s="585"/>
      <c r="E97" s="60" t="str">
        <f>IFERROR(VLOOKUP(F97,設定メニュー!$B$5:$C$30,2,0),"")</f>
        <v/>
      </c>
      <c r="F97" s="65" t="str">
        <f>IFERROR(VLOOKUP(B97,設定メニュー!$U$5:$W$30,2,0),"")</f>
        <v/>
      </c>
      <c r="G97" s="66"/>
      <c r="H97" s="60" t="str">
        <f>IFERROR(VLOOKUP(I97,設定メニュー!$B$5:$C$30,2,0),"")</f>
        <v/>
      </c>
      <c r="I97" s="55" t="str">
        <f>IFERROR(VLOOKUP(B97,設定メニュー!$U$5:$W$30,3,0),"")</f>
        <v/>
      </c>
      <c r="J97" s="809" t="str">
        <f t="shared" si="1"/>
        <v/>
      </c>
      <c r="K97" s="220"/>
    </row>
    <row r="98" spans="1:11" s="9" customFormat="1" ht="20.100000000000001" customHeight="1">
      <c r="A98" s="13"/>
      <c r="B98" s="48"/>
      <c r="C98" s="48"/>
      <c r="D98" s="585"/>
      <c r="E98" s="60" t="str">
        <f>IFERROR(VLOOKUP(F98,設定メニュー!$B$5:$C$30,2,0),"")</f>
        <v/>
      </c>
      <c r="F98" s="65" t="str">
        <f>IFERROR(VLOOKUP(B98,設定メニュー!$U$5:$W$30,2,0),"")</f>
        <v/>
      </c>
      <c r="G98" s="66"/>
      <c r="H98" s="60" t="str">
        <f>IFERROR(VLOOKUP(I98,設定メニュー!$B$5:$C$30,2,0),"")</f>
        <v/>
      </c>
      <c r="I98" s="55" t="str">
        <f>IFERROR(VLOOKUP(B98,設定メニュー!$U$5:$W$30,3,0),"")</f>
        <v/>
      </c>
      <c r="J98" s="809" t="str">
        <f t="shared" si="1"/>
        <v/>
      </c>
      <c r="K98" s="220"/>
    </row>
    <row r="99" spans="1:11" s="9" customFormat="1" ht="20.100000000000001" customHeight="1">
      <c r="A99" s="64"/>
      <c r="B99" s="48"/>
      <c r="C99" s="48"/>
      <c r="D99" s="585"/>
      <c r="E99" s="60" t="str">
        <f>IFERROR(VLOOKUP(F99,設定メニュー!$B$5:$C$30,2,0),"")</f>
        <v/>
      </c>
      <c r="F99" s="65" t="str">
        <f>IFERROR(VLOOKUP(B99,設定メニュー!$U$5:$W$30,2,0),"")</f>
        <v/>
      </c>
      <c r="G99" s="66"/>
      <c r="H99" s="60" t="str">
        <f>IFERROR(VLOOKUP(I99,設定メニュー!$B$5:$C$30,2,0),"")</f>
        <v/>
      </c>
      <c r="I99" s="55" t="str">
        <f>IFERROR(VLOOKUP(B99,設定メニュー!$U$5:$W$30,3,0),"")</f>
        <v/>
      </c>
      <c r="J99" s="809" t="str">
        <f t="shared" si="1"/>
        <v/>
      </c>
      <c r="K99" s="220"/>
    </row>
    <row r="100" spans="1:11" s="9" customFormat="1" ht="20.100000000000001" customHeight="1">
      <c r="A100" s="13"/>
      <c r="B100" s="48"/>
      <c r="C100" s="48"/>
      <c r="D100" s="585"/>
      <c r="E100" s="60" t="str">
        <f>IFERROR(VLOOKUP(F100,設定メニュー!$B$5:$C$30,2,0),"")</f>
        <v/>
      </c>
      <c r="F100" s="65" t="str">
        <f>IFERROR(VLOOKUP(B100,設定メニュー!$U$5:$W$30,2,0),"")</f>
        <v/>
      </c>
      <c r="G100" s="66"/>
      <c r="H100" s="60" t="str">
        <f>IFERROR(VLOOKUP(I100,設定メニュー!$B$5:$C$30,2,0),"")</f>
        <v/>
      </c>
      <c r="I100" s="55" t="str">
        <f>IFERROR(VLOOKUP(B100,設定メニュー!$U$5:$W$30,3,0),"")</f>
        <v/>
      </c>
      <c r="J100" s="809" t="str">
        <f t="shared" si="1"/>
        <v/>
      </c>
      <c r="K100" s="220"/>
    </row>
    <row r="101" spans="1:11" s="9" customFormat="1" ht="20.100000000000001" customHeight="1">
      <c r="A101" s="13"/>
      <c r="B101" s="48"/>
      <c r="C101" s="48"/>
      <c r="D101" s="585"/>
      <c r="E101" s="60" t="str">
        <f>IFERROR(VLOOKUP(F101,設定メニュー!$B$5:$C$30,2,0),"")</f>
        <v/>
      </c>
      <c r="F101" s="65" t="str">
        <f>IFERROR(VLOOKUP(B101,設定メニュー!$U$5:$W$30,2,0),"")</f>
        <v/>
      </c>
      <c r="G101" s="66"/>
      <c r="H101" s="60" t="str">
        <f>IFERROR(VLOOKUP(I101,設定メニュー!$B$5:$C$30,2,0),"")</f>
        <v/>
      </c>
      <c r="I101" s="55" t="str">
        <f>IFERROR(VLOOKUP(B101,設定メニュー!$U$5:$W$30,3,0),"")</f>
        <v/>
      </c>
      <c r="J101" s="809" t="str">
        <f t="shared" si="1"/>
        <v/>
      </c>
      <c r="K101" s="220"/>
    </row>
    <row r="102" spans="1:11" s="9" customFormat="1" ht="20.100000000000001" customHeight="1">
      <c r="A102" s="64"/>
      <c r="B102" s="48"/>
      <c r="C102" s="48"/>
      <c r="D102" s="585"/>
      <c r="E102" s="60" t="str">
        <f>IFERROR(VLOOKUP(F102,設定メニュー!$B$5:$C$30,2,0),"")</f>
        <v/>
      </c>
      <c r="F102" s="65" t="str">
        <f>IFERROR(VLOOKUP(B102,設定メニュー!$U$5:$W$30,2,0),"")</f>
        <v/>
      </c>
      <c r="G102" s="66"/>
      <c r="H102" s="60" t="str">
        <f>IFERROR(VLOOKUP(I102,設定メニュー!$B$5:$C$30,2,0),"")</f>
        <v/>
      </c>
      <c r="I102" s="55" t="str">
        <f>IFERROR(VLOOKUP(B102,設定メニュー!$U$5:$W$30,3,0),"")</f>
        <v/>
      </c>
      <c r="J102" s="809" t="str">
        <f t="shared" si="1"/>
        <v/>
      </c>
      <c r="K102" s="220"/>
    </row>
    <row r="103" spans="1:11" s="9" customFormat="1" ht="20.100000000000001" customHeight="1">
      <c r="A103" s="13"/>
      <c r="B103" s="48"/>
      <c r="C103" s="48"/>
      <c r="D103" s="585"/>
      <c r="E103" s="60" t="str">
        <f>IFERROR(VLOOKUP(F103,設定メニュー!$B$5:$C$30,2,0),"")</f>
        <v/>
      </c>
      <c r="F103" s="65" t="str">
        <f>IFERROR(VLOOKUP(B103,設定メニュー!$U$5:$W$30,2,0),"")</f>
        <v/>
      </c>
      <c r="G103" s="66"/>
      <c r="H103" s="60" t="str">
        <f>IFERROR(VLOOKUP(I103,設定メニュー!$B$5:$C$30,2,0),"")</f>
        <v/>
      </c>
      <c r="I103" s="55" t="str">
        <f>IFERROR(VLOOKUP(B103,設定メニュー!$U$5:$W$30,3,0),"")</f>
        <v/>
      </c>
      <c r="J103" s="809" t="str">
        <f t="shared" si="1"/>
        <v/>
      </c>
      <c r="K103" s="220"/>
    </row>
    <row r="104" spans="1:11" s="9" customFormat="1" ht="20.100000000000001" customHeight="1">
      <c r="A104" s="13"/>
      <c r="B104" s="48"/>
      <c r="C104" s="48"/>
      <c r="D104" s="585"/>
      <c r="E104" s="60" t="str">
        <f>IFERROR(VLOOKUP(F104,設定メニュー!$B$5:$C$30,2,0),"")</f>
        <v/>
      </c>
      <c r="F104" s="65" t="str">
        <f>IFERROR(VLOOKUP(B104,設定メニュー!$U$5:$W$30,2,0),"")</f>
        <v/>
      </c>
      <c r="G104" s="66"/>
      <c r="H104" s="60" t="str">
        <f>IFERROR(VLOOKUP(I104,設定メニュー!$B$5:$C$30,2,0),"")</f>
        <v/>
      </c>
      <c r="I104" s="55" t="str">
        <f>IFERROR(VLOOKUP(B104,設定メニュー!$U$5:$W$30,3,0),"")</f>
        <v/>
      </c>
      <c r="J104" s="809" t="str">
        <f t="shared" si="1"/>
        <v/>
      </c>
      <c r="K104" s="221"/>
    </row>
    <row r="105" spans="1:11" s="9" customFormat="1" ht="20.100000000000001" customHeight="1">
      <c r="A105" s="13"/>
      <c r="B105" s="48"/>
      <c r="C105" s="48"/>
      <c r="D105" s="585"/>
      <c r="E105" s="60" t="str">
        <f>IFERROR(VLOOKUP(F105,設定メニュー!$B$5:$C$30,2,0),"")</f>
        <v/>
      </c>
      <c r="F105" s="65" t="str">
        <f>IFERROR(VLOOKUP(B105,設定メニュー!$U$5:$W$30,2,0),"")</f>
        <v/>
      </c>
      <c r="G105" s="66"/>
      <c r="H105" s="60" t="str">
        <f>IFERROR(VLOOKUP(I105,設定メニュー!$B$5:$C$30,2,0),"")</f>
        <v/>
      </c>
      <c r="I105" s="55" t="str">
        <f>IFERROR(VLOOKUP(B105,設定メニュー!$U$5:$W$30,3,0),"")</f>
        <v/>
      </c>
      <c r="J105" s="809" t="str">
        <f t="shared" si="1"/>
        <v/>
      </c>
      <c r="K105" s="220"/>
    </row>
    <row r="106" spans="1:11" s="9" customFormat="1" ht="20.100000000000001" customHeight="1">
      <c r="A106" s="13"/>
      <c r="B106" s="48"/>
      <c r="C106" s="48"/>
      <c r="D106" s="585"/>
      <c r="E106" s="60" t="str">
        <f>IFERROR(VLOOKUP(F106,設定メニュー!$B$5:$C$30,2,0),"")</f>
        <v/>
      </c>
      <c r="F106" s="65" t="str">
        <f>IFERROR(VLOOKUP(B106,設定メニュー!$U$5:$W$30,2,0),"")</f>
        <v/>
      </c>
      <c r="G106" s="66"/>
      <c r="H106" s="60" t="str">
        <f>IFERROR(VLOOKUP(I106,設定メニュー!$B$5:$C$30,2,0),"")</f>
        <v/>
      </c>
      <c r="I106" s="55" t="str">
        <f>IFERROR(VLOOKUP(B106,設定メニュー!$U$5:$W$30,3,0),"")</f>
        <v/>
      </c>
      <c r="J106" s="809" t="str">
        <f t="shared" si="1"/>
        <v/>
      </c>
      <c r="K106" s="220"/>
    </row>
    <row r="107" spans="1:11" s="9" customFormat="1" ht="20.100000000000001" customHeight="1">
      <c r="A107" s="13"/>
      <c r="B107" s="48"/>
      <c r="C107" s="48"/>
      <c r="D107" s="585"/>
      <c r="E107" s="60" t="str">
        <f>IFERROR(VLOOKUP(F107,設定メニュー!$B$5:$C$30,2,0),"")</f>
        <v/>
      </c>
      <c r="F107" s="65" t="str">
        <f>IFERROR(VLOOKUP(B107,設定メニュー!$U$5:$W$30,2,0),"")</f>
        <v/>
      </c>
      <c r="G107" s="66"/>
      <c r="H107" s="60" t="str">
        <f>IFERROR(VLOOKUP(I107,設定メニュー!$B$5:$C$30,2,0),"")</f>
        <v/>
      </c>
      <c r="I107" s="55" t="str">
        <f>IFERROR(VLOOKUP(B107,設定メニュー!$U$5:$W$30,3,0),"")</f>
        <v/>
      </c>
      <c r="J107" s="809" t="str">
        <f t="shared" si="1"/>
        <v/>
      </c>
      <c r="K107" s="220"/>
    </row>
    <row r="108" spans="1:11" s="9" customFormat="1" ht="20.100000000000001" customHeight="1">
      <c r="A108" s="13"/>
      <c r="B108" s="48"/>
      <c r="C108" s="48"/>
      <c r="D108" s="585"/>
      <c r="E108" s="60" t="str">
        <f>IFERROR(VLOOKUP(F108,設定メニュー!$B$5:$C$30,2,0),"")</f>
        <v/>
      </c>
      <c r="F108" s="65" t="str">
        <f>IFERROR(VLOOKUP(B108,設定メニュー!$U$5:$W$30,2,0),"")</f>
        <v/>
      </c>
      <c r="G108" s="66"/>
      <c r="H108" s="60" t="str">
        <f>IFERROR(VLOOKUP(I108,設定メニュー!$B$5:$C$30,2,0),"")</f>
        <v/>
      </c>
      <c r="I108" s="55" t="str">
        <f>IFERROR(VLOOKUP(B108,設定メニュー!$U$5:$W$30,3,0),"")</f>
        <v/>
      </c>
      <c r="J108" s="809" t="str">
        <f t="shared" si="1"/>
        <v/>
      </c>
      <c r="K108" s="220"/>
    </row>
    <row r="109" spans="1:11" s="9" customFormat="1" ht="20.100000000000001" customHeight="1">
      <c r="A109" s="13"/>
      <c r="B109" s="48"/>
      <c r="C109" s="48"/>
      <c r="D109" s="585"/>
      <c r="E109" s="60" t="str">
        <f>IFERROR(VLOOKUP(F109,設定メニュー!$B$5:$C$30,2,0),"")</f>
        <v/>
      </c>
      <c r="F109" s="65" t="str">
        <f>IFERROR(VLOOKUP(B109,設定メニュー!$U$5:$W$30,2,0),"")</f>
        <v/>
      </c>
      <c r="G109" s="66"/>
      <c r="H109" s="60" t="str">
        <f>IFERROR(VLOOKUP(I109,設定メニュー!$B$5:$C$30,2,0),"")</f>
        <v/>
      </c>
      <c r="I109" s="55" t="str">
        <f>IFERROR(VLOOKUP(B109,設定メニュー!$U$5:$W$30,3,0),"")</f>
        <v/>
      </c>
      <c r="J109" s="809" t="str">
        <f t="shared" si="1"/>
        <v/>
      </c>
      <c r="K109" s="220"/>
    </row>
    <row r="110" spans="1:11" s="9" customFormat="1" ht="20.100000000000001" customHeight="1">
      <c r="A110" s="13"/>
      <c r="B110" s="48"/>
      <c r="C110" s="48"/>
      <c r="D110" s="585"/>
      <c r="E110" s="60" t="str">
        <f>IFERROR(VLOOKUP(F110,設定メニュー!$B$5:$C$30,2,0),"")</f>
        <v/>
      </c>
      <c r="F110" s="65" t="str">
        <f>IFERROR(VLOOKUP(B110,設定メニュー!$U$5:$W$30,2,0),"")</f>
        <v/>
      </c>
      <c r="G110" s="66"/>
      <c r="H110" s="60" t="str">
        <f>IFERROR(VLOOKUP(I110,設定メニュー!$B$5:$C$30,2,0),"")</f>
        <v/>
      </c>
      <c r="I110" s="55" t="str">
        <f>IFERROR(VLOOKUP(B110,設定メニュー!$U$5:$W$30,3,0),"")</f>
        <v/>
      </c>
      <c r="J110" s="809" t="str">
        <f t="shared" si="1"/>
        <v/>
      </c>
      <c r="K110" s="220"/>
    </row>
    <row r="111" spans="1:11" s="9" customFormat="1" ht="20.100000000000001" customHeight="1">
      <c r="A111" s="64"/>
      <c r="B111" s="48"/>
      <c r="C111" s="48"/>
      <c r="D111" s="585"/>
      <c r="E111" s="60" t="str">
        <f>IFERROR(VLOOKUP(F111,設定メニュー!$B$5:$C$30,2,0),"")</f>
        <v/>
      </c>
      <c r="F111" s="65" t="str">
        <f>IFERROR(VLOOKUP(B111,設定メニュー!$U$5:$W$30,2,0),"")</f>
        <v/>
      </c>
      <c r="G111" s="66"/>
      <c r="H111" s="60" t="str">
        <f>IFERROR(VLOOKUP(I111,設定メニュー!$B$5:$C$30,2,0),"")</f>
        <v/>
      </c>
      <c r="I111" s="55" t="str">
        <f>IFERROR(VLOOKUP(B111,設定メニュー!$U$5:$W$30,3,0),"")</f>
        <v/>
      </c>
      <c r="J111" s="809" t="str">
        <f t="shared" si="1"/>
        <v/>
      </c>
      <c r="K111" s="220"/>
    </row>
    <row r="112" spans="1:11" s="9" customFormat="1" ht="20.100000000000001" customHeight="1">
      <c r="A112" s="13"/>
      <c r="B112" s="48"/>
      <c r="C112" s="48"/>
      <c r="D112" s="585"/>
      <c r="E112" s="60" t="str">
        <f>IFERROR(VLOOKUP(F112,設定メニュー!$B$5:$C$30,2,0),"")</f>
        <v/>
      </c>
      <c r="F112" s="65" t="str">
        <f>IFERROR(VLOOKUP(B112,設定メニュー!$U$5:$W$30,2,0),"")</f>
        <v/>
      </c>
      <c r="G112" s="66"/>
      <c r="H112" s="60" t="str">
        <f>IFERROR(VLOOKUP(I112,設定メニュー!$B$5:$C$30,2,0),"")</f>
        <v/>
      </c>
      <c r="I112" s="55" t="str">
        <f>IFERROR(VLOOKUP(B112,設定メニュー!$U$5:$W$30,3,0),"")</f>
        <v/>
      </c>
      <c r="J112" s="809" t="str">
        <f t="shared" si="1"/>
        <v/>
      </c>
      <c r="K112" s="220"/>
    </row>
    <row r="113" spans="1:11" s="9" customFormat="1" ht="20.100000000000001" customHeight="1">
      <c r="A113" s="13"/>
      <c r="B113" s="48"/>
      <c r="C113" s="48"/>
      <c r="D113" s="585"/>
      <c r="E113" s="60" t="str">
        <f>IFERROR(VLOOKUP(F113,設定メニュー!$B$5:$C$30,2,0),"")</f>
        <v/>
      </c>
      <c r="F113" s="65" t="str">
        <f>IFERROR(VLOOKUP(B113,設定メニュー!$U$5:$W$30,2,0),"")</f>
        <v/>
      </c>
      <c r="G113" s="66"/>
      <c r="H113" s="60" t="str">
        <f>IFERROR(VLOOKUP(I113,設定メニュー!$B$5:$C$30,2,0),"")</f>
        <v/>
      </c>
      <c r="I113" s="55" t="str">
        <f>IFERROR(VLOOKUP(B113,設定メニュー!$U$5:$W$30,3,0),"")</f>
        <v/>
      </c>
      <c r="J113" s="809" t="str">
        <f t="shared" si="1"/>
        <v/>
      </c>
      <c r="K113" s="220"/>
    </row>
    <row r="114" spans="1:11" s="9" customFormat="1" ht="20.100000000000001" customHeight="1">
      <c r="A114" s="13"/>
      <c r="B114" s="48"/>
      <c r="C114" s="48"/>
      <c r="D114" s="585"/>
      <c r="E114" s="60" t="str">
        <f>IFERROR(VLOOKUP(F114,設定メニュー!$B$5:$C$30,2,0),"")</f>
        <v/>
      </c>
      <c r="F114" s="65" t="str">
        <f>IFERROR(VLOOKUP(B114,設定メニュー!$U$5:$W$30,2,0),"")</f>
        <v/>
      </c>
      <c r="G114" s="66"/>
      <c r="H114" s="60" t="str">
        <f>IFERROR(VLOOKUP(I114,設定メニュー!$B$5:$C$30,2,0),"")</f>
        <v/>
      </c>
      <c r="I114" s="55" t="str">
        <f>IFERROR(VLOOKUP(B114,設定メニュー!$U$5:$W$30,3,0),"")</f>
        <v/>
      </c>
      <c r="J114" s="809" t="str">
        <f t="shared" si="1"/>
        <v/>
      </c>
      <c r="K114" s="220"/>
    </row>
    <row r="115" spans="1:11" s="9" customFormat="1" ht="20.100000000000001" customHeight="1">
      <c r="A115" s="64"/>
      <c r="B115" s="48"/>
      <c r="C115" s="48"/>
      <c r="D115" s="585"/>
      <c r="E115" s="60" t="str">
        <f>IFERROR(VLOOKUP(F115,設定メニュー!$B$5:$C$30,2,0),"")</f>
        <v/>
      </c>
      <c r="F115" s="65" t="str">
        <f>IFERROR(VLOOKUP(B115,設定メニュー!$U$5:$W$30,2,0),"")</f>
        <v/>
      </c>
      <c r="G115" s="66"/>
      <c r="H115" s="60" t="str">
        <f>IFERROR(VLOOKUP(I115,設定メニュー!$B$5:$C$30,2,0),"")</f>
        <v/>
      </c>
      <c r="I115" s="55" t="str">
        <f>IFERROR(VLOOKUP(B115,設定メニュー!$U$5:$W$30,3,0),"")</f>
        <v/>
      </c>
      <c r="J115" s="809" t="str">
        <f t="shared" si="1"/>
        <v/>
      </c>
      <c r="K115" s="220"/>
    </row>
    <row r="116" spans="1:11" s="9" customFormat="1" ht="20.100000000000001" customHeight="1">
      <c r="A116" s="64"/>
      <c r="B116" s="48"/>
      <c r="C116" s="48"/>
      <c r="D116" s="585"/>
      <c r="E116" s="60" t="str">
        <f>IFERROR(VLOOKUP(F116,設定メニュー!$B$5:$C$30,2,0),"")</f>
        <v/>
      </c>
      <c r="F116" s="65" t="str">
        <f>IFERROR(VLOOKUP(B116,設定メニュー!$U$5:$W$30,2,0),"")</f>
        <v/>
      </c>
      <c r="G116" s="66"/>
      <c r="H116" s="60" t="str">
        <f>IFERROR(VLOOKUP(I116,設定メニュー!$B$5:$C$30,2,0),"")</f>
        <v/>
      </c>
      <c r="I116" s="55" t="str">
        <f>IFERROR(VLOOKUP(B116,設定メニュー!$U$5:$W$30,3,0),"")</f>
        <v/>
      </c>
      <c r="J116" s="809" t="str">
        <f t="shared" si="1"/>
        <v/>
      </c>
      <c r="K116" s="220"/>
    </row>
    <row r="117" spans="1:11" s="9" customFormat="1" ht="20.100000000000001" customHeight="1">
      <c r="A117" s="64"/>
      <c r="B117" s="48"/>
      <c r="C117" s="48"/>
      <c r="D117" s="585"/>
      <c r="E117" s="60" t="str">
        <f>IFERROR(VLOOKUP(F117,設定メニュー!$B$5:$C$30,2,0),"")</f>
        <v/>
      </c>
      <c r="F117" s="65" t="str">
        <f>IFERROR(VLOOKUP(B117,設定メニュー!$U$5:$W$30,2,0),"")</f>
        <v/>
      </c>
      <c r="G117" s="66"/>
      <c r="H117" s="60" t="str">
        <f>IFERROR(VLOOKUP(I117,設定メニュー!$B$5:$C$30,2,0),"")</f>
        <v/>
      </c>
      <c r="I117" s="55" t="str">
        <f>IFERROR(VLOOKUP(B117,設定メニュー!$U$5:$W$30,3,0),"")</f>
        <v/>
      </c>
      <c r="J117" s="809" t="str">
        <f t="shared" si="1"/>
        <v/>
      </c>
      <c r="K117" s="220"/>
    </row>
    <row r="118" spans="1:11" s="9" customFormat="1" ht="20.100000000000001" customHeight="1">
      <c r="A118" s="13"/>
      <c r="B118" s="48"/>
      <c r="C118" s="48"/>
      <c r="D118" s="585"/>
      <c r="E118" s="60" t="str">
        <f>IFERROR(VLOOKUP(F118,設定メニュー!$B$5:$C$30,2,0),"")</f>
        <v/>
      </c>
      <c r="F118" s="65" t="str">
        <f>IFERROR(VLOOKUP(B118,設定メニュー!$U$5:$W$30,2,0),"")</f>
        <v/>
      </c>
      <c r="G118" s="66"/>
      <c r="H118" s="60" t="str">
        <f>IFERROR(VLOOKUP(I118,設定メニュー!$B$5:$C$30,2,0),"")</f>
        <v/>
      </c>
      <c r="I118" s="55" t="str">
        <f>IFERROR(VLOOKUP(B118,設定メニュー!$U$5:$W$30,3,0),"")</f>
        <v/>
      </c>
      <c r="J118" s="809" t="str">
        <f t="shared" si="1"/>
        <v/>
      </c>
      <c r="K118" s="220"/>
    </row>
    <row r="119" spans="1:11" s="9" customFormat="1" ht="20.100000000000001" customHeight="1">
      <c r="A119" s="13"/>
      <c r="B119" s="48"/>
      <c r="C119" s="48"/>
      <c r="D119" s="585"/>
      <c r="E119" s="60" t="str">
        <f>IFERROR(VLOOKUP(F119,設定メニュー!$B$5:$C$30,2,0),"")</f>
        <v/>
      </c>
      <c r="F119" s="65" t="str">
        <f>IFERROR(VLOOKUP(B119,設定メニュー!$U$5:$W$30,2,0),"")</f>
        <v/>
      </c>
      <c r="G119" s="66"/>
      <c r="H119" s="60" t="str">
        <f>IFERROR(VLOOKUP(I119,設定メニュー!$B$5:$C$30,2,0),"")</f>
        <v/>
      </c>
      <c r="I119" s="55" t="str">
        <f>IFERROR(VLOOKUP(B119,設定メニュー!$U$5:$W$30,3,0),"")</f>
        <v/>
      </c>
      <c r="J119" s="809" t="str">
        <f t="shared" si="1"/>
        <v/>
      </c>
      <c r="K119" s="220"/>
    </row>
    <row r="120" spans="1:11" s="9" customFormat="1" ht="20.100000000000001" customHeight="1">
      <c r="A120" s="64"/>
      <c r="B120" s="48"/>
      <c r="C120" s="48"/>
      <c r="D120" s="585"/>
      <c r="E120" s="60" t="str">
        <f>IFERROR(VLOOKUP(F120,設定メニュー!$B$5:$C$30,2,0),"")</f>
        <v/>
      </c>
      <c r="F120" s="65" t="str">
        <f>IFERROR(VLOOKUP(B120,設定メニュー!$U$5:$W$30,2,0),"")</f>
        <v/>
      </c>
      <c r="G120" s="66"/>
      <c r="H120" s="60" t="str">
        <f>IFERROR(VLOOKUP(I120,設定メニュー!$B$5:$C$30,2,0),"")</f>
        <v/>
      </c>
      <c r="I120" s="55" t="str">
        <f>IFERROR(VLOOKUP(B120,設定メニュー!$U$5:$W$30,3,0),"")</f>
        <v/>
      </c>
      <c r="J120" s="809" t="str">
        <f t="shared" si="1"/>
        <v/>
      </c>
      <c r="K120" s="220"/>
    </row>
    <row r="121" spans="1:11" s="9" customFormat="1" ht="20.100000000000001" customHeight="1">
      <c r="A121" s="13"/>
      <c r="B121" s="48"/>
      <c r="C121" s="48"/>
      <c r="D121" s="585"/>
      <c r="E121" s="60" t="str">
        <f>IFERROR(VLOOKUP(F121,設定メニュー!$B$5:$C$30,2,0),"")</f>
        <v/>
      </c>
      <c r="F121" s="65" t="str">
        <f>IFERROR(VLOOKUP(B121,設定メニュー!$U$5:$W$30,2,0),"")</f>
        <v/>
      </c>
      <c r="G121" s="66"/>
      <c r="H121" s="60" t="str">
        <f>IFERROR(VLOOKUP(I121,設定メニュー!$B$5:$C$30,2,0),"")</f>
        <v/>
      </c>
      <c r="I121" s="55" t="str">
        <f>IFERROR(VLOOKUP(B121,設定メニュー!$U$5:$W$30,3,0),"")</f>
        <v/>
      </c>
      <c r="J121" s="809" t="str">
        <f t="shared" si="1"/>
        <v/>
      </c>
      <c r="K121" s="221"/>
    </row>
    <row r="122" spans="1:11" s="9" customFormat="1" ht="20.100000000000001" customHeight="1">
      <c r="A122" s="13"/>
      <c r="B122" s="48"/>
      <c r="C122" s="48"/>
      <c r="D122" s="585"/>
      <c r="E122" s="60" t="str">
        <f>IFERROR(VLOOKUP(F122,設定メニュー!$B$5:$C$30,2,0),"")</f>
        <v/>
      </c>
      <c r="F122" s="65" t="str">
        <f>IFERROR(VLOOKUP(B122,設定メニュー!$U$5:$W$30,2,0),"")</f>
        <v/>
      </c>
      <c r="G122" s="66"/>
      <c r="H122" s="60" t="str">
        <f>IFERROR(VLOOKUP(I122,設定メニュー!$B$5:$C$30,2,0),"")</f>
        <v/>
      </c>
      <c r="I122" s="55" t="str">
        <f>IFERROR(VLOOKUP(B122,設定メニュー!$U$5:$W$30,3,0),"")</f>
        <v/>
      </c>
      <c r="J122" s="809" t="str">
        <f t="shared" si="1"/>
        <v/>
      </c>
      <c r="K122" s="220"/>
    </row>
    <row r="123" spans="1:11" s="9" customFormat="1" ht="20.100000000000001" customHeight="1">
      <c r="A123" s="13"/>
      <c r="B123" s="48"/>
      <c r="C123" s="48"/>
      <c r="D123" s="585"/>
      <c r="E123" s="60" t="str">
        <f>IFERROR(VLOOKUP(F123,設定メニュー!$B$5:$C$30,2,0),"")</f>
        <v/>
      </c>
      <c r="F123" s="65" t="str">
        <f>IFERROR(VLOOKUP(B123,設定メニュー!$U$5:$W$30,2,0),"")</f>
        <v/>
      </c>
      <c r="G123" s="66"/>
      <c r="H123" s="60" t="str">
        <f>IFERROR(VLOOKUP(I123,設定メニュー!$B$5:$C$30,2,0),"")</f>
        <v/>
      </c>
      <c r="I123" s="55" t="str">
        <f>IFERROR(VLOOKUP(B123,設定メニュー!$U$5:$W$30,3,0),"")</f>
        <v/>
      </c>
      <c r="J123" s="809" t="str">
        <f t="shared" si="1"/>
        <v/>
      </c>
      <c r="K123" s="220"/>
    </row>
    <row r="124" spans="1:11" s="9" customFormat="1" ht="20.100000000000001" customHeight="1">
      <c r="A124" s="13"/>
      <c r="B124" s="48"/>
      <c r="C124" s="48"/>
      <c r="D124" s="585"/>
      <c r="E124" s="60" t="str">
        <f>IFERROR(VLOOKUP(F124,設定メニュー!$B$5:$C$30,2,0),"")</f>
        <v/>
      </c>
      <c r="F124" s="65" t="str">
        <f>IFERROR(VLOOKUP(B124,設定メニュー!$U$5:$W$30,2,0),"")</f>
        <v/>
      </c>
      <c r="G124" s="66"/>
      <c r="H124" s="60" t="str">
        <f>IFERROR(VLOOKUP(I124,設定メニュー!$B$5:$C$30,2,0),"")</f>
        <v/>
      </c>
      <c r="I124" s="55" t="str">
        <f>IFERROR(VLOOKUP(B124,設定メニュー!$U$5:$W$30,3,0),"")</f>
        <v/>
      </c>
      <c r="J124" s="809" t="str">
        <f t="shared" si="1"/>
        <v/>
      </c>
      <c r="K124" s="220"/>
    </row>
    <row r="125" spans="1:11" s="9" customFormat="1" ht="20.100000000000001" customHeight="1">
      <c r="A125" s="13"/>
      <c r="B125" s="48"/>
      <c r="C125" s="48"/>
      <c r="D125" s="585"/>
      <c r="E125" s="60" t="str">
        <f>IFERROR(VLOOKUP(F125,設定メニュー!$B$5:$C$30,2,0),"")</f>
        <v/>
      </c>
      <c r="F125" s="65" t="str">
        <f>IFERROR(VLOOKUP(B125,設定メニュー!$U$5:$W$30,2,0),"")</f>
        <v/>
      </c>
      <c r="G125" s="66"/>
      <c r="H125" s="60" t="str">
        <f>IFERROR(VLOOKUP(I125,設定メニュー!$B$5:$C$30,2,0),"")</f>
        <v/>
      </c>
      <c r="I125" s="55" t="str">
        <f>IFERROR(VLOOKUP(B125,設定メニュー!$U$5:$W$30,3,0),"")</f>
        <v/>
      </c>
      <c r="J125" s="809" t="str">
        <f t="shared" si="1"/>
        <v/>
      </c>
      <c r="K125" s="220"/>
    </row>
    <row r="126" spans="1:11" s="9" customFormat="1" ht="20.100000000000001" customHeight="1">
      <c r="A126" s="13"/>
      <c r="B126" s="48"/>
      <c r="C126" s="48"/>
      <c r="D126" s="585"/>
      <c r="E126" s="60" t="str">
        <f>IFERROR(VLOOKUP(F126,設定メニュー!$B$5:$C$30,2,0),"")</f>
        <v/>
      </c>
      <c r="F126" s="65" t="str">
        <f>IFERROR(VLOOKUP(B126,設定メニュー!$U$5:$W$30,2,0),"")</f>
        <v/>
      </c>
      <c r="G126" s="66"/>
      <c r="H126" s="60" t="str">
        <f>IFERROR(VLOOKUP(I126,設定メニュー!$B$5:$C$30,2,0),"")</f>
        <v/>
      </c>
      <c r="I126" s="55" t="str">
        <f>IFERROR(VLOOKUP(B126,設定メニュー!$U$5:$W$30,3,0),"")</f>
        <v/>
      </c>
      <c r="J126" s="809" t="str">
        <f t="shared" si="1"/>
        <v/>
      </c>
      <c r="K126" s="220"/>
    </row>
    <row r="127" spans="1:11" s="9" customFormat="1" ht="20.100000000000001" customHeight="1">
      <c r="A127" s="13"/>
      <c r="B127" s="48"/>
      <c r="C127" s="48"/>
      <c r="D127" s="585"/>
      <c r="E127" s="60" t="str">
        <f>IFERROR(VLOOKUP(F127,設定メニュー!$B$5:$C$30,2,0),"")</f>
        <v/>
      </c>
      <c r="F127" s="65" t="str">
        <f>IFERROR(VLOOKUP(B127,設定メニュー!$U$5:$W$30,2,0),"")</f>
        <v/>
      </c>
      <c r="G127" s="66"/>
      <c r="H127" s="60" t="str">
        <f>IFERROR(VLOOKUP(I127,設定メニュー!$B$5:$C$30,2,0),"")</f>
        <v/>
      </c>
      <c r="I127" s="55" t="str">
        <f>IFERROR(VLOOKUP(B127,設定メニュー!$U$5:$W$30,3,0),"")</f>
        <v/>
      </c>
      <c r="J127" s="809" t="str">
        <f t="shared" si="1"/>
        <v/>
      </c>
      <c r="K127" s="220"/>
    </row>
    <row r="128" spans="1:11" s="9" customFormat="1" ht="20.100000000000001" customHeight="1">
      <c r="A128" s="13"/>
      <c r="B128" s="48"/>
      <c r="C128" s="48"/>
      <c r="D128" s="585"/>
      <c r="E128" s="60" t="str">
        <f>IFERROR(VLOOKUP(F128,設定メニュー!$B$5:$C$30,2,0),"")</f>
        <v/>
      </c>
      <c r="F128" s="65" t="str">
        <f>IFERROR(VLOOKUP(B128,設定メニュー!$U$5:$W$30,2,0),"")</f>
        <v/>
      </c>
      <c r="G128" s="66"/>
      <c r="H128" s="60" t="str">
        <f>IFERROR(VLOOKUP(I128,設定メニュー!$B$5:$C$30,2,0),"")</f>
        <v/>
      </c>
      <c r="I128" s="55" t="str">
        <f>IFERROR(VLOOKUP(B128,設定メニュー!$U$5:$W$30,3,0),"")</f>
        <v/>
      </c>
      <c r="J128" s="809" t="str">
        <f t="shared" si="1"/>
        <v/>
      </c>
      <c r="K128" s="220"/>
    </row>
    <row r="129" spans="1:11" s="9" customFormat="1" ht="20.100000000000001" customHeight="1">
      <c r="A129" s="13"/>
      <c r="B129" s="48"/>
      <c r="C129" s="48"/>
      <c r="D129" s="585"/>
      <c r="E129" s="60" t="str">
        <f>IFERROR(VLOOKUP(F129,設定メニュー!$B$5:$C$30,2,0),"")</f>
        <v/>
      </c>
      <c r="F129" s="65" t="str">
        <f>IFERROR(VLOOKUP(B129,設定メニュー!$U$5:$W$30,2,0),"")</f>
        <v/>
      </c>
      <c r="G129" s="66"/>
      <c r="H129" s="60" t="str">
        <f>IFERROR(VLOOKUP(I129,設定メニュー!$B$5:$C$30,2,0),"")</f>
        <v/>
      </c>
      <c r="I129" s="55" t="str">
        <f>IFERROR(VLOOKUP(B129,設定メニュー!$U$5:$W$30,3,0),"")</f>
        <v/>
      </c>
      <c r="J129" s="809" t="str">
        <f t="shared" si="1"/>
        <v/>
      </c>
      <c r="K129" s="221"/>
    </row>
    <row r="130" spans="1:11" s="9" customFormat="1" ht="20.100000000000001" customHeight="1">
      <c r="A130" s="13"/>
      <c r="B130" s="48"/>
      <c r="C130" s="48"/>
      <c r="D130" s="585"/>
      <c r="E130" s="60" t="str">
        <f>IFERROR(VLOOKUP(F130,設定メニュー!$B$5:$C$30,2,0),"")</f>
        <v/>
      </c>
      <c r="F130" s="65" t="str">
        <f>IFERROR(VLOOKUP(B130,設定メニュー!$U$5:$W$30,2,0),"")</f>
        <v/>
      </c>
      <c r="G130" s="66"/>
      <c r="H130" s="60" t="str">
        <f>IFERROR(VLOOKUP(I130,設定メニュー!$B$5:$C$30,2,0),"")</f>
        <v/>
      </c>
      <c r="I130" s="55" t="str">
        <f>IFERROR(VLOOKUP(B130,設定メニュー!$U$5:$W$30,3,0),"")</f>
        <v/>
      </c>
      <c r="J130" s="809" t="str">
        <f t="shared" si="1"/>
        <v/>
      </c>
      <c r="K130" s="221"/>
    </row>
    <row r="131" spans="1:11" s="9" customFormat="1" ht="20.100000000000001" customHeight="1">
      <c r="A131" s="13"/>
      <c r="B131" s="48"/>
      <c r="C131" s="48"/>
      <c r="D131" s="585"/>
      <c r="E131" s="60" t="str">
        <f>IFERROR(VLOOKUP(F131,設定メニュー!$B$5:$C$30,2,0),"")</f>
        <v/>
      </c>
      <c r="F131" s="65" t="str">
        <f>IFERROR(VLOOKUP(B131,設定メニュー!$U$5:$W$30,2,0),"")</f>
        <v/>
      </c>
      <c r="G131" s="66"/>
      <c r="H131" s="60" t="str">
        <f>IFERROR(VLOOKUP(I131,設定メニュー!$B$5:$C$30,2,0),"")</f>
        <v/>
      </c>
      <c r="I131" s="55" t="str">
        <f>IFERROR(VLOOKUP(B131,設定メニュー!$U$5:$W$30,3,0),"")</f>
        <v/>
      </c>
      <c r="J131" s="809" t="str">
        <f t="shared" si="1"/>
        <v/>
      </c>
      <c r="K131" s="220"/>
    </row>
    <row r="132" spans="1:11" s="9" customFormat="1" ht="20.100000000000001" customHeight="1">
      <c r="A132" s="13"/>
      <c r="B132" s="48"/>
      <c r="C132" s="48"/>
      <c r="D132" s="585"/>
      <c r="E132" s="60" t="str">
        <f>IFERROR(VLOOKUP(F132,設定メニュー!$B$5:$C$30,2,0),"")</f>
        <v/>
      </c>
      <c r="F132" s="65" t="str">
        <f>IFERROR(VLOOKUP(B132,設定メニュー!$U$5:$W$30,2,0),"")</f>
        <v/>
      </c>
      <c r="G132" s="66"/>
      <c r="H132" s="60" t="str">
        <f>IFERROR(VLOOKUP(I132,設定メニュー!$B$5:$C$30,2,0),"")</f>
        <v/>
      </c>
      <c r="I132" s="55" t="str">
        <f>IFERROR(VLOOKUP(B132,設定メニュー!$U$5:$W$30,3,0),"")</f>
        <v/>
      </c>
      <c r="J132" s="809" t="str">
        <f t="shared" si="1"/>
        <v/>
      </c>
      <c r="K132" s="220"/>
    </row>
    <row r="133" spans="1:11" s="9" customFormat="1" ht="20.100000000000001" customHeight="1">
      <c r="A133" s="13"/>
      <c r="B133" s="48"/>
      <c r="C133" s="48"/>
      <c r="D133" s="585"/>
      <c r="E133" s="60" t="str">
        <f>IFERROR(VLOOKUP(F133,設定メニュー!$B$5:$C$30,2,0),"")</f>
        <v/>
      </c>
      <c r="F133" s="65" t="str">
        <f>IFERROR(VLOOKUP(B133,設定メニュー!$U$5:$W$30,2,0),"")</f>
        <v/>
      </c>
      <c r="G133" s="66"/>
      <c r="H133" s="60" t="str">
        <f>IFERROR(VLOOKUP(I133,設定メニュー!$B$5:$C$30,2,0),"")</f>
        <v/>
      </c>
      <c r="I133" s="55" t="str">
        <f>IFERROR(VLOOKUP(B133,設定メニュー!$U$5:$W$30,3,0),"")</f>
        <v/>
      </c>
      <c r="J133" s="809" t="str">
        <f t="shared" ref="J133:J196" si="2">IF(G133&lt;&gt;"",G133,"")</f>
        <v/>
      </c>
      <c r="K133" s="221"/>
    </row>
    <row r="134" spans="1:11" s="9" customFormat="1" ht="20.100000000000001" customHeight="1">
      <c r="A134" s="13"/>
      <c r="B134" s="48"/>
      <c r="C134" s="48"/>
      <c r="D134" s="585"/>
      <c r="E134" s="60" t="str">
        <f>IFERROR(VLOOKUP(F134,設定メニュー!$B$5:$C$30,2,0),"")</f>
        <v/>
      </c>
      <c r="F134" s="65" t="str">
        <f>IFERROR(VLOOKUP(B134,設定メニュー!$U$5:$W$30,2,0),"")</f>
        <v/>
      </c>
      <c r="G134" s="66"/>
      <c r="H134" s="60" t="str">
        <f>IFERROR(VLOOKUP(I134,設定メニュー!$B$5:$C$30,2,0),"")</f>
        <v/>
      </c>
      <c r="I134" s="55" t="str">
        <f>IFERROR(VLOOKUP(B134,設定メニュー!$U$5:$W$30,3,0),"")</f>
        <v/>
      </c>
      <c r="J134" s="809" t="str">
        <f t="shared" si="2"/>
        <v/>
      </c>
      <c r="K134" s="220"/>
    </row>
    <row r="135" spans="1:11" s="9" customFormat="1" ht="20.100000000000001" customHeight="1">
      <c r="A135" s="13"/>
      <c r="B135" s="48"/>
      <c r="C135" s="48"/>
      <c r="D135" s="585"/>
      <c r="E135" s="60" t="str">
        <f>IFERROR(VLOOKUP(F135,設定メニュー!$B$5:$C$30,2,0),"")</f>
        <v/>
      </c>
      <c r="F135" s="65" t="str">
        <f>IFERROR(VLOOKUP(B135,設定メニュー!$U$5:$W$30,2,0),"")</f>
        <v/>
      </c>
      <c r="G135" s="66"/>
      <c r="H135" s="60" t="str">
        <f>IFERROR(VLOOKUP(I135,設定メニュー!$B$5:$C$30,2,0),"")</f>
        <v/>
      </c>
      <c r="I135" s="55" t="str">
        <f>IFERROR(VLOOKUP(B135,設定メニュー!$U$5:$W$30,3,0),"")</f>
        <v/>
      </c>
      <c r="J135" s="809" t="str">
        <f t="shared" si="2"/>
        <v/>
      </c>
      <c r="K135" s="220"/>
    </row>
    <row r="136" spans="1:11" s="9" customFormat="1" ht="20.100000000000001" customHeight="1">
      <c r="A136" s="13"/>
      <c r="B136" s="48"/>
      <c r="C136" s="48"/>
      <c r="D136" s="585"/>
      <c r="E136" s="60" t="str">
        <f>IFERROR(VLOOKUP(F136,設定メニュー!$B$5:$C$30,2,0),"")</f>
        <v/>
      </c>
      <c r="F136" s="65" t="str">
        <f>IFERROR(VLOOKUP(B136,設定メニュー!$U$5:$W$30,2,0),"")</f>
        <v/>
      </c>
      <c r="G136" s="66"/>
      <c r="H136" s="60" t="str">
        <f>IFERROR(VLOOKUP(I136,設定メニュー!$B$5:$C$30,2,0),"")</f>
        <v/>
      </c>
      <c r="I136" s="55" t="str">
        <f>IFERROR(VLOOKUP(B136,設定メニュー!$U$5:$W$30,3,0),"")</f>
        <v/>
      </c>
      <c r="J136" s="809" t="str">
        <f t="shared" si="2"/>
        <v/>
      </c>
      <c r="K136" s="220"/>
    </row>
    <row r="137" spans="1:11" s="9" customFormat="1" ht="20.100000000000001" customHeight="1">
      <c r="A137" s="13"/>
      <c r="B137" s="48"/>
      <c r="C137" s="48"/>
      <c r="D137" s="585"/>
      <c r="E137" s="60" t="str">
        <f>IFERROR(VLOOKUP(F137,設定メニュー!$B$5:$C$30,2,0),"")</f>
        <v/>
      </c>
      <c r="F137" s="65" t="str">
        <f>IFERROR(VLOOKUP(B137,設定メニュー!$U$5:$W$30,2,0),"")</f>
        <v/>
      </c>
      <c r="G137" s="66"/>
      <c r="H137" s="60" t="str">
        <f>IFERROR(VLOOKUP(I137,設定メニュー!$B$5:$C$30,2,0),"")</f>
        <v/>
      </c>
      <c r="I137" s="55" t="str">
        <f>IFERROR(VLOOKUP(B137,設定メニュー!$U$5:$W$30,3,0),"")</f>
        <v/>
      </c>
      <c r="J137" s="809" t="str">
        <f t="shared" si="2"/>
        <v/>
      </c>
      <c r="K137" s="220"/>
    </row>
    <row r="138" spans="1:11" s="9" customFormat="1" ht="20.100000000000001" customHeight="1">
      <c r="A138" s="13"/>
      <c r="B138" s="48"/>
      <c r="C138" s="48"/>
      <c r="D138" s="585"/>
      <c r="E138" s="60" t="str">
        <f>IFERROR(VLOOKUP(F138,設定メニュー!$B$5:$C$30,2,0),"")</f>
        <v/>
      </c>
      <c r="F138" s="65" t="str">
        <f>IFERROR(VLOOKUP(B138,設定メニュー!$U$5:$W$30,2,0),"")</f>
        <v/>
      </c>
      <c r="G138" s="66"/>
      <c r="H138" s="60" t="str">
        <f>IFERROR(VLOOKUP(I138,設定メニュー!$B$5:$C$30,2,0),"")</f>
        <v/>
      </c>
      <c r="I138" s="55" t="str">
        <f>IFERROR(VLOOKUP(B138,設定メニュー!$U$5:$W$30,3,0),"")</f>
        <v/>
      </c>
      <c r="J138" s="809" t="str">
        <f t="shared" si="2"/>
        <v/>
      </c>
      <c r="K138" s="221"/>
    </row>
    <row r="139" spans="1:11" s="9" customFormat="1" ht="20.100000000000001" customHeight="1">
      <c r="A139" s="64"/>
      <c r="B139" s="48"/>
      <c r="C139" s="48"/>
      <c r="D139" s="585"/>
      <c r="E139" s="60" t="str">
        <f>IFERROR(VLOOKUP(F139,設定メニュー!$B$5:$C$30,2,0),"")</f>
        <v/>
      </c>
      <c r="F139" s="65" t="str">
        <f>IFERROR(VLOOKUP(B139,設定メニュー!$U$5:$W$30,2,0),"")</f>
        <v/>
      </c>
      <c r="G139" s="66"/>
      <c r="H139" s="60" t="str">
        <f>IFERROR(VLOOKUP(I139,設定メニュー!$B$5:$C$30,2,0),"")</f>
        <v/>
      </c>
      <c r="I139" s="55" t="str">
        <f>IFERROR(VLOOKUP(B139,設定メニュー!$U$5:$W$30,3,0),"")</f>
        <v/>
      </c>
      <c r="J139" s="809" t="str">
        <f t="shared" si="2"/>
        <v/>
      </c>
      <c r="K139" s="220"/>
    </row>
    <row r="140" spans="1:11" s="9" customFormat="1" ht="20.100000000000001" customHeight="1">
      <c r="A140" s="13"/>
      <c r="B140" s="48"/>
      <c r="C140" s="48"/>
      <c r="D140" s="585"/>
      <c r="E140" s="60" t="str">
        <f>IFERROR(VLOOKUP(F140,設定メニュー!$B$5:$C$30,2,0),"")</f>
        <v/>
      </c>
      <c r="F140" s="65" t="str">
        <f>IFERROR(VLOOKUP(B140,設定メニュー!$U$5:$W$30,2,0),"")</f>
        <v/>
      </c>
      <c r="G140" s="66"/>
      <c r="H140" s="60" t="str">
        <f>IFERROR(VLOOKUP(I140,設定メニュー!$B$5:$C$30,2,0),"")</f>
        <v/>
      </c>
      <c r="I140" s="55" t="str">
        <f>IFERROR(VLOOKUP(B140,設定メニュー!$U$5:$W$30,3,0),"")</f>
        <v/>
      </c>
      <c r="J140" s="809" t="str">
        <f t="shared" si="2"/>
        <v/>
      </c>
      <c r="K140" s="220"/>
    </row>
    <row r="141" spans="1:11" s="9" customFormat="1" ht="20.100000000000001" customHeight="1">
      <c r="A141" s="13"/>
      <c r="B141" s="48"/>
      <c r="C141" s="48"/>
      <c r="D141" s="585"/>
      <c r="E141" s="60" t="str">
        <f>IFERROR(VLOOKUP(F141,設定メニュー!$B$5:$C$30,2,0),"")</f>
        <v/>
      </c>
      <c r="F141" s="65" t="str">
        <f>IFERROR(VLOOKUP(B141,設定メニュー!$U$5:$W$30,2,0),"")</f>
        <v/>
      </c>
      <c r="G141" s="66"/>
      <c r="H141" s="60" t="str">
        <f>IFERROR(VLOOKUP(I141,設定メニュー!$B$5:$C$30,2,0),"")</f>
        <v/>
      </c>
      <c r="I141" s="55" t="str">
        <f>IFERROR(VLOOKUP(B141,設定メニュー!$U$5:$W$30,3,0),"")</f>
        <v/>
      </c>
      <c r="J141" s="809" t="str">
        <f t="shared" si="2"/>
        <v/>
      </c>
      <c r="K141" s="220"/>
    </row>
    <row r="142" spans="1:11" s="9" customFormat="1" ht="20.100000000000001" customHeight="1">
      <c r="A142" s="13"/>
      <c r="B142" s="48"/>
      <c r="C142" s="48"/>
      <c r="D142" s="585"/>
      <c r="E142" s="60" t="str">
        <f>IFERROR(VLOOKUP(F142,設定メニュー!$B$5:$C$30,2,0),"")</f>
        <v/>
      </c>
      <c r="F142" s="65" t="str">
        <f>IFERROR(VLOOKUP(B142,設定メニュー!$U$5:$W$30,2,0),"")</f>
        <v/>
      </c>
      <c r="G142" s="66"/>
      <c r="H142" s="60" t="str">
        <f>IFERROR(VLOOKUP(I142,設定メニュー!$B$5:$C$30,2,0),"")</f>
        <v/>
      </c>
      <c r="I142" s="55" t="str">
        <f>IFERROR(VLOOKUP(B142,設定メニュー!$U$5:$W$30,3,0),"")</f>
        <v/>
      </c>
      <c r="J142" s="809" t="str">
        <f t="shared" si="2"/>
        <v/>
      </c>
      <c r="K142" s="220"/>
    </row>
    <row r="143" spans="1:11" s="9" customFormat="1" ht="20.100000000000001" customHeight="1">
      <c r="A143" s="13"/>
      <c r="B143" s="48"/>
      <c r="C143" s="48"/>
      <c r="D143" s="585"/>
      <c r="E143" s="60" t="str">
        <f>IFERROR(VLOOKUP(F143,設定メニュー!$B$5:$C$30,2,0),"")</f>
        <v/>
      </c>
      <c r="F143" s="65" t="str">
        <f>IFERROR(VLOOKUP(B143,設定メニュー!$U$5:$W$30,2,0),"")</f>
        <v/>
      </c>
      <c r="G143" s="66"/>
      <c r="H143" s="60" t="str">
        <f>IFERROR(VLOOKUP(I143,設定メニュー!$B$5:$C$30,2,0),"")</f>
        <v/>
      </c>
      <c r="I143" s="55" t="str">
        <f>IFERROR(VLOOKUP(B143,設定メニュー!$U$5:$W$30,3,0),"")</f>
        <v/>
      </c>
      <c r="J143" s="809" t="str">
        <f t="shared" si="2"/>
        <v/>
      </c>
      <c r="K143" s="220"/>
    </row>
    <row r="144" spans="1:11" s="9" customFormat="1" ht="20.100000000000001" customHeight="1">
      <c r="A144" s="13"/>
      <c r="B144" s="48"/>
      <c r="C144" s="48"/>
      <c r="D144" s="585"/>
      <c r="E144" s="60" t="str">
        <f>IFERROR(VLOOKUP(F144,設定メニュー!$B$5:$C$30,2,0),"")</f>
        <v/>
      </c>
      <c r="F144" s="65" t="str">
        <f>IFERROR(VLOOKUP(B144,設定メニュー!$U$5:$W$30,2,0),"")</f>
        <v/>
      </c>
      <c r="G144" s="66"/>
      <c r="H144" s="60" t="str">
        <f>IFERROR(VLOOKUP(I144,設定メニュー!$B$5:$C$30,2,0),"")</f>
        <v/>
      </c>
      <c r="I144" s="55" t="str">
        <f>IFERROR(VLOOKUP(B144,設定メニュー!$U$5:$W$30,3,0),"")</f>
        <v/>
      </c>
      <c r="J144" s="809" t="str">
        <f t="shared" si="2"/>
        <v/>
      </c>
      <c r="K144" s="220"/>
    </row>
    <row r="145" spans="1:11" s="9" customFormat="1" ht="20.100000000000001" customHeight="1">
      <c r="A145" s="13"/>
      <c r="B145" s="48"/>
      <c r="C145" s="48"/>
      <c r="D145" s="585"/>
      <c r="E145" s="60" t="str">
        <f>IFERROR(VLOOKUP(F145,設定メニュー!$B$5:$C$30,2,0),"")</f>
        <v/>
      </c>
      <c r="F145" s="65" t="str">
        <f>IFERROR(VLOOKUP(B145,設定メニュー!$U$5:$W$30,2,0),"")</f>
        <v/>
      </c>
      <c r="G145" s="66"/>
      <c r="H145" s="60" t="str">
        <f>IFERROR(VLOOKUP(I145,設定メニュー!$B$5:$C$30,2,0),"")</f>
        <v/>
      </c>
      <c r="I145" s="55" t="str">
        <f>IFERROR(VLOOKUP(B145,設定メニュー!$U$5:$W$30,3,0),"")</f>
        <v/>
      </c>
      <c r="J145" s="809" t="str">
        <f t="shared" si="2"/>
        <v/>
      </c>
      <c r="K145" s="221"/>
    </row>
    <row r="146" spans="1:11" s="9" customFormat="1" ht="20.100000000000001" customHeight="1">
      <c r="A146" s="13"/>
      <c r="B146" s="48"/>
      <c r="C146" s="48"/>
      <c r="D146" s="585"/>
      <c r="E146" s="60" t="str">
        <f>IFERROR(VLOOKUP(F146,設定メニュー!$B$5:$C$30,2,0),"")</f>
        <v/>
      </c>
      <c r="F146" s="65" t="str">
        <f>IFERROR(VLOOKUP(B146,設定メニュー!$U$5:$W$30,2,0),"")</f>
        <v/>
      </c>
      <c r="G146" s="66"/>
      <c r="H146" s="60" t="str">
        <f>IFERROR(VLOOKUP(I146,設定メニュー!$B$5:$C$30,2,0),"")</f>
        <v/>
      </c>
      <c r="I146" s="55" t="str">
        <f>IFERROR(VLOOKUP(B146,設定メニュー!$U$5:$W$30,3,0),"")</f>
        <v/>
      </c>
      <c r="J146" s="809" t="str">
        <f t="shared" si="2"/>
        <v/>
      </c>
      <c r="K146" s="220"/>
    </row>
    <row r="147" spans="1:11" s="9" customFormat="1" ht="20.100000000000001" customHeight="1">
      <c r="A147" s="13"/>
      <c r="B147" s="48"/>
      <c r="C147" s="48"/>
      <c r="D147" s="585"/>
      <c r="E147" s="60" t="str">
        <f>IFERROR(VLOOKUP(F147,設定メニュー!$B$5:$C$30,2,0),"")</f>
        <v/>
      </c>
      <c r="F147" s="65" t="str">
        <f>IFERROR(VLOOKUP(B147,設定メニュー!$U$5:$W$30,2,0),"")</f>
        <v/>
      </c>
      <c r="G147" s="66"/>
      <c r="H147" s="60" t="str">
        <f>IFERROR(VLOOKUP(I147,設定メニュー!$B$5:$C$30,2,0),"")</f>
        <v/>
      </c>
      <c r="I147" s="55" t="str">
        <f>IFERROR(VLOOKUP(B147,設定メニュー!$U$5:$W$30,3,0),"")</f>
        <v/>
      </c>
      <c r="J147" s="809" t="str">
        <f t="shared" si="2"/>
        <v/>
      </c>
      <c r="K147" s="221"/>
    </row>
    <row r="148" spans="1:11" s="9" customFormat="1" ht="20.100000000000001" customHeight="1">
      <c r="A148" s="64"/>
      <c r="B148" s="48"/>
      <c r="C148" s="48"/>
      <c r="D148" s="585"/>
      <c r="E148" s="60" t="str">
        <f>IFERROR(VLOOKUP(F148,設定メニュー!$B$5:$C$30,2,0),"")</f>
        <v/>
      </c>
      <c r="F148" s="65" t="str">
        <f>IFERROR(VLOOKUP(B148,設定メニュー!$U$5:$W$30,2,0),"")</f>
        <v/>
      </c>
      <c r="G148" s="66"/>
      <c r="H148" s="60" t="str">
        <f>IFERROR(VLOOKUP(I148,設定メニュー!$B$5:$C$30,2,0),"")</f>
        <v/>
      </c>
      <c r="I148" s="55" t="str">
        <f>IFERROR(VLOOKUP(B148,設定メニュー!$U$5:$W$30,3,0),"")</f>
        <v/>
      </c>
      <c r="J148" s="809" t="str">
        <f t="shared" si="2"/>
        <v/>
      </c>
      <c r="K148" s="220"/>
    </row>
    <row r="149" spans="1:11" s="9" customFormat="1" ht="20.100000000000001" customHeight="1">
      <c r="A149" s="64"/>
      <c r="B149" s="48"/>
      <c r="C149" s="48"/>
      <c r="D149" s="585"/>
      <c r="E149" s="60" t="str">
        <f>IFERROR(VLOOKUP(F149,設定メニュー!$B$5:$C$30,2,0),"")</f>
        <v/>
      </c>
      <c r="F149" s="65" t="str">
        <f>IFERROR(VLOOKUP(B149,設定メニュー!$U$5:$W$30,2,0),"")</f>
        <v/>
      </c>
      <c r="G149" s="66"/>
      <c r="H149" s="60" t="str">
        <f>IFERROR(VLOOKUP(I149,設定メニュー!$B$5:$C$30,2,0),"")</f>
        <v/>
      </c>
      <c r="I149" s="55" t="str">
        <f>IFERROR(VLOOKUP(B149,設定メニュー!$U$5:$W$30,3,0),"")</f>
        <v/>
      </c>
      <c r="J149" s="809" t="str">
        <f t="shared" si="2"/>
        <v/>
      </c>
      <c r="K149" s="220"/>
    </row>
    <row r="150" spans="1:11" s="9" customFormat="1" ht="20.100000000000001" customHeight="1">
      <c r="A150" s="64"/>
      <c r="B150" s="48"/>
      <c r="C150" s="48"/>
      <c r="D150" s="585"/>
      <c r="E150" s="60" t="str">
        <f>IFERROR(VLOOKUP(F150,設定メニュー!$B$5:$C$30,2,0),"")</f>
        <v/>
      </c>
      <c r="F150" s="65" t="str">
        <f>IFERROR(VLOOKUP(B150,設定メニュー!$U$5:$W$30,2,0),"")</f>
        <v/>
      </c>
      <c r="G150" s="66"/>
      <c r="H150" s="60" t="str">
        <f>IFERROR(VLOOKUP(I150,設定メニュー!$B$5:$C$30,2,0),"")</f>
        <v/>
      </c>
      <c r="I150" s="55" t="str">
        <f>IFERROR(VLOOKUP(B150,設定メニュー!$U$5:$W$30,3,0),"")</f>
        <v/>
      </c>
      <c r="J150" s="809" t="str">
        <f t="shared" si="2"/>
        <v/>
      </c>
      <c r="K150" s="220"/>
    </row>
    <row r="151" spans="1:11" s="9" customFormat="1" ht="20.100000000000001" customHeight="1">
      <c r="A151" s="13"/>
      <c r="B151" s="48"/>
      <c r="C151" s="48"/>
      <c r="D151" s="585"/>
      <c r="E151" s="60" t="str">
        <f>IFERROR(VLOOKUP(F151,設定メニュー!$B$5:$C$30,2,0),"")</f>
        <v/>
      </c>
      <c r="F151" s="65" t="str">
        <f>IFERROR(VLOOKUP(B151,設定メニュー!$U$5:$W$30,2,0),"")</f>
        <v/>
      </c>
      <c r="G151" s="66"/>
      <c r="H151" s="60" t="str">
        <f>IFERROR(VLOOKUP(I151,設定メニュー!$B$5:$C$30,2,0),"")</f>
        <v/>
      </c>
      <c r="I151" s="55" t="str">
        <f>IFERROR(VLOOKUP(B151,設定メニュー!$U$5:$W$30,3,0),"")</f>
        <v/>
      </c>
      <c r="J151" s="809" t="str">
        <f t="shared" si="2"/>
        <v/>
      </c>
      <c r="K151" s="221"/>
    </row>
    <row r="152" spans="1:11" s="9" customFormat="1" ht="20.100000000000001" customHeight="1">
      <c r="A152" s="13"/>
      <c r="B152" s="48"/>
      <c r="C152" s="48"/>
      <c r="D152" s="585"/>
      <c r="E152" s="60" t="str">
        <f>IFERROR(VLOOKUP(F152,設定メニュー!$B$5:$C$30,2,0),"")</f>
        <v/>
      </c>
      <c r="F152" s="65" t="str">
        <f>IFERROR(VLOOKUP(B152,設定メニュー!$U$5:$W$30,2,0),"")</f>
        <v/>
      </c>
      <c r="G152" s="66"/>
      <c r="H152" s="60" t="str">
        <f>IFERROR(VLOOKUP(I152,設定メニュー!$B$5:$C$30,2,0),"")</f>
        <v/>
      </c>
      <c r="I152" s="55" t="str">
        <f>IFERROR(VLOOKUP(B152,設定メニュー!$U$5:$W$30,3,0),"")</f>
        <v/>
      </c>
      <c r="J152" s="809" t="str">
        <f t="shared" si="2"/>
        <v/>
      </c>
      <c r="K152" s="221"/>
    </row>
    <row r="153" spans="1:11" s="9" customFormat="1" ht="20.100000000000001" customHeight="1">
      <c r="A153" s="64"/>
      <c r="B153" s="48"/>
      <c r="C153" s="48"/>
      <c r="D153" s="585"/>
      <c r="E153" s="60" t="str">
        <f>IFERROR(VLOOKUP(F153,設定メニュー!$B$5:$C$30,2,0),"")</f>
        <v/>
      </c>
      <c r="F153" s="65" t="str">
        <f>IFERROR(VLOOKUP(B153,設定メニュー!$U$5:$W$30,2,0),"")</f>
        <v/>
      </c>
      <c r="G153" s="66"/>
      <c r="H153" s="60" t="str">
        <f>IFERROR(VLOOKUP(I153,設定メニュー!$B$5:$C$30,2,0),"")</f>
        <v/>
      </c>
      <c r="I153" s="55" t="str">
        <f>IFERROR(VLOOKUP(B153,設定メニュー!$U$5:$W$30,3,0),"")</f>
        <v/>
      </c>
      <c r="J153" s="809" t="str">
        <f t="shared" si="2"/>
        <v/>
      </c>
      <c r="K153" s="220"/>
    </row>
    <row r="154" spans="1:11" s="9" customFormat="1" ht="20.100000000000001" customHeight="1">
      <c r="A154" s="13"/>
      <c r="B154" s="48"/>
      <c r="C154" s="48"/>
      <c r="D154" s="585"/>
      <c r="E154" s="60" t="str">
        <f>IFERROR(VLOOKUP(F154,設定メニュー!$B$5:$C$30,2,0),"")</f>
        <v/>
      </c>
      <c r="F154" s="65" t="str">
        <f>IFERROR(VLOOKUP(B154,設定メニュー!$U$5:$W$30,2,0),"")</f>
        <v/>
      </c>
      <c r="G154" s="66"/>
      <c r="H154" s="60" t="str">
        <f>IFERROR(VLOOKUP(I154,設定メニュー!$B$5:$C$30,2,0),"")</f>
        <v/>
      </c>
      <c r="I154" s="55" t="str">
        <f>IFERROR(VLOOKUP(B154,設定メニュー!$U$5:$W$30,3,0),"")</f>
        <v/>
      </c>
      <c r="J154" s="809" t="str">
        <f t="shared" si="2"/>
        <v/>
      </c>
      <c r="K154" s="220"/>
    </row>
    <row r="155" spans="1:11" s="9" customFormat="1" ht="20.100000000000001" customHeight="1">
      <c r="A155" s="13"/>
      <c r="B155" s="48"/>
      <c r="C155" s="48"/>
      <c r="D155" s="585"/>
      <c r="E155" s="60" t="str">
        <f>IFERROR(VLOOKUP(F155,設定メニュー!$B$5:$C$30,2,0),"")</f>
        <v/>
      </c>
      <c r="F155" s="65" t="str">
        <f>IFERROR(VLOOKUP(B155,設定メニュー!$U$5:$W$30,2,0),"")</f>
        <v/>
      </c>
      <c r="G155" s="66"/>
      <c r="H155" s="60" t="str">
        <f>IFERROR(VLOOKUP(I155,設定メニュー!$B$5:$C$30,2,0),"")</f>
        <v/>
      </c>
      <c r="I155" s="55" t="str">
        <f>IFERROR(VLOOKUP(B155,設定メニュー!$U$5:$W$30,3,0),"")</f>
        <v/>
      </c>
      <c r="J155" s="809" t="str">
        <f t="shared" si="2"/>
        <v/>
      </c>
      <c r="K155" s="220"/>
    </row>
    <row r="156" spans="1:11" s="9" customFormat="1" ht="20.100000000000001" customHeight="1">
      <c r="A156" s="13"/>
      <c r="B156" s="48"/>
      <c r="C156" s="48"/>
      <c r="D156" s="585"/>
      <c r="E156" s="60" t="str">
        <f>IFERROR(VLOOKUP(F156,設定メニュー!$B$5:$C$30,2,0),"")</f>
        <v/>
      </c>
      <c r="F156" s="65" t="str">
        <f>IFERROR(VLOOKUP(B156,設定メニュー!$U$5:$W$30,2,0),"")</f>
        <v/>
      </c>
      <c r="G156" s="66"/>
      <c r="H156" s="60" t="str">
        <f>IFERROR(VLOOKUP(I156,設定メニュー!$B$5:$C$30,2,0),"")</f>
        <v/>
      </c>
      <c r="I156" s="55" t="str">
        <f>IFERROR(VLOOKUP(B156,設定メニュー!$U$5:$W$30,3,0),"")</f>
        <v/>
      </c>
      <c r="J156" s="809" t="str">
        <f t="shared" si="2"/>
        <v/>
      </c>
      <c r="K156" s="221"/>
    </row>
    <row r="157" spans="1:11" s="9" customFormat="1" ht="20.100000000000001" customHeight="1">
      <c r="A157" s="13"/>
      <c r="B157" s="48"/>
      <c r="C157" s="48"/>
      <c r="D157" s="585"/>
      <c r="E157" s="60" t="str">
        <f>IFERROR(VLOOKUP(F157,設定メニュー!$B$5:$C$30,2,0),"")</f>
        <v/>
      </c>
      <c r="F157" s="65" t="str">
        <f>IFERROR(VLOOKUP(B157,設定メニュー!$U$5:$W$30,2,0),"")</f>
        <v/>
      </c>
      <c r="G157" s="66"/>
      <c r="H157" s="60" t="str">
        <f>IFERROR(VLOOKUP(I157,設定メニュー!$B$5:$C$30,2,0),"")</f>
        <v/>
      </c>
      <c r="I157" s="55" t="str">
        <f>IFERROR(VLOOKUP(B157,設定メニュー!$U$5:$W$30,3,0),"")</f>
        <v/>
      </c>
      <c r="J157" s="809" t="str">
        <f t="shared" si="2"/>
        <v/>
      </c>
      <c r="K157" s="220"/>
    </row>
    <row r="158" spans="1:11" s="9" customFormat="1" ht="20.100000000000001" customHeight="1">
      <c r="A158" s="13"/>
      <c r="B158" s="48"/>
      <c r="C158" s="48"/>
      <c r="D158" s="585"/>
      <c r="E158" s="60" t="str">
        <f>IFERROR(VLOOKUP(F158,設定メニュー!$B$5:$C$30,2,0),"")</f>
        <v/>
      </c>
      <c r="F158" s="65" t="str">
        <f>IFERROR(VLOOKUP(B158,設定メニュー!$U$5:$W$30,2,0),"")</f>
        <v/>
      </c>
      <c r="G158" s="66"/>
      <c r="H158" s="60" t="str">
        <f>IFERROR(VLOOKUP(I158,設定メニュー!$B$5:$C$30,2,0),"")</f>
        <v/>
      </c>
      <c r="I158" s="55" t="str">
        <f>IFERROR(VLOOKUP(B158,設定メニュー!$U$5:$W$30,3,0),"")</f>
        <v/>
      </c>
      <c r="J158" s="809" t="str">
        <f t="shared" si="2"/>
        <v/>
      </c>
      <c r="K158" s="220"/>
    </row>
    <row r="159" spans="1:11" s="9" customFormat="1" ht="20.100000000000001" customHeight="1">
      <c r="A159" s="13"/>
      <c r="B159" s="48"/>
      <c r="C159" s="48"/>
      <c r="D159" s="585"/>
      <c r="E159" s="60" t="str">
        <f>IFERROR(VLOOKUP(F159,設定メニュー!$B$5:$C$30,2,0),"")</f>
        <v/>
      </c>
      <c r="F159" s="65" t="str">
        <f>IFERROR(VLOOKUP(B159,設定メニュー!$U$5:$W$30,2,0),"")</f>
        <v/>
      </c>
      <c r="G159" s="66"/>
      <c r="H159" s="60" t="str">
        <f>IFERROR(VLOOKUP(I159,設定メニュー!$B$5:$C$30,2,0),"")</f>
        <v/>
      </c>
      <c r="I159" s="55" t="str">
        <f>IFERROR(VLOOKUP(B159,設定メニュー!$U$5:$W$30,3,0),"")</f>
        <v/>
      </c>
      <c r="J159" s="809" t="str">
        <f t="shared" si="2"/>
        <v/>
      </c>
      <c r="K159" s="220"/>
    </row>
    <row r="160" spans="1:11" s="9" customFormat="1" ht="20.100000000000001" customHeight="1">
      <c r="A160" s="13"/>
      <c r="B160" s="48"/>
      <c r="C160" s="48"/>
      <c r="D160" s="585"/>
      <c r="E160" s="60" t="str">
        <f>IFERROR(VLOOKUP(F160,設定メニュー!$B$5:$C$30,2,0),"")</f>
        <v/>
      </c>
      <c r="F160" s="65" t="str">
        <f>IFERROR(VLOOKUP(B160,設定メニュー!$U$5:$W$30,2,0),"")</f>
        <v/>
      </c>
      <c r="G160" s="66"/>
      <c r="H160" s="60" t="str">
        <f>IFERROR(VLOOKUP(I160,設定メニュー!$B$5:$C$30,2,0),"")</f>
        <v/>
      </c>
      <c r="I160" s="55" t="str">
        <f>IFERROR(VLOOKUP(B160,設定メニュー!$U$5:$W$30,3,0),"")</f>
        <v/>
      </c>
      <c r="J160" s="809" t="str">
        <f t="shared" si="2"/>
        <v/>
      </c>
      <c r="K160" s="220"/>
    </row>
    <row r="161" spans="1:11" s="9" customFormat="1" ht="20.100000000000001" customHeight="1">
      <c r="A161" s="13"/>
      <c r="B161" s="48"/>
      <c r="C161" s="48"/>
      <c r="D161" s="585"/>
      <c r="E161" s="60" t="str">
        <f>IFERROR(VLOOKUP(F161,設定メニュー!$B$5:$C$30,2,0),"")</f>
        <v/>
      </c>
      <c r="F161" s="65" t="str">
        <f>IFERROR(VLOOKUP(B161,設定メニュー!$U$5:$W$30,2,0),"")</f>
        <v/>
      </c>
      <c r="G161" s="66"/>
      <c r="H161" s="60" t="str">
        <f>IFERROR(VLOOKUP(I161,設定メニュー!$B$5:$C$30,2,0),"")</f>
        <v/>
      </c>
      <c r="I161" s="55" t="str">
        <f>IFERROR(VLOOKUP(B161,設定メニュー!$U$5:$W$30,3,0),"")</f>
        <v/>
      </c>
      <c r="J161" s="809" t="str">
        <f t="shared" si="2"/>
        <v/>
      </c>
      <c r="K161" s="221"/>
    </row>
    <row r="162" spans="1:11" s="9" customFormat="1" ht="20.100000000000001" customHeight="1">
      <c r="A162" s="13"/>
      <c r="B162" s="48"/>
      <c r="C162" s="48"/>
      <c r="D162" s="585"/>
      <c r="E162" s="60" t="str">
        <f>IFERROR(VLOOKUP(F162,設定メニュー!$B$5:$C$30,2,0),"")</f>
        <v/>
      </c>
      <c r="F162" s="65" t="str">
        <f>IFERROR(VLOOKUP(B162,設定メニュー!$U$5:$W$30,2,0),"")</f>
        <v/>
      </c>
      <c r="G162" s="66"/>
      <c r="H162" s="60" t="str">
        <f>IFERROR(VLOOKUP(I162,設定メニュー!$B$5:$C$30,2,0),"")</f>
        <v/>
      </c>
      <c r="I162" s="55" t="str">
        <f>IFERROR(VLOOKUP(B162,設定メニュー!$U$5:$W$30,3,0),"")</f>
        <v/>
      </c>
      <c r="J162" s="809" t="str">
        <f t="shared" si="2"/>
        <v/>
      </c>
      <c r="K162" s="220"/>
    </row>
    <row r="163" spans="1:11" s="9" customFormat="1" ht="20.100000000000001" customHeight="1">
      <c r="A163" s="13"/>
      <c r="B163" s="48"/>
      <c r="C163" s="48"/>
      <c r="D163" s="585"/>
      <c r="E163" s="60" t="str">
        <f>IFERROR(VLOOKUP(F163,設定メニュー!$B$5:$C$30,2,0),"")</f>
        <v/>
      </c>
      <c r="F163" s="65" t="str">
        <f>IFERROR(VLOOKUP(B163,設定メニュー!$U$5:$W$30,2,0),"")</f>
        <v/>
      </c>
      <c r="G163" s="66"/>
      <c r="H163" s="60" t="str">
        <f>IFERROR(VLOOKUP(I163,設定メニュー!$B$5:$C$30,2,0),"")</f>
        <v/>
      </c>
      <c r="I163" s="55" t="str">
        <f>IFERROR(VLOOKUP(B163,設定メニュー!$U$5:$W$30,3,0),"")</f>
        <v/>
      </c>
      <c r="J163" s="809" t="str">
        <f t="shared" si="2"/>
        <v/>
      </c>
      <c r="K163" s="220"/>
    </row>
    <row r="164" spans="1:11" s="9" customFormat="1" ht="20.100000000000001" customHeight="1">
      <c r="A164" s="13"/>
      <c r="B164" s="48"/>
      <c r="C164" s="48"/>
      <c r="D164" s="585"/>
      <c r="E164" s="60" t="str">
        <f>IFERROR(VLOOKUP(F164,設定メニュー!$B$5:$C$30,2,0),"")</f>
        <v/>
      </c>
      <c r="F164" s="65" t="str">
        <f>IFERROR(VLOOKUP(B164,設定メニュー!$U$5:$W$30,2,0),"")</f>
        <v/>
      </c>
      <c r="G164" s="66"/>
      <c r="H164" s="60" t="str">
        <f>IFERROR(VLOOKUP(I164,設定メニュー!$B$5:$C$30,2,0),"")</f>
        <v/>
      </c>
      <c r="I164" s="55" t="str">
        <f>IFERROR(VLOOKUP(B164,設定メニュー!$U$5:$W$30,3,0),"")</f>
        <v/>
      </c>
      <c r="J164" s="809" t="str">
        <f t="shared" si="2"/>
        <v/>
      </c>
      <c r="K164" s="220"/>
    </row>
    <row r="165" spans="1:11" s="9" customFormat="1" ht="20.100000000000001" customHeight="1">
      <c r="A165" s="13"/>
      <c r="B165" s="48"/>
      <c r="C165" s="48"/>
      <c r="D165" s="585"/>
      <c r="E165" s="60" t="str">
        <f>IFERROR(VLOOKUP(F165,設定メニュー!$B$5:$C$30,2,0),"")</f>
        <v/>
      </c>
      <c r="F165" s="65" t="str">
        <f>IFERROR(VLOOKUP(B165,設定メニュー!$U$5:$W$30,2,0),"")</f>
        <v/>
      </c>
      <c r="G165" s="66"/>
      <c r="H165" s="60" t="str">
        <f>IFERROR(VLOOKUP(I165,設定メニュー!$B$5:$C$30,2,0),"")</f>
        <v/>
      </c>
      <c r="I165" s="55" t="str">
        <f>IFERROR(VLOOKUP(B165,設定メニュー!$U$5:$W$30,3,0),"")</f>
        <v/>
      </c>
      <c r="J165" s="809" t="str">
        <f t="shared" si="2"/>
        <v/>
      </c>
      <c r="K165" s="220"/>
    </row>
    <row r="166" spans="1:11" s="9" customFormat="1" ht="20.100000000000001" customHeight="1">
      <c r="A166" s="13"/>
      <c r="B166" s="48"/>
      <c r="C166" s="48"/>
      <c r="D166" s="585"/>
      <c r="E166" s="60" t="str">
        <f>IFERROR(VLOOKUP(F166,設定メニュー!$B$5:$C$30,2,0),"")</f>
        <v/>
      </c>
      <c r="F166" s="65" t="str">
        <f>IFERROR(VLOOKUP(B166,設定メニュー!$U$5:$W$30,2,0),"")</f>
        <v/>
      </c>
      <c r="G166" s="66"/>
      <c r="H166" s="60" t="str">
        <f>IFERROR(VLOOKUP(I166,設定メニュー!$B$5:$C$30,2,0),"")</f>
        <v/>
      </c>
      <c r="I166" s="55" t="str">
        <f>IFERROR(VLOOKUP(B166,設定メニュー!$U$5:$W$30,3,0),"")</f>
        <v/>
      </c>
      <c r="J166" s="809" t="str">
        <f t="shared" si="2"/>
        <v/>
      </c>
      <c r="K166" s="220"/>
    </row>
    <row r="167" spans="1:11" s="9" customFormat="1" ht="20.100000000000001" customHeight="1">
      <c r="A167" s="13"/>
      <c r="B167" s="48"/>
      <c r="C167" s="48"/>
      <c r="D167" s="585"/>
      <c r="E167" s="60" t="str">
        <f>IFERROR(VLOOKUP(F167,設定メニュー!$B$5:$C$30,2,0),"")</f>
        <v/>
      </c>
      <c r="F167" s="65" t="str">
        <f>IFERROR(VLOOKUP(B167,設定メニュー!$U$5:$W$30,2,0),"")</f>
        <v/>
      </c>
      <c r="G167" s="66"/>
      <c r="H167" s="60" t="str">
        <f>IFERROR(VLOOKUP(I167,設定メニュー!$B$5:$C$30,2,0),"")</f>
        <v/>
      </c>
      <c r="I167" s="55" t="str">
        <f>IFERROR(VLOOKUP(B167,設定メニュー!$U$5:$W$30,3,0),"")</f>
        <v/>
      </c>
      <c r="J167" s="809" t="str">
        <f t="shared" si="2"/>
        <v/>
      </c>
      <c r="K167" s="220"/>
    </row>
    <row r="168" spans="1:11" s="9" customFormat="1" ht="20.100000000000001" customHeight="1">
      <c r="A168" s="13"/>
      <c r="B168" s="48"/>
      <c r="C168" s="48"/>
      <c r="D168" s="585"/>
      <c r="E168" s="60" t="str">
        <f>IFERROR(VLOOKUP(F168,設定メニュー!$B$5:$C$30,2,0),"")</f>
        <v/>
      </c>
      <c r="F168" s="65" t="str">
        <f>IFERROR(VLOOKUP(B168,設定メニュー!$U$5:$W$30,2,0),"")</f>
        <v/>
      </c>
      <c r="G168" s="66"/>
      <c r="H168" s="60" t="str">
        <f>IFERROR(VLOOKUP(I168,設定メニュー!$B$5:$C$30,2,0),"")</f>
        <v/>
      </c>
      <c r="I168" s="55" t="str">
        <f>IFERROR(VLOOKUP(B168,設定メニュー!$U$5:$W$30,3,0),"")</f>
        <v/>
      </c>
      <c r="J168" s="809" t="str">
        <f t="shared" si="2"/>
        <v/>
      </c>
      <c r="K168" s="221"/>
    </row>
    <row r="169" spans="1:11" s="9" customFormat="1" ht="20.100000000000001" customHeight="1">
      <c r="A169" s="64"/>
      <c r="B169" s="48"/>
      <c r="C169" s="48"/>
      <c r="D169" s="585"/>
      <c r="E169" s="60" t="str">
        <f>IFERROR(VLOOKUP(F169,設定メニュー!$B$5:$C$30,2,0),"")</f>
        <v/>
      </c>
      <c r="F169" s="65" t="str">
        <f>IFERROR(VLOOKUP(B169,設定メニュー!$U$5:$W$30,2,0),"")</f>
        <v/>
      </c>
      <c r="G169" s="66"/>
      <c r="H169" s="60" t="str">
        <f>IFERROR(VLOOKUP(I169,設定メニュー!$B$5:$C$30,2,0),"")</f>
        <v/>
      </c>
      <c r="I169" s="55" t="str">
        <f>IFERROR(VLOOKUP(B169,設定メニュー!$U$5:$W$30,3,0),"")</f>
        <v/>
      </c>
      <c r="J169" s="809" t="str">
        <f t="shared" si="2"/>
        <v/>
      </c>
      <c r="K169" s="220"/>
    </row>
    <row r="170" spans="1:11" s="9" customFormat="1" ht="20.100000000000001" customHeight="1">
      <c r="A170" s="64"/>
      <c r="B170" s="48"/>
      <c r="C170" s="48"/>
      <c r="D170" s="585"/>
      <c r="E170" s="60" t="str">
        <f>IFERROR(VLOOKUP(F170,設定メニュー!$B$5:$C$30,2,0),"")</f>
        <v/>
      </c>
      <c r="F170" s="65" t="str">
        <f>IFERROR(VLOOKUP(B170,設定メニュー!$U$5:$W$30,2,0),"")</f>
        <v/>
      </c>
      <c r="G170" s="66"/>
      <c r="H170" s="60" t="str">
        <f>IFERROR(VLOOKUP(I170,設定メニュー!$B$5:$C$30,2,0),"")</f>
        <v/>
      </c>
      <c r="I170" s="55" t="str">
        <f>IFERROR(VLOOKUP(B170,設定メニュー!$U$5:$W$30,3,0),"")</f>
        <v/>
      </c>
      <c r="J170" s="809" t="str">
        <f t="shared" si="2"/>
        <v/>
      </c>
      <c r="K170" s="220"/>
    </row>
    <row r="171" spans="1:11" s="9" customFormat="1" ht="20.100000000000001" customHeight="1">
      <c r="A171" s="64"/>
      <c r="B171" s="48"/>
      <c r="C171" s="48"/>
      <c r="D171" s="585"/>
      <c r="E171" s="60" t="str">
        <f>IFERROR(VLOOKUP(F171,設定メニュー!$B$5:$C$30,2,0),"")</f>
        <v/>
      </c>
      <c r="F171" s="65" t="str">
        <f>IFERROR(VLOOKUP(B171,設定メニュー!$U$5:$W$30,2,0),"")</f>
        <v/>
      </c>
      <c r="G171" s="66"/>
      <c r="H171" s="60" t="str">
        <f>IFERROR(VLOOKUP(I171,設定メニュー!$B$5:$C$30,2,0),"")</f>
        <v/>
      </c>
      <c r="I171" s="55" t="str">
        <f>IFERROR(VLOOKUP(B171,設定メニュー!$U$5:$W$30,3,0),"")</f>
        <v/>
      </c>
      <c r="J171" s="809" t="str">
        <f t="shared" si="2"/>
        <v/>
      </c>
      <c r="K171" s="220"/>
    </row>
    <row r="172" spans="1:11" s="9" customFormat="1" ht="20.100000000000001" customHeight="1">
      <c r="A172" s="64"/>
      <c r="B172" s="48"/>
      <c r="C172" s="48"/>
      <c r="D172" s="585"/>
      <c r="E172" s="60" t="str">
        <f>IFERROR(VLOOKUP(F172,設定メニュー!$B$5:$C$30,2,0),"")</f>
        <v/>
      </c>
      <c r="F172" s="65" t="str">
        <f>IFERROR(VLOOKUP(B172,設定メニュー!$U$5:$W$30,2,0),"")</f>
        <v/>
      </c>
      <c r="G172" s="66"/>
      <c r="H172" s="60" t="str">
        <f>IFERROR(VLOOKUP(I172,設定メニュー!$B$5:$C$30,2,0),"")</f>
        <v/>
      </c>
      <c r="I172" s="55" t="str">
        <f>IFERROR(VLOOKUP(B172,設定メニュー!$U$5:$W$30,3,0),"")</f>
        <v/>
      </c>
      <c r="J172" s="809" t="str">
        <f t="shared" si="2"/>
        <v/>
      </c>
      <c r="K172" s="220"/>
    </row>
    <row r="173" spans="1:11" s="9" customFormat="1" ht="20.100000000000001" customHeight="1">
      <c r="A173" s="13"/>
      <c r="B173" s="48"/>
      <c r="C173" s="48"/>
      <c r="D173" s="585"/>
      <c r="E173" s="60" t="str">
        <f>IFERROR(VLOOKUP(F173,設定メニュー!$B$5:$C$30,2,0),"")</f>
        <v/>
      </c>
      <c r="F173" s="65" t="str">
        <f>IFERROR(VLOOKUP(B173,設定メニュー!$U$5:$W$30,2,0),"")</f>
        <v/>
      </c>
      <c r="G173" s="66"/>
      <c r="H173" s="60" t="str">
        <f>IFERROR(VLOOKUP(I173,設定メニュー!$B$5:$C$30,2,0),"")</f>
        <v/>
      </c>
      <c r="I173" s="55" t="str">
        <f>IFERROR(VLOOKUP(B173,設定メニュー!$U$5:$W$30,3,0),"")</f>
        <v/>
      </c>
      <c r="J173" s="809" t="str">
        <f t="shared" si="2"/>
        <v/>
      </c>
      <c r="K173" s="220"/>
    </row>
    <row r="174" spans="1:11" s="9" customFormat="1" ht="20.100000000000001" customHeight="1">
      <c r="A174" s="13"/>
      <c r="B174" s="48"/>
      <c r="C174" s="48"/>
      <c r="D174" s="585"/>
      <c r="E174" s="60" t="str">
        <f>IFERROR(VLOOKUP(F174,設定メニュー!$B$5:$C$30,2,0),"")</f>
        <v/>
      </c>
      <c r="F174" s="65" t="str">
        <f>IFERROR(VLOOKUP(B174,設定メニュー!$U$5:$W$30,2,0),"")</f>
        <v/>
      </c>
      <c r="G174" s="66"/>
      <c r="H174" s="60" t="str">
        <f>IFERROR(VLOOKUP(I174,設定メニュー!$B$5:$C$30,2,0),"")</f>
        <v/>
      </c>
      <c r="I174" s="55" t="str">
        <f>IFERROR(VLOOKUP(B174,設定メニュー!$U$5:$W$30,3,0),"")</f>
        <v/>
      </c>
      <c r="J174" s="809" t="str">
        <f t="shared" si="2"/>
        <v/>
      </c>
      <c r="K174" s="220"/>
    </row>
    <row r="175" spans="1:11" s="9" customFormat="1" ht="20.100000000000001" customHeight="1">
      <c r="A175" s="64"/>
      <c r="B175" s="48"/>
      <c r="C175" s="48"/>
      <c r="D175" s="585"/>
      <c r="E175" s="60" t="str">
        <f>IFERROR(VLOOKUP(F175,設定メニュー!$B$5:$C$30,2,0),"")</f>
        <v/>
      </c>
      <c r="F175" s="65" t="str">
        <f>IFERROR(VLOOKUP(B175,設定メニュー!$U$5:$W$30,2,0),"")</f>
        <v/>
      </c>
      <c r="G175" s="66"/>
      <c r="H175" s="60" t="str">
        <f>IFERROR(VLOOKUP(I175,設定メニュー!$B$5:$C$30,2,0),"")</f>
        <v/>
      </c>
      <c r="I175" s="55" t="str">
        <f>IFERROR(VLOOKUP(B175,設定メニュー!$U$5:$W$30,3,0),"")</f>
        <v/>
      </c>
      <c r="J175" s="809" t="str">
        <f t="shared" si="2"/>
        <v/>
      </c>
      <c r="K175" s="220"/>
    </row>
    <row r="176" spans="1:11" s="9" customFormat="1" ht="20.100000000000001" customHeight="1">
      <c r="A176" s="13"/>
      <c r="B176" s="48"/>
      <c r="C176" s="48"/>
      <c r="D176" s="585"/>
      <c r="E176" s="60" t="str">
        <f>IFERROR(VLOOKUP(F176,設定メニュー!$B$5:$C$30,2,0),"")</f>
        <v/>
      </c>
      <c r="F176" s="65" t="str">
        <f>IFERROR(VLOOKUP(B176,設定メニュー!$U$5:$W$30,2,0),"")</f>
        <v/>
      </c>
      <c r="G176" s="66"/>
      <c r="H176" s="60" t="str">
        <f>IFERROR(VLOOKUP(I176,設定メニュー!$B$5:$C$30,2,0),"")</f>
        <v/>
      </c>
      <c r="I176" s="55" t="str">
        <f>IFERROR(VLOOKUP(B176,設定メニュー!$U$5:$W$30,3,0),"")</f>
        <v/>
      </c>
      <c r="J176" s="809" t="str">
        <f t="shared" si="2"/>
        <v/>
      </c>
      <c r="K176" s="220"/>
    </row>
    <row r="177" spans="1:11" s="9" customFormat="1" ht="20.100000000000001" customHeight="1">
      <c r="A177" s="13"/>
      <c r="B177" s="48"/>
      <c r="C177" s="48"/>
      <c r="D177" s="585"/>
      <c r="E177" s="60" t="str">
        <f>IFERROR(VLOOKUP(F177,設定メニュー!$B$5:$C$30,2,0),"")</f>
        <v/>
      </c>
      <c r="F177" s="65" t="str">
        <f>IFERROR(VLOOKUP(B177,設定メニュー!$U$5:$W$30,2,0),"")</f>
        <v/>
      </c>
      <c r="G177" s="66"/>
      <c r="H177" s="60" t="str">
        <f>IFERROR(VLOOKUP(I177,設定メニュー!$B$5:$C$30,2,0),"")</f>
        <v/>
      </c>
      <c r="I177" s="55" t="str">
        <f>IFERROR(VLOOKUP(B177,設定メニュー!$U$5:$W$30,3,0),"")</f>
        <v/>
      </c>
      <c r="J177" s="809" t="str">
        <f t="shared" si="2"/>
        <v/>
      </c>
      <c r="K177" s="220"/>
    </row>
    <row r="178" spans="1:11" s="9" customFormat="1" ht="20.100000000000001" customHeight="1">
      <c r="A178" s="13"/>
      <c r="B178" s="48"/>
      <c r="C178" s="48"/>
      <c r="D178" s="585"/>
      <c r="E178" s="60" t="str">
        <f>IFERROR(VLOOKUP(F178,設定メニュー!$B$5:$C$30,2,0),"")</f>
        <v/>
      </c>
      <c r="F178" s="65" t="str">
        <f>IFERROR(VLOOKUP(B178,設定メニュー!$U$5:$W$30,2,0),"")</f>
        <v/>
      </c>
      <c r="G178" s="66"/>
      <c r="H178" s="60" t="str">
        <f>IFERROR(VLOOKUP(I178,設定メニュー!$B$5:$C$30,2,0),"")</f>
        <v/>
      </c>
      <c r="I178" s="55" t="str">
        <f>IFERROR(VLOOKUP(B178,設定メニュー!$U$5:$W$30,3,0),"")</f>
        <v/>
      </c>
      <c r="J178" s="809" t="str">
        <f t="shared" si="2"/>
        <v/>
      </c>
      <c r="K178" s="220"/>
    </row>
    <row r="179" spans="1:11" s="9" customFormat="1" ht="20.100000000000001" customHeight="1">
      <c r="A179" s="13"/>
      <c r="B179" s="48"/>
      <c r="C179" s="48"/>
      <c r="D179" s="585"/>
      <c r="E179" s="60" t="str">
        <f>IFERROR(VLOOKUP(F179,設定メニュー!$B$5:$C$30,2,0),"")</f>
        <v/>
      </c>
      <c r="F179" s="65" t="str">
        <f>IFERROR(VLOOKUP(B179,設定メニュー!$U$5:$W$30,2,0),"")</f>
        <v/>
      </c>
      <c r="G179" s="66"/>
      <c r="H179" s="60" t="str">
        <f>IFERROR(VLOOKUP(I179,設定メニュー!$B$5:$C$30,2,0),"")</f>
        <v/>
      </c>
      <c r="I179" s="55" t="str">
        <f>IFERROR(VLOOKUP(B179,設定メニュー!$U$5:$W$30,3,0),"")</f>
        <v/>
      </c>
      <c r="J179" s="809" t="str">
        <f t="shared" si="2"/>
        <v/>
      </c>
      <c r="K179" s="220"/>
    </row>
    <row r="180" spans="1:11" s="9" customFormat="1" ht="20.100000000000001" customHeight="1">
      <c r="A180" s="13"/>
      <c r="B180" s="48"/>
      <c r="C180" s="48"/>
      <c r="D180" s="585"/>
      <c r="E180" s="60" t="str">
        <f>IFERROR(VLOOKUP(F180,設定メニュー!$B$5:$C$30,2,0),"")</f>
        <v/>
      </c>
      <c r="F180" s="65" t="str">
        <f>IFERROR(VLOOKUP(B180,設定メニュー!$U$5:$W$30,2,0),"")</f>
        <v/>
      </c>
      <c r="G180" s="66"/>
      <c r="H180" s="60" t="str">
        <f>IFERROR(VLOOKUP(I180,設定メニュー!$B$5:$C$30,2,0),"")</f>
        <v/>
      </c>
      <c r="I180" s="55" t="str">
        <f>IFERROR(VLOOKUP(B180,設定メニュー!$U$5:$W$30,3,0),"")</f>
        <v/>
      </c>
      <c r="J180" s="809" t="str">
        <f t="shared" si="2"/>
        <v/>
      </c>
      <c r="K180" s="221"/>
    </row>
    <row r="181" spans="1:11" s="9" customFormat="1" ht="20.100000000000001" customHeight="1">
      <c r="A181" s="13"/>
      <c r="B181" s="48"/>
      <c r="C181" s="48"/>
      <c r="D181" s="585"/>
      <c r="E181" s="60" t="str">
        <f>IFERROR(VLOOKUP(F181,設定メニュー!$B$5:$C$30,2,0),"")</f>
        <v/>
      </c>
      <c r="F181" s="65" t="str">
        <f>IFERROR(VLOOKUP(B181,設定メニュー!$U$5:$W$30,2,0),"")</f>
        <v/>
      </c>
      <c r="G181" s="66"/>
      <c r="H181" s="60" t="str">
        <f>IFERROR(VLOOKUP(I181,設定メニュー!$B$5:$C$30,2,0),"")</f>
        <v/>
      </c>
      <c r="I181" s="55" t="str">
        <f>IFERROR(VLOOKUP(B181,設定メニュー!$U$5:$W$30,3,0),"")</f>
        <v/>
      </c>
      <c r="J181" s="809" t="str">
        <f t="shared" si="2"/>
        <v/>
      </c>
      <c r="K181" s="220"/>
    </row>
    <row r="182" spans="1:11" s="9" customFormat="1" ht="20.100000000000001" customHeight="1">
      <c r="A182" s="13"/>
      <c r="B182" s="48"/>
      <c r="C182" s="48"/>
      <c r="D182" s="585"/>
      <c r="E182" s="60" t="str">
        <f>IFERROR(VLOOKUP(F182,設定メニュー!$B$5:$C$30,2,0),"")</f>
        <v/>
      </c>
      <c r="F182" s="65" t="str">
        <f>IFERROR(VLOOKUP(B182,設定メニュー!$U$5:$W$30,2,0),"")</f>
        <v/>
      </c>
      <c r="G182" s="66"/>
      <c r="H182" s="60" t="str">
        <f>IFERROR(VLOOKUP(I182,設定メニュー!$B$5:$C$30,2,0),"")</f>
        <v/>
      </c>
      <c r="I182" s="55" t="str">
        <f>IFERROR(VLOOKUP(B182,設定メニュー!$U$5:$W$30,3,0),"")</f>
        <v/>
      </c>
      <c r="J182" s="809" t="str">
        <f t="shared" si="2"/>
        <v/>
      </c>
      <c r="K182" s="220"/>
    </row>
    <row r="183" spans="1:11" s="9" customFormat="1" ht="20.100000000000001" customHeight="1">
      <c r="A183" s="13"/>
      <c r="B183" s="48"/>
      <c r="C183" s="48"/>
      <c r="D183" s="585"/>
      <c r="E183" s="60" t="str">
        <f>IFERROR(VLOOKUP(F183,設定メニュー!$B$5:$C$30,2,0),"")</f>
        <v/>
      </c>
      <c r="F183" s="65" t="str">
        <f>IFERROR(VLOOKUP(B183,設定メニュー!$U$5:$W$30,2,0),"")</f>
        <v/>
      </c>
      <c r="G183" s="66"/>
      <c r="H183" s="60" t="str">
        <f>IFERROR(VLOOKUP(I183,設定メニュー!$B$5:$C$30,2,0),"")</f>
        <v/>
      </c>
      <c r="I183" s="55" t="str">
        <f>IFERROR(VLOOKUP(B183,設定メニュー!$U$5:$W$30,3,0),"")</f>
        <v/>
      </c>
      <c r="J183" s="809" t="str">
        <f t="shared" si="2"/>
        <v/>
      </c>
      <c r="K183" s="221"/>
    </row>
    <row r="184" spans="1:11" s="9" customFormat="1" ht="20.100000000000001" customHeight="1">
      <c r="A184" s="13"/>
      <c r="B184" s="48"/>
      <c r="C184" s="48"/>
      <c r="D184" s="585"/>
      <c r="E184" s="60" t="str">
        <f>IFERROR(VLOOKUP(F184,設定メニュー!$B$5:$C$30,2,0),"")</f>
        <v/>
      </c>
      <c r="F184" s="65" t="str">
        <f>IFERROR(VLOOKUP(B184,設定メニュー!$U$5:$W$30,2,0),"")</f>
        <v/>
      </c>
      <c r="G184" s="66"/>
      <c r="H184" s="60" t="str">
        <f>IFERROR(VLOOKUP(I184,設定メニュー!$B$5:$C$30,2,0),"")</f>
        <v/>
      </c>
      <c r="I184" s="55" t="str">
        <f>IFERROR(VLOOKUP(B184,設定メニュー!$U$5:$W$30,3,0),"")</f>
        <v/>
      </c>
      <c r="J184" s="809" t="str">
        <f t="shared" si="2"/>
        <v/>
      </c>
      <c r="K184" s="220"/>
    </row>
    <row r="185" spans="1:11" ht="20.100000000000001" customHeight="1">
      <c r="A185" s="13"/>
      <c r="B185" s="48"/>
      <c r="C185" s="48"/>
      <c r="D185" s="585"/>
      <c r="E185" s="60" t="str">
        <f>IFERROR(VLOOKUP(F185,設定メニュー!$B$5:$C$30,2,0),"")</f>
        <v/>
      </c>
      <c r="F185" s="65" t="str">
        <f>IFERROR(VLOOKUP(B185,設定メニュー!$U$5:$W$30,2,0),"")</f>
        <v/>
      </c>
      <c r="G185" s="66"/>
      <c r="H185" s="60" t="str">
        <f>IFERROR(VLOOKUP(I185,設定メニュー!$B$5:$C$30,2,0),"")</f>
        <v/>
      </c>
      <c r="I185" s="55" t="str">
        <f>IFERROR(VLOOKUP(B185,設定メニュー!$U$5:$W$30,3,0),"")</f>
        <v/>
      </c>
      <c r="J185" s="809" t="str">
        <f t="shared" si="2"/>
        <v/>
      </c>
      <c r="K185" s="220"/>
    </row>
    <row r="186" spans="1:11" ht="20.100000000000001" customHeight="1">
      <c r="A186" s="13"/>
      <c r="B186" s="48"/>
      <c r="C186" s="48"/>
      <c r="D186" s="585"/>
      <c r="E186" s="60" t="str">
        <f>IFERROR(VLOOKUP(F186,設定メニュー!$B$5:$C$30,2,0),"")</f>
        <v/>
      </c>
      <c r="F186" s="65" t="str">
        <f>IFERROR(VLOOKUP(B186,設定メニュー!$U$5:$W$30,2,0),"")</f>
        <v/>
      </c>
      <c r="G186" s="66"/>
      <c r="H186" s="60" t="str">
        <f>IFERROR(VLOOKUP(I186,設定メニュー!$B$5:$C$30,2,0),"")</f>
        <v/>
      </c>
      <c r="I186" s="55" t="str">
        <f>IFERROR(VLOOKUP(B186,設定メニュー!$U$5:$W$30,3,0),"")</f>
        <v/>
      </c>
      <c r="J186" s="809" t="str">
        <f t="shared" si="2"/>
        <v/>
      </c>
      <c r="K186" s="220"/>
    </row>
    <row r="187" spans="1:11" ht="20.100000000000001" customHeight="1">
      <c r="A187" s="13"/>
      <c r="B187" s="48"/>
      <c r="C187" s="48"/>
      <c r="D187" s="585"/>
      <c r="E187" s="60" t="str">
        <f>IFERROR(VLOOKUP(F187,設定メニュー!$B$5:$C$30,2,0),"")</f>
        <v/>
      </c>
      <c r="F187" s="65" t="str">
        <f>IFERROR(VLOOKUP(B187,設定メニュー!$U$5:$W$30,2,0),"")</f>
        <v/>
      </c>
      <c r="G187" s="66"/>
      <c r="H187" s="60" t="str">
        <f>IFERROR(VLOOKUP(I187,設定メニュー!$B$5:$C$30,2,0),"")</f>
        <v/>
      </c>
      <c r="I187" s="55" t="str">
        <f>IFERROR(VLOOKUP(B187,設定メニュー!$U$5:$W$30,3,0),"")</f>
        <v/>
      </c>
      <c r="J187" s="809" t="str">
        <f t="shared" si="2"/>
        <v/>
      </c>
      <c r="K187" s="220"/>
    </row>
    <row r="188" spans="1:11" ht="20.100000000000001" customHeight="1">
      <c r="A188" s="13"/>
      <c r="B188" s="48"/>
      <c r="C188" s="48"/>
      <c r="D188" s="585"/>
      <c r="E188" s="60" t="str">
        <f>IFERROR(VLOOKUP(F188,設定メニュー!$B$5:$C$30,2,0),"")</f>
        <v/>
      </c>
      <c r="F188" s="65" t="str">
        <f>IFERROR(VLOOKUP(B188,設定メニュー!$U$5:$W$30,2,0),"")</f>
        <v/>
      </c>
      <c r="G188" s="66"/>
      <c r="H188" s="60" t="str">
        <f>IFERROR(VLOOKUP(I188,設定メニュー!$B$5:$C$30,2,0),"")</f>
        <v/>
      </c>
      <c r="I188" s="55" t="str">
        <f>IFERROR(VLOOKUP(B188,設定メニュー!$U$5:$W$30,3,0),"")</f>
        <v/>
      </c>
      <c r="J188" s="809" t="str">
        <f t="shared" si="2"/>
        <v/>
      </c>
      <c r="K188" s="220"/>
    </row>
    <row r="189" spans="1:11" ht="20.100000000000001" customHeight="1">
      <c r="A189" s="13"/>
      <c r="B189" s="48"/>
      <c r="C189" s="48"/>
      <c r="D189" s="585"/>
      <c r="E189" s="60" t="str">
        <f>IFERROR(VLOOKUP(F189,設定メニュー!$B$5:$C$30,2,0),"")</f>
        <v/>
      </c>
      <c r="F189" s="65" t="str">
        <f>IFERROR(VLOOKUP(B189,設定メニュー!$U$5:$W$30,2,0),"")</f>
        <v/>
      </c>
      <c r="G189" s="66"/>
      <c r="H189" s="60" t="str">
        <f>IFERROR(VLOOKUP(I189,設定メニュー!$B$5:$C$30,2,0),"")</f>
        <v/>
      </c>
      <c r="I189" s="55" t="str">
        <f>IFERROR(VLOOKUP(B189,設定メニュー!$U$5:$W$30,3,0),"")</f>
        <v/>
      </c>
      <c r="J189" s="809" t="str">
        <f t="shared" si="2"/>
        <v/>
      </c>
      <c r="K189" s="220"/>
    </row>
    <row r="190" spans="1:11" ht="20.100000000000001" customHeight="1">
      <c r="A190" s="13"/>
      <c r="B190" s="48"/>
      <c r="C190" s="48"/>
      <c r="D190" s="585"/>
      <c r="E190" s="60" t="str">
        <f>IFERROR(VLOOKUP(F190,設定メニュー!$B$5:$C$30,2,0),"")</f>
        <v/>
      </c>
      <c r="F190" s="65" t="str">
        <f>IFERROR(VLOOKUP(B190,設定メニュー!$U$5:$W$30,2,0),"")</f>
        <v/>
      </c>
      <c r="G190" s="66"/>
      <c r="H190" s="60" t="str">
        <f>IFERROR(VLOOKUP(I190,設定メニュー!$B$5:$C$30,2,0),"")</f>
        <v/>
      </c>
      <c r="I190" s="55" t="str">
        <f>IFERROR(VLOOKUP(B190,設定メニュー!$U$5:$W$30,3,0),"")</f>
        <v/>
      </c>
      <c r="J190" s="809" t="str">
        <f t="shared" si="2"/>
        <v/>
      </c>
    </row>
    <row r="191" spans="1:11" ht="20.100000000000001" customHeight="1">
      <c r="A191" s="13"/>
      <c r="B191" s="48"/>
      <c r="C191" s="48"/>
      <c r="D191" s="585"/>
      <c r="E191" s="60" t="str">
        <f>IFERROR(VLOOKUP(F191,設定メニュー!$B$5:$C$30,2,0),"")</f>
        <v/>
      </c>
      <c r="F191" s="65" t="str">
        <f>IFERROR(VLOOKUP(B191,設定メニュー!$U$5:$W$30,2,0),"")</f>
        <v/>
      </c>
      <c r="G191" s="66"/>
      <c r="H191" s="60" t="str">
        <f>IFERROR(VLOOKUP(I191,設定メニュー!$B$5:$C$30,2,0),"")</f>
        <v/>
      </c>
      <c r="I191" s="55" t="str">
        <f>IFERROR(VLOOKUP(B191,設定メニュー!$U$5:$W$30,3,0),"")</f>
        <v/>
      </c>
      <c r="J191" s="809" t="str">
        <f t="shared" si="2"/>
        <v/>
      </c>
    </row>
    <row r="192" spans="1:11" ht="20.100000000000001" customHeight="1">
      <c r="A192" s="13"/>
      <c r="B192" s="48"/>
      <c r="C192" s="48"/>
      <c r="D192" s="585"/>
      <c r="E192" s="60" t="str">
        <f>IFERROR(VLOOKUP(F192,設定メニュー!$B$5:$C$30,2,0),"")</f>
        <v/>
      </c>
      <c r="F192" s="65" t="str">
        <f>IFERROR(VLOOKUP(B192,設定メニュー!$U$5:$W$30,2,0),"")</f>
        <v/>
      </c>
      <c r="G192" s="66"/>
      <c r="H192" s="60" t="str">
        <f>IFERROR(VLOOKUP(I192,設定メニュー!$B$5:$C$30,2,0),"")</f>
        <v/>
      </c>
      <c r="I192" s="55" t="str">
        <f>IFERROR(VLOOKUP(B192,設定メニュー!$U$5:$W$30,3,0),"")</f>
        <v/>
      </c>
      <c r="J192" s="809" t="str">
        <f t="shared" si="2"/>
        <v/>
      </c>
      <c r="K192" s="220"/>
    </row>
    <row r="193" spans="1:11" ht="20.100000000000001" customHeight="1">
      <c r="A193" s="13"/>
      <c r="B193" s="48"/>
      <c r="C193" s="48"/>
      <c r="D193" s="585"/>
      <c r="E193" s="60" t="str">
        <f>IFERROR(VLOOKUP(F193,設定メニュー!$B$5:$C$30,2,0),"")</f>
        <v/>
      </c>
      <c r="F193" s="65" t="str">
        <f>IFERROR(VLOOKUP(B193,設定メニュー!$U$5:$W$30,2,0),"")</f>
        <v/>
      </c>
      <c r="G193" s="66"/>
      <c r="H193" s="60" t="str">
        <f>IFERROR(VLOOKUP(I193,設定メニュー!$B$5:$C$30,2,0),"")</f>
        <v/>
      </c>
      <c r="I193" s="55" t="str">
        <f>IFERROR(VLOOKUP(B193,設定メニュー!$U$5:$W$30,3,0),"")</f>
        <v/>
      </c>
      <c r="J193" s="809" t="str">
        <f t="shared" si="2"/>
        <v/>
      </c>
      <c r="K193" s="220"/>
    </row>
    <row r="194" spans="1:11" ht="20.100000000000001" customHeight="1">
      <c r="A194" s="13"/>
      <c r="B194" s="48"/>
      <c r="C194" s="48"/>
      <c r="D194" s="585"/>
      <c r="E194" s="60" t="str">
        <f>IFERROR(VLOOKUP(F194,設定メニュー!$B$5:$C$30,2,0),"")</f>
        <v/>
      </c>
      <c r="F194" s="65" t="str">
        <f>IFERROR(VLOOKUP(B194,設定メニュー!$U$5:$W$30,2,0),"")</f>
        <v/>
      </c>
      <c r="G194" s="66"/>
      <c r="H194" s="60" t="str">
        <f>IFERROR(VLOOKUP(I194,設定メニュー!$B$5:$C$30,2,0),"")</f>
        <v/>
      </c>
      <c r="I194" s="55" t="str">
        <f>IFERROR(VLOOKUP(B194,設定メニュー!$U$5:$W$30,3,0),"")</f>
        <v/>
      </c>
      <c r="J194" s="809" t="str">
        <f t="shared" si="2"/>
        <v/>
      </c>
      <c r="K194" s="220"/>
    </row>
    <row r="195" spans="1:11" ht="20.100000000000001" customHeight="1">
      <c r="A195" s="64"/>
      <c r="B195" s="48"/>
      <c r="C195" s="48"/>
      <c r="D195" s="585"/>
      <c r="E195" s="60" t="str">
        <f>IFERROR(VLOOKUP(F195,設定メニュー!$B$5:$C$30,2,0),"")</f>
        <v/>
      </c>
      <c r="F195" s="65" t="str">
        <f>IFERROR(VLOOKUP(B195,設定メニュー!$U$5:$W$30,2,0),"")</f>
        <v/>
      </c>
      <c r="G195" s="66"/>
      <c r="H195" s="60" t="str">
        <f>IFERROR(VLOOKUP(I195,設定メニュー!$B$5:$C$30,2,0),"")</f>
        <v/>
      </c>
      <c r="I195" s="55" t="str">
        <f>IFERROR(VLOOKUP(B195,設定メニュー!$U$5:$W$30,3,0),"")</f>
        <v/>
      </c>
      <c r="J195" s="809" t="str">
        <f t="shared" si="2"/>
        <v/>
      </c>
      <c r="K195" s="220"/>
    </row>
    <row r="196" spans="1:11" ht="20.100000000000001" customHeight="1">
      <c r="A196" s="64"/>
      <c r="B196" s="48"/>
      <c r="C196" s="48"/>
      <c r="D196" s="585"/>
      <c r="E196" s="60" t="str">
        <f>IFERROR(VLOOKUP(F196,設定メニュー!$B$5:$C$30,2,0),"")</f>
        <v/>
      </c>
      <c r="F196" s="65" t="str">
        <f>IFERROR(VLOOKUP(B196,設定メニュー!$U$5:$W$30,2,0),"")</f>
        <v/>
      </c>
      <c r="G196" s="66"/>
      <c r="H196" s="60" t="str">
        <f>IFERROR(VLOOKUP(I196,設定メニュー!$B$5:$C$30,2,0),"")</f>
        <v/>
      </c>
      <c r="I196" s="55" t="str">
        <f>IFERROR(VLOOKUP(B196,設定メニュー!$U$5:$W$30,3,0),"")</f>
        <v/>
      </c>
      <c r="J196" s="809" t="str">
        <f t="shared" si="2"/>
        <v/>
      </c>
      <c r="K196" s="220"/>
    </row>
    <row r="197" spans="1:11" ht="20.100000000000001" customHeight="1">
      <c r="A197" s="13"/>
      <c r="B197" s="48"/>
      <c r="C197" s="48"/>
      <c r="D197" s="585"/>
      <c r="E197" s="60" t="str">
        <f>IFERROR(VLOOKUP(F197,設定メニュー!$B$5:$C$30,2,0),"")</f>
        <v/>
      </c>
      <c r="F197" s="65" t="str">
        <f>IFERROR(VLOOKUP(B197,設定メニュー!$U$5:$W$30,2,0),"")</f>
        <v/>
      </c>
      <c r="G197" s="66"/>
      <c r="H197" s="60" t="str">
        <f>IFERROR(VLOOKUP(I197,設定メニュー!$B$5:$C$30,2,0),"")</f>
        <v/>
      </c>
      <c r="I197" s="55" t="str">
        <f>IFERROR(VLOOKUP(B197,設定メニュー!$U$5:$W$30,3,0),"")</f>
        <v/>
      </c>
      <c r="J197" s="809" t="str">
        <f t="shared" ref="J197:J211" si="3">IF(G197&lt;&gt;"",G197,"")</f>
        <v/>
      </c>
    </row>
    <row r="198" spans="1:11" ht="20.100000000000001" customHeight="1">
      <c r="A198" s="64"/>
      <c r="B198" s="48"/>
      <c r="C198" s="48"/>
      <c r="D198" s="585"/>
      <c r="E198" s="60" t="str">
        <f>IFERROR(VLOOKUP(F198,設定メニュー!$B$5:$C$30,2,0),"")</f>
        <v/>
      </c>
      <c r="F198" s="65" t="str">
        <f>IFERROR(VLOOKUP(B198,設定メニュー!$U$5:$W$30,2,0),"")</f>
        <v/>
      </c>
      <c r="G198" s="66"/>
      <c r="H198" s="60" t="str">
        <f>IFERROR(VLOOKUP(I198,設定メニュー!$B$5:$C$30,2,0),"")</f>
        <v/>
      </c>
      <c r="I198" s="55" t="str">
        <f>IFERROR(VLOOKUP(B198,設定メニュー!$U$5:$W$30,3,0),"")</f>
        <v/>
      </c>
      <c r="J198" s="809" t="str">
        <f t="shared" si="3"/>
        <v/>
      </c>
      <c r="K198" s="220"/>
    </row>
    <row r="199" spans="1:11" ht="20.100000000000001" customHeight="1">
      <c r="A199" s="13"/>
      <c r="B199" s="48"/>
      <c r="C199" s="48"/>
      <c r="D199" s="585"/>
      <c r="E199" s="60" t="str">
        <f>IFERROR(VLOOKUP(F199,設定メニュー!$B$5:$C$30,2,0),"")</f>
        <v/>
      </c>
      <c r="F199" s="65" t="str">
        <f>IFERROR(VLOOKUP(B199,設定メニュー!$U$5:$W$30,2,0),"")</f>
        <v/>
      </c>
      <c r="G199" s="66"/>
      <c r="H199" s="60" t="str">
        <f>IFERROR(VLOOKUP(I199,設定メニュー!$B$5:$C$30,2,0),"")</f>
        <v/>
      </c>
      <c r="I199" s="55" t="str">
        <f>IFERROR(VLOOKUP(B199,設定メニュー!$U$5:$W$30,3,0),"")</f>
        <v/>
      </c>
      <c r="J199" s="809" t="str">
        <f t="shared" si="3"/>
        <v/>
      </c>
      <c r="K199" s="220"/>
    </row>
    <row r="200" spans="1:11" ht="20.100000000000001" customHeight="1">
      <c r="A200" s="13"/>
      <c r="B200" s="48"/>
      <c r="C200" s="48"/>
      <c r="D200" s="585"/>
      <c r="E200" s="60" t="str">
        <f>IFERROR(VLOOKUP(F200,設定メニュー!$B$5:$C$30,2,0),"")</f>
        <v/>
      </c>
      <c r="F200" s="65" t="str">
        <f>IFERROR(VLOOKUP(B200,設定メニュー!$U$5:$W$30,2,0),"")</f>
        <v/>
      </c>
      <c r="G200" s="66"/>
      <c r="H200" s="60" t="str">
        <f>IFERROR(VLOOKUP(I200,設定メニュー!$B$5:$C$30,2,0),"")</f>
        <v/>
      </c>
      <c r="I200" s="55" t="str">
        <f>IFERROR(VLOOKUP(B200,設定メニュー!$U$5:$W$30,3,0),"")</f>
        <v/>
      </c>
      <c r="J200" s="809" t="str">
        <f t="shared" si="3"/>
        <v/>
      </c>
    </row>
    <row r="201" spans="1:11" ht="20.100000000000001" customHeight="1">
      <c r="A201" s="13"/>
      <c r="B201" s="48"/>
      <c r="C201" s="48"/>
      <c r="D201" s="585"/>
      <c r="E201" s="60" t="str">
        <f>IFERROR(VLOOKUP(F201,設定メニュー!$B$5:$C$30,2,0),"")</f>
        <v/>
      </c>
      <c r="F201" s="65" t="str">
        <f>IFERROR(VLOOKUP(B201,設定メニュー!$U$5:$W$30,2,0),"")</f>
        <v/>
      </c>
      <c r="G201" s="66"/>
      <c r="H201" s="60" t="str">
        <f>IFERROR(VLOOKUP(I201,設定メニュー!$B$5:$C$30,2,0),"")</f>
        <v/>
      </c>
      <c r="I201" s="55" t="str">
        <f>IFERROR(VLOOKUP(B201,設定メニュー!$U$5:$W$30,3,0),"")</f>
        <v/>
      </c>
      <c r="J201" s="809" t="str">
        <f t="shared" si="3"/>
        <v/>
      </c>
      <c r="K201" s="220"/>
    </row>
    <row r="202" spans="1:11" ht="20.100000000000001" customHeight="1">
      <c r="A202" s="64"/>
      <c r="B202" s="48"/>
      <c r="C202" s="48"/>
      <c r="D202" s="585"/>
      <c r="E202" s="60" t="str">
        <f>IFERROR(VLOOKUP(F202,設定メニュー!$B$5:$C$30,2,0),"")</f>
        <v/>
      </c>
      <c r="F202" s="65" t="str">
        <f>IFERROR(VLOOKUP(B202,設定メニュー!$U$5:$W$30,2,0),"")</f>
        <v/>
      </c>
      <c r="G202" s="66"/>
      <c r="H202" s="60" t="str">
        <f>IFERROR(VLOOKUP(I202,設定メニュー!$B$5:$C$30,2,0),"")</f>
        <v/>
      </c>
      <c r="I202" s="55" t="str">
        <f>IFERROR(VLOOKUP(B202,設定メニュー!$U$5:$W$30,3,0),"")</f>
        <v/>
      </c>
      <c r="J202" s="809" t="str">
        <f t="shared" si="3"/>
        <v/>
      </c>
      <c r="K202" s="220"/>
    </row>
    <row r="203" spans="1:11" ht="20.100000000000001" customHeight="1">
      <c r="A203" s="13"/>
      <c r="B203" s="48"/>
      <c r="C203" s="48"/>
      <c r="D203" s="585"/>
      <c r="E203" s="60" t="str">
        <f>IFERROR(VLOOKUP(F203,設定メニュー!$B$5:$C$30,2,0),"")</f>
        <v/>
      </c>
      <c r="F203" s="65" t="str">
        <f>IFERROR(VLOOKUP(B203,設定メニュー!$U$5:$W$30,2,0),"")</f>
        <v/>
      </c>
      <c r="G203" s="66"/>
      <c r="H203" s="60" t="str">
        <f>IFERROR(VLOOKUP(I203,設定メニュー!$B$5:$C$30,2,0),"")</f>
        <v/>
      </c>
      <c r="I203" s="55" t="str">
        <f>IFERROR(VLOOKUP(B203,設定メニュー!$U$5:$W$30,3,0),"")</f>
        <v/>
      </c>
      <c r="J203" s="809" t="str">
        <f t="shared" si="3"/>
        <v/>
      </c>
      <c r="K203" s="220"/>
    </row>
    <row r="204" spans="1:11" ht="20.100000000000001" customHeight="1">
      <c r="A204" s="13"/>
      <c r="B204" s="48"/>
      <c r="C204" s="48"/>
      <c r="D204" s="585"/>
      <c r="E204" s="60" t="str">
        <f>IFERROR(VLOOKUP(F204,設定メニュー!$B$5:$C$30,2,0),"")</f>
        <v/>
      </c>
      <c r="F204" s="65" t="str">
        <f>IFERROR(VLOOKUP(B204,設定メニュー!$U$5:$W$30,2,0),"")</f>
        <v/>
      </c>
      <c r="G204" s="66"/>
      <c r="H204" s="60" t="str">
        <f>IFERROR(VLOOKUP(I204,設定メニュー!$B$5:$C$30,2,0),"")</f>
        <v/>
      </c>
      <c r="I204" s="55" t="str">
        <f>IFERROR(VLOOKUP(B204,設定メニュー!$U$5:$W$30,3,0),"")</f>
        <v/>
      </c>
      <c r="J204" s="809" t="str">
        <f t="shared" si="3"/>
        <v/>
      </c>
      <c r="K204" s="220"/>
    </row>
    <row r="205" spans="1:11" ht="20.100000000000001" customHeight="1">
      <c r="A205" s="13"/>
      <c r="B205" s="48"/>
      <c r="C205" s="48"/>
      <c r="D205" s="585"/>
      <c r="E205" s="60" t="str">
        <f>IFERROR(VLOOKUP(F205,設定メニュー!$B$5:$C$30,2,0),"")</f>
        <v/>
      </c>
      <c r="F205" s="65" t="str">
        <f>IFERROR(VLOOKUP(B205,設定メニュー!$U$5:$W$30,2,0),"")</f>
        <v/>
      </c>
      <c r="G205" s="66"/>
      <c r="H205" s="60" t="str">
        <f>IFERROR(VLOOKUP(I205,設定メニュー!$B$5:$C$30,2,0),"")</f>
        <v/>
      </c>
      <c r="I205" s="55" t="str">
        <f>IFERROR(VLOOKUP(B205,設定メニュー!$U$5:$W$30,3,0),"")</f>
        <v/>
      </c>
      <c r="J205" s="809" t="str">
        <f t="shared" si="3"/>
        <v/>
      </c>
      <c r="K205" s="220"/>
    </row>
    <row r="206" spans="1:11" ht="20.100000000000001" customHeight="1">
      <c r="A206" s="13"/>
      <c r="B206" s="48"/>
      <c r="C206" s="48"/>
      <c r="D206" s="585"/>
      <c r="E206" s="60" t="str">
        <f>IFERROR(VLOOKUP(F206,設定メニュー!$B$5:$C$30,2,0),"")</f>
        <v/>
      </c>
      <c r="F206" s="65" t="str">
        <f>IFERROR(VLOOKUP(B206,設定メニュー!$U$5:$W$30,2,0),"")</f>
        <v/>
      </c>
      <c r="G206" s="66"/>
      <c r="H206" s="60" t="str">
        <f>IFERROR(VLOOKUP(I206,設定メニュー!$B$5:$C$30,2,0),"")</f>
        <v/>
      </c>
      <c r="I206" s="55" t="str">
        <f>IFERROR(VLOOKUP(B206,設定メニュー!$U$5:$W$30,3,0),"")</f>
        <v/>
      </c>
      <c r="J206" s="809" t="str">
        <f t="shared" si="3"/>
        <v/>
      </c>
      <c r="K206" s="220"/>
    </row>
    <row r="207" spans="1:11" ht="20.100000000000001" customHeight="1">
      <c r="A207" s="13"/>
      <c r="B207" s="48"/>
      <c r="C207" s="48"/>
      <c r="D207" s="585"/>
      <c r="E207" s="60" t="str">
        <f>IFERROR(VLOOKUP(F207,設定メニュー!$B$5:$C$30,2,0),"")</f>
        <v/>
      </c>
      <c r="F207" s="65" t="str">
        <f>IFERROR(VLOOKUP(B207,設定メニュー!$U$5:$W$30,2,0),"")</f>
        <v/>
      </c>
      <c r="G207" s="66"/>
      <c r="H207" s="60" t="str">
        <f>IFERROR(VLOOKUP(I207,設定メニュー!$B$5:$C$30,2,0),"")</f>
        <v/>
      </c>
      <c r="I207" s="55" t="str">
        <f>IFERROR(VLOOKUP(B207,設定メニュー!$U$5:$W$30,3,0),"")</f>
        <v/>
      </c>
      <c r="J207" s="809" t="str">
        <f t="shared" si="3"/>
        <v/>
      </c>
      <c r="K207" s="220"/>
    </row>
    <row r="208" spans="1:11" ht="20.100000000000001" customHeight="1">
      <c r="A208" s="13"/>
      <c r="B208" s="48"/>
      <c r="C208" s="48"/>
      <c r="D208" s="585"/>
      <c r="E208" s="60" t="str">
        <f>IFERROR(VLOOKUP(F208,設定メニュー!$B$5:$C$30,2,0),"")</f>
        <v/>
      </c>
      <c r="F208" s="65" t="str">
        <f>IFERROR(VLOOKUP(B208,設定メニュー!$U$5:$W$30,2,0),"")</f>
        <v/>
      </c>
      <c r="G208" s="66"/>
      <c r="H208" s="60" t="str">
        <f>IFERROR(VLOOKUP(I208,設定メニュー!$B$5:$C$30,2,0),"")</f>
        <v/>
      </c>
      <c r="I208" s="55" t="str">
        <f>IFERROR(VLOOKUP(B208,設定メニュー!$U$5:$W$30,3,0),"")</f>
        <v/>
      </c>
      <c r="J208" s="809" t="str">
        <f t="shared" si="3"/>
        <v/>
      </c>
      <c r="K208" s="220"/>
    </row>
    <row r="209" spans="1:11" ht="20.100000000000001" customHeight="1">
      <c r="A209" s="13"/>
      <c r="B209" s="48"/>
      <c r="C209" s="48"/>
      <c r="D209" s="585"/>
      <c r="E209" s="60" t="str">
        <f>IFERROR(VLOOKUP(F209,設定メニュー!$B$5:$C$30,2,0),"")</f>
        <v/>
      </c>
      <c r="F209" s="65" t="str">
        <f>IFERROR(VLOOKUP(B209,設定メニュー!$U$5:$W$30,2,0),"")</f>
        <v/>
      </c>
      <c r="G209" s="66"/>
      <c r="H209" s="60" t="str">
        <f>IFERROR(VLOOKUP(I209,設定メニュー!$B$5:$C$30,2,0),"")</f>
        <v/>
      </c>
      <c r="I209" s="55" t="str">
        <f>IFERROR(VLOOKUP(B209,設定メニュー!$U$5:$W$30,3,0),"")</f>
        <v/>
      </c>
      <c r="J209" s="809" t="str">
        <f t="shared" si="3"/>
        <v/>
      </c>
      <c r="K209" s="220"/>
    </row>
    <row r="210" spans="1:11" ht="20.100000000000001" customHeight="1">
      <c r="A210" s="13"/>
      <c r="B210" s="48"/>
      <c r="C210" s="48"/>
      <c r="D210" s="585"/>
      <c r="E210" s="60" t="str">
        <f>IFERROR(VLOOKUP(F210,設定メニュー!$B$5:$C$30,2,0),"")</f>
        <v/>
      </c>
      <c r="F210" s="65" t="str">
        <f>IFERROR(VLOOKUP(B210,設定メニュー!$U$5:$W$30,2,0),"")</f>
        <v/>
      </c>
      <c r="G210" s="66"/>
      <c r="H210" s="60" t="str">
        <f>IFERROR(VLOOKUP(I210,設定メニュー!$B$5:$C$30,2,0),"")</f>
        <v/>
      </c>
      <c r="I210" s="55" t="str">
        <f>IFERROR(VLOOKUP(B210,設定メニュー!$U$5:$W$30,3,0),"")</f>
        <v/>
      </c>
      <c r="J210" s="809" t="str">
        <f t="shared" si="3"/>
        <v/>
      </c>
    </row>
    <row r="211" spans="1:11" ht="20.100000000000001" customHeight="1">
      <c r="A211" s="13"/>
      <c r="B211" s="48"/>
      <c r="C211" s="48"/>
      <c r="D211" s="585"/>
      <c r="E211" s="60" t="str">
        <f>IFERROR(VLOOKUP(F211,設定メニュー!$B$5:$C$30,2,0),"")</f>
        <v/>
      </c>
      <c r="F211" s="65" t="str">
        <f>IFERROR(VLOOKUP(B211,設定メニュー!$U$5:$W$30,2,0),"")</f>
        <v/>
      </c>
      <c r="G211" s="66"/>
      <c r="H211" s="60" t="str">
        <f>IFERROR(VLOOKUP(I211,設定メニュー!$B$5:$C$30,2,0),"")</f>
        <v/>
      </c>
      <c r="I211" s="55" t="str">
        <f>IFERROR(VLOOKUP(B211,設定メニュー!$U$5:$W$30,3,0),"")</f>
        <v/>
      </c>
      <c r="J211" s="809" t="str">
        <f t="shared" si="3"/>
        <v/>
      </c>
    </row>
    <row r="212" spans="1:11" ht="20.100000000000001" customHeight="1">
      <c r="A212" s="64"/>
      <c r="B212" s="48"/>
      <c r="C212" s="48"/>
      <c r="D212" s="585"/>
      <c r="E212" s="60" t="str">
        <f>IFERROR(VLOOKUP(F212,設定メニュー!$B$5:$C$30,2,0),"")</f>
        <v/>
      </c>
      <c r="F212" s="65" t="str">
        <f>IFERROR(VLOOKUP(B212,設定メニュー!$U$5:$W$30,2,0),"")</f>
        <v/>
      </c>
      <c r="G212" s="66"/>
      <c r="H212" s="60" t="str">
        <f>IFERROR(VLOOKUP(I212,設定メニュー!$B$5:$C$30,2,0),"")</f>
        <v/>
      </c>
      <c r="I212" s="55" t="str">
        <f>IFERROR(VLOOKUP(B212,設定メニュー!$U$5:$W$30,3,0),"")</f>
        <v/>
      </c>
      <c r="J212" s="809" t="str">
        <f t="shared" ref="J212:J260" si="4">IF(G212&lt;&gt;"",G212,"")</f>
        <v/>
      </c>
      <c r="K212" s="220"/>
    </row>
    <row r="213" spans="1:11" ht="20.100000000000001" customHeight="1">
      <c r="A213" s="64"/>
      <c r="B213" s="48"/>
      <c r="C213" s="48"/>
      <c r="D213" s="585"/>
      <c r="E213" s="60" t="str">
        <f>IFERROR(VLOOKUP(F213,設定メニュー!$B$5:$C$30,2,0),"")</f>
        <v/>
      </c>
      <c r="F213" s="65" t="str">
        <f>IFERROR(VLOOKUP(B213,設定メニュー!$U$5:$W$30,2,0),"")</f>
        <v/>
      </c>
      <c r="G213" s="66"/>
      <c r="H213" s="60" t="str">
        <f>IFERROR(VLOOKUP(I213,設定メニュー!$B$5:$C$30,2,0),"")</f>
        <v/>
      </c>
      <c r="I213" s="55" t="str">
        <f>IFERROR(VLOOKUP(B213,設定メニュー!$U$5:$W$30,3,0),"")</f>
        <v/>
      </c>
      <c r="J213" s="809" t="str">
        <f t="shared" si="4"/>
        <v/>
      </c>
      <c r="K213" s="220"/>
    </row>
    <row r="214" spans="1:11" ht="20.100000000000001" customHeight="1">
      <c r="A214" s="64"/>
      <c r="B214" s="48"/>
      <c r="C214" s="48"/>
      <c r="D214" s="585"/>
      <c r="E214" s="60" t="str">
        <f>IFERROR(VLOOKUP(F214,設定メニュー!$B$5:$C$30,2,0),"")</f>
        <v/>
      </c>
      <c r="F214" s="65" t="str">
        <f>IFERROR(VLOOKUP(B214,設定メニュー!$U$5:$W$30,2,0),"")</f>
        <v/>
      </c>
      <c r="G214" s="66"/>
      <c r="H214" s="60" t="str">
        <f>IFERROR(VLOOKUP(I214,設定メニュー!$B$5:$C$30,2,0),"")</f>
        <v/>
      </c>
      <c r="I214" s="55" t="str">
        <f>IFERROR(VLOOKUP(B214,設定メニュー!$U$5:$W$30,3,0),"")</f>
        <v/>
      </c>
      <c r="J214" s="809" t="str">
        <f t="shared" si="4"/>
        <v/>
      </c>
      <c r="K214" s="220"/>
    </row>
    <row r="215" spans="1:11" ht="20.100000000000001" customHeight="1">
      <c r="A215" s="64"/>
      <c r="B215" s="48"/>
      <c r="C215" s="48"/>
      <c r="D215" s="585"/>
      <c r="E215" s="60" t="str">
        <f>IFERROR(VLOOKUP(F215,設定メニュー!$B$5:$C$30,2,0),"")</f>
        <v/>
      </c>
      <c r="F215" s="65" t="str">
        <f>IFERROR(VLOOKUP(B215,設定メニュー!$U$5:$W$30,2,0),"")</f>
        <v/>
      </c>
      <c r="G215" s="66"/>
      <c r="H215" s="60" t="str">
        <f>IFERROR(VLOOKUP(I215,設定メニュー!$B$5:$C$30,2,0),"")</f>
        <v/>
      </c>
      <c r="I215" s="55" t="str">
        <f>IFERROR(VLOOKUP(B215,設定メニュー!$U$5:$W$30,3,0),"")</f>
        <v/>
      </c>
      <c r="J215" s="809" t="str">
        <f t="shared" si="4"/>
        <v/>
      </c>
      <c r="K215" s="220"/>
    </row>
    <row r="216" spans="1:11" ht="20.100000000000001" customHeight="1">
      <c r="A216" s="64"/>
      <c r="B216" s="48"/>
      <c r="C216" s="48"/>
      <c r="D216" s="585"/>
      <c r="E216" s="60" t="str">
        <f>IFERROR(VLOOKUP(F216,設定メニュー!$B$5:$C$30,2,0),"")</f>
        <v/>
      </c>
      <c r="F216" s="65" t="str">
        <f>IFERROR(VLOOKUP(B216,設定メニュー!$U$5:$W$30,2,0),"")</f>
        <v/>
      </c>
      <c r="G216" s="66"/>
      <c r="H216" s="60" t="str">
        <f>IFERROR(VLOOKUP(I216,設定メニュー!$B$5:$C$30,2,0),"")</f>
        <v/>
      </c>
      <c r="I216" s="55" t="str">
        <f>IFERROR(VLOOKUP(B216,設定メニュー!$U$5:$W$30,3,0),"")</f>
        <v/>
      </c>
      <c r="J216" s="809" t="str">
        <f t="shared" si="4"/>
        <v/>
      </c>
    </row>
    <row r="217" spans="1:11" ht="20.100000000000001" customHeight="1">
      <c r="A217" s="64"/>
      <c r="B217" s="48"/>
      <c r="C217" s="48"/>
      <c r="D217" s="585"/>
      <c r="E217" s="60" t="str">
        <f>IFERROR(VLOOKUP(F217,設定メニュー!$B$5:$C$30,2,0),"")</f>
        <v/>
      </c>
      <c r="F217" s="65" t="str">
        <f>IFERROR(VLOOKUP(B217,設定メニュー!$U$5:$W$30,2,0),"")</f>
        <v/>
      </c>
      <c r="G217" s="66"/>
      <c r="H217" s="60" t="str">
        <f>IFERROR(VLOOKUP(I217,設定メニュー!$B$5:$C$30,2,0),"")</f>
        <v/>
      </c>
      <c r="I217" s="55" t="str">
        <f>IFERROR(VLOOKUP(B217,設定メニュー!$U$5:$W$30,3,0),"")</f>
        <v/>
      </c>
      <c r="J217" s="809" t="str">
        <f t="shared" si="4"/>
        <v/>
      </c>
    </row>
    <row r="218" spans="1:11" ht="20.100000000000001" customHeight="1">
      <c r="A218" s="64"/>
      <c r="B218" s="48"/>
      <c r="C218" s="48"/>
      <c r="D218" s="585"/>
      <c r="E218" s="60" t="str">
        <f>IFERROR(VLOOKUP(F218,設定メニュー!$B$5:$C$30,2,0),"")</f>
        <v/>
      </c>
      <c r="F218" s="65" t="str">
        <f>IFERROR(VLOOKUP(B218,設定メニュー!$U$5:$W$30,2,0),"")</f>
        <v/>
      </c>
      <c r="G218" s="66"/>
      <c r="H218" s="60" t="str">
        <f>IFERROR(VLOOKUP(I218,設定メニュー!$B$5:$C$30,2,0),"")</f>
        <v/>
      </c>
      <c r="I218" s="55" t="str">
        <f>IFERROR(VLOOKUP(B218,設定メニュー!$U$5:$W$30,3,0),"")</f>
        <v/>
      </c>
      <c r="J218" s="809" t="str">
        <f t="shared" si="4"/>
        <v/>
      </c>
    </row>
    <row r="219" spans="1:11" ht="20.100000000000001" customHeight="1">
      <c r="A219" s="64"/>
      <c r="B219" s="48"/>
      <c r="C219" s="48"/>
      <c r="D219" s="585"/>
      <c r="E219" s="60" t="str">
        <f>IFERROR(VLOOKUP(F219,設定メニュー!$B$5:$C$30,2,0),"")</f>
        <v/>
      </c>
      <c r="F219" s="65" t="str">
        <f>IFERROR(VLOOKUP(B219,設定メニュー!$U$5:$W$30,2,0),"")</f>
        <v/>
      </c>
      <c r="G219" s="66"/>
      <c r="H219" s="60" t="str">
        <f>IFERROR(VLOOKUP(I219,設定メニュー!$B$5:$C$30,2,0),"")</f>
        <v/>
      </c>
      <c r="I219" s="55" t="str">
        <f>IFERROR(VLOOKUP(B219,設定メニュー!$U$5:$W$30,3,0),"")</f>
        <v/>
      </c>
      <c r="J219" s="809" t="str">
        <f t="shared" si="4"/>
        <v/>
      </c>
    </row>
    <row r="220" spans="1:11" ht="20.100000000000001" customHeight="1">
      <c r="A220" s="64"/>
      <c r="B220" s="48"/>
      <c r="C220" s="48"/>
      <c r="D220" s="585"/>
      <c r="E220" s="60" t="str">
        <f>IFERROR(VLOOKUP(F220,設定メニュー!$B$5:$C$30,2,0),"")</f>
        <v/>
      </c>
      <c r="F220" s="65" t="str">
        <f>IFERROR(VLOOKUP(B220,設定メニュー!$U$5:$W$30,2,0),"")</f>
        <v/>
      </c>
      <c r="G220" s="66"/>
      <c r="H220" s="60" t="str">
        <f>IFERROR(VLOOKUP(I220,設定メニュー!$B$5:$C$30,2,0),"")</f>
        <v/>
      </c>
      <c r="I220" s="55" t="str">
        <f>IFERROR(VLOOKUP(B220,設定メニュー!$U$5:$W$30,3,0),"")</f>
        <v/>
      </c>
      <c r="J220" s="809" t="str">
        <f t="shared" si="4"/>
        <v/>
      </c>
    </row>
    <row r="221" spans="1:11" ht="20.100000000000001" customHeight="1">
      <c r="A221" s="64"/>
      <c r="B221" s="48"/>
      <c r="C221" s="48"/>
      <c r="D221" s="585"/>
      <c r="E221" s="60" t="str">
        <f>IFERROR(VLOOKUP(F221,設定メニュー!$B$5:$C$30,2,0),"")</f>
        <v/>
      </c>
      <c r="F221" s="65" t="str">
        <f>IFERROR(VLOOKUP(B221,設定メニュー!$U$5:$W$30,2,0),"")</f>
        <v/>
      </c>
      <c r="G221" s="66"/>
      <c r="H221" s="60" t="str">
        <f>IFERROR(VLOOKUP(I221,設定メニュー!$B$5:$C$30,2,0),"")</f>
        <v/>
      </c>
      <c r="I221" s="55" t="str">
        <f>IFERROR(VLOOKUP(B221,設定メニュー!$U$5:$W$30,3,0),"")</f>
        <v/>
      </c>
      <c r="J221" s="809" t="str">
        <f t="shared" si="4"/>
        <v/>
      </c>
    </row>
    <row r="222" spans="1:11" ht="20.100000000000001" customHeight="1">
      <c r="A222" s="64"/>
      <c r="B222" s="48"/>
      <c r="C222" s="48"/>
      <c r="D222" s="585"/>
      <c r="E222" s="60" t="str">
        <f>IFERROR(VLOOKUP(F222,設定メニュー!$B$5:$C$30,2,0),"")</f>
        <v/>
      </c>
      <c r="F222" s="65" t="str">
        <f>IFERROR(VLOOKUP(B222,設定メニュー!$U$5:$W$30,2,0),"")</f>
        <v/>
      </c>
      <c r="G222" s="66"/>
      <c r="H222" s="60" t="str">
        <f>IFERROR(VLOOKUP(I222,設定メニュー!$B$5:$C$30,2,0),"")</f>
        <v/>
      </c>
      <c r="I222" s="55" t="str">
        <f>IFERROR(VLOOKUP(B222,設定メニュー!$U$5:$W$30,3,0),"")</f>
        <v/>
      </c>
      <c r="J222" s="809" t="str">
        <f t="shared" si="4"/>
        <v/>
      </c>
    </row>
    <row r="223" spans="1:11" ht="20.100000000000001" customHeight="1">
      <c r="A223" s="64"/>
      <c r="B223" s="48"/>
      <c r="C223" s="48"/>
      <c r="D223" s="585"/>
      <c r="E223" s="60" t="str">
        <f>IFERROR(VLOOKUP(F223,設定メニュー!$B$5:$C$30,2,0),"")</f>
        <v/>
      </c>
      <c r="F223" s="65" t="str">
        <f>IFERROR(VLOOKUP(B223,設定メニュー!$U$5:$W$30,2,0),"")</f>
        <v/>
      </c>
      <c r="G223" s="66"/>
      <c r="H223" s="60" t="str">
        <f>IFERROR(VLOOKUP(I223,設定メニュー!$B$5:$C$30,2,0),"")</f>
        <v/>
      </c>
      <c r="I223" s="55" t="str">
        <f>IFERROR(VLOOKUP(B223,設定メニュー!$U$5:$W$30,3,0),"")</f>
        <v/>
      </c>
      <c r="J223" s="809" t="str">
        <f t="shared" si="4"/>
        <v/>
      </c>
    </row>
    <row r="224" spans="1:11" ht="20.100000000000001" customHeight="1">
      <c r="A224" s="64"/>
      <c r="B224" s="48"/>
      <c r="C224" s="48"/>
      <c r="D224" s="585"/>
      <c r="E224" s="60" t="str">
        <f>IFERROR(VLOOKUP(F224,設定メニュー!$B$5:$C$30,2,0),"")</f>
        <v/>
      </c>
      <c r="F224" s="65" t="str">
        <f>IFERROR(VLOOKUP(B224,設定メニュー!$U$5:$W$30,2,0),"")</f>
        <v/>
      </c>
      <c r="G224" s="66"/>
      <c r="H224" s="60" t="str">
        <f>IFERROR(VLOOKUP(I224,設定メニュー!$B$5:$C$30,2,0),"")</f>
        <v/>
      </c>
      <c r="I224" s="55" t="str">
        <f>IFERROR(VLOOKUP(B224,設定メニュー!$U$5:$W$30,3,0),"")</f>
        <v/>
      </c>
      <c r="J224" s="809" t="str">
        <f t="shared" si="4"/>
        <v/>
      </c>
    </row>
    <row r="225" spans="1:10" ht="20.100000000000001" customHeight="1">
      <c r="A225" s="64"/>
      <c r="B225" s="48"/>
      <c r="C225" s="48"/>
      <c r="D225" s="585"/>
      <c r="E225" s="60" t="str">
        <f>IFERROR(VLOOKUP(F225,設定メニュー!$B$5:$C$30,2,0),"")</f>
        <v/>
      </c>
      <c r="F225" s="65" t="str">
        <f>IFERROR(VLOOKUP(B225,設定メニュー!$U$5:$W$30,2,0),"")</f>
        <v/>
      </c>
      <c r="G225" s="66"/>
      <c r="H225" s="60" t="str">
        <f>IFERROR(VLOOKUP(I225,設定メニュー!$B$5:$C$30,2,0),"")</f>
        <v/>
      </c>
      <c r="I225" s="55" t="str">
        <f>IFERROR(VLOOKUP(B225,設定メニュー!$U$5:$W$30,3,0),"")</f>
        <v/>
      </c>
      <c r="J225" s="809" t="str">
        <f t="shared" si="4"/>
        <v/>
      </c>
    </row>
    <row r="226" spans="1:10" ht="20.100000000000001" customHeight="1">
      <c r="A226" s="64"/>
      <c r="B226" s="48"/>
      <c r="C226" s="48"/>
      <c r="D226" s="585"/>
      <c r="E226" s="60" t="str">
        <f>IFERROR(VLOOKUP(F226,設定メニュー!$B$5:$C$30,2,0),"")</f>
        <v/>
      </c>
      <c r="F226" s="65" t="str">
        <f>IFERROR(VLOOKUP(B226,設定メニュー!$U$5:$W$30,2,0),"")</f>
        <v/>
      </c>
      <c r="G226" s="66"/>
      <c r="H226" s="60" t="str">
        <f>IFERROR(VLOOKUP(I226,設定メニュー!$B$5:$C$30,2,0),"")</f>
        <v/>
      </c>
      <c r="I226" s="55" t="str">
        <f>IFERROR(VLOOKUP(B226,設定メニュー!$U$5:$W$30,3,0),"")</f>
        <v/>
      </c>
      <c r="J226" s="809" t="str">
        <f t="shared" si="4"/>
        <v/>
      </c>
    </row>
    <row r="227" spans="1:10" ht="20.100000000000001" customHeight="1">
      <c r="A227" s="64"/>
      <c r="B227" s="48"/>
      <c r="C227" s="48"/>
      <c r="D227" s="585"/>
      <c r="E227" s="60" t="str">
        <f>IFERROR(VLOOKUP(F227,設定メニュー!$B$5:$C$30,2,0),"")</f>
        <v/>
      </c>
      <c r="F227" s="65" t="str">
        <f>IFERROR(VLOOKUP(B227,設定メニュー!$U$5:$W$30,2,0),"")</f>
        <v/>
      </c>
      <c r="G227" s="66"/>
      <c r="H227" s="60" t="str">
        <f>IFERROR(VLOOKUP(I227,設定メニュー!$B$5:$C$30,2,0),"")</f>
        <v/>
      </c>
      <c r="I227" s="55" t="str">
        <f>IFERROR(VLOOKUP(B227,設定メニュー!$U$5:$W$30,3,0),"")</f>
        <v/>
      </c>
      <c r="J227" s="809" t="str">
        <f t="shared" si="4"/>
        <v/>
      </c>
    </row>
    <row r="228" spans="1:10" ht="20.100000000000001" customHeight="1">
      <c r="A228" s="64"/>
      <c r="B228" s="48"/>
      <c r="C228" s="48"/>
      <c r="D228" s="585"/>
      <c r="E228" s="60" t="str">
        <f>IFERROR(VLOOKUP(F228,設定メニュー!$B$5:$C$30,2,0),"")</f>
        <v/>
      </c>
      <c r="F228" s="65" t="str">
        <f>IFERROR(VLOOKUP(B228,設定メニュー!$U$5:$W$30,2,0),"")</f>
        <v/>
      </c>
      <c r="G228" s="66"/>
      <c r="H228" s="60" t="str">
        <f>IFERROR(VLOOKUP(I228,設定メニュー!$B$5:$C$30,2,0),"")</f>
        <v/>
      </c>
      <c r="I228" s="55" t="str">
        <f>IFERROR(VLOOKUP(B228,設定メニュー!$U$5:$W$30,3,0),"")</f>
        <v/>
      </c>
      <c r="J228" s="809" t="str">
        <f t="shared" si="4"/>
        <v/>
      </c>
    </row>
    <row r="229" spans="1:10" ht="20.100000000000001" customHeight="1">
      <c r="A229" s="64"/>
      <c r="B229" s="48"/>
      <c r="C229" s="48"/>
      <c r="D229" s="585"/>
      <c r="E229" s="60" t="str">
        <f>IFERROR(VLOOKUP(F229,設定メニュー!$B$5:$C$30,2,0),"")</f>
        <v/>
      </c>
      <c r="F229" s="65" t="str">
        <f>IFERROR(VLOOKUP(B229,設定メニュー!$U$5:$W$30,2,0),"")</f>
        <v/>
      </c>
      <c r="G229" s="66"/>
      <c r="H229" s="60" t="str">
        <f>IFERROR(VLOOKUP(I229,設定メニュー!$B$5:$C$30,2,0),"")</f>
        <v/>
      </c>
      <c r="I229" s="55" t="str">
        <f>IFERROR(VLOOKUP(B229,設定メニュー!$U$5:$W$30,3,0),"")</f>
        <v/>
      </c>
      <c r="J229" s="809" t="str">
        <f t="shared" si="4"/>
        <v/>
      </c>
    </row>
    <row r="230" spans="1:10" ht="20.100000000000001" customHeight="1">
      <c r="A230" s="64"/>
      <c r="B230" s="48"/>
      <c r="C230" s="48"/>
      <c r="D230" s="585"/>
      <c r="E230" s="60" t="str">
        <f>IFERROR(VLOOKUP(F230,設定メニュー!$B$5:$C$30,2,0),"")</f>
        <v/>
      </c>
      <c r="F230" s="65" t="str">
        <f>IFERROR(VLOOKUP(B230,設定メニュー!$U$5:$W$30,2,0),"")</f>
        <v/>
      </c>
      <c r="G230" s="66"/>
      <c r="H230" s="60" t="str">
        <f>IFERROR(VLOOKUP(I230,設定メニュー!$B$5:$C$30,2,0),"")</f>
        <v/>
      </c>
      <c r="I230" s="55" t="str">
        <f>IFERROR(VLOOKUP(B230,設定メニュー!$U$5:$W$30,3,0),"")</f>
        <v/>
      </c>
      <c r="J230" s="809" t="str">
        <f t="shared" si="4"/>
        <v/>
      </c>
    </row>
    <row r="231" spans="1:10" ht="20.100000000000001" customHeight="1">
      <c r="A231" s="64"/>
      <c r="B231" s="48"/>
      <c r="C231" s="48"/>
      <c r="D231" s="585"/>
      <c r="E231" s="60" t="str">
        <f>IFERROR(VLOOKUP(F231,設定メニュー!$B$5:$C$30,2,0),"")</f>
        <v/>
      </c>
      <c r="F231" s="65" t="str">
        <f>IFERROR(VLOOKUP(B231,設定メニュー!$U$5:$W$30,2,0),"")</f>
        <v/>
      </c>
      <c r="G231" s="66"/>
      <c r="H231" s="60" t="str">
        <f>IFERROR(VLOOKUP(I231,設定メニュー!$B$5:$C$30,2,0),"")</f>
        <v/>
      </c>
      <c r="I231" s="55" t="str">
        <f>IFERROR(VLOOKUP(B231,設定メニュー!$U$5:$W$30,3,0),"")</f>
        <v/>
      </c>
      <c r="J231" s="809" t="str">
        <f t="shared" si="4"/>
        <v/>
      </c>
    </row>
    <row r="232" spans="1:10" ht="20.100000000000001" customHeight="1">
      <c r="A232" s="64"/>
      <c r="B232" s="48"/>
      <c r="C232" s="48"/>
      <c r="D232" s="585"/>
      <c r="E232" s="60" t="str">
        <f>IFERROR(VLOOKUP(F232,設定メニュー!$B$5:$C$30,2,0),"")</f>
        <v/>
      </c>
      <c r="F232" s="65" t="str">
        <f>IFERROR(VLOOKUP(B232,設定メニュー!$U$5:$W$30,2,0),"")</f>
        <v/>
      </c>
      <c r="G232" s="66"/>
      <c r="H232" s="60" t="str">
        <f>IFERROR(VLOOKUP(I232,設定メニュー!$B$5:$C$30,2,0),"")</f>
        <v/>
      </c>
      <c r="I232" s="55" t="str">
        <f>IFERROR(VLOOKUP(B232,設定メニュー!$U$5:$W$30,3,0),"")</f>
        <v/>
      </c>
      <c r="J232" s="809" t="str">
        <f t="shared" si="4"/>
        <v/>
      </c>
    </row>
    <row r="233" spans="1:10" ht="20.100000000000001" customHeight="1">
      <c r="A233" s="64"/>
      <c r="B233" s="48"/>
      <c r="C233" s="48"/>
      <c r="D233" s="585"/>
      <c r="E233" s="60" t="str">
        <f>IFERROR(VLOOKUP(F233,設定メニュー!$B$5:$C$30,2,0),"")</f>
        <v/>
      </c>
      <c r="F233" s="65" t="str">
        <f>IFERROR(VLOOKUP(B233,設定メニュー!$U$5:$W$30,2,0),"")</f>
        <v/>
      </c>
      <c r="G233" s="66"/>
      <c r="H233" s="60" t="str">
        <f>IFERROR(VLOOKUP(I233,設定メニュー!$B$5:$C$30,2,0),"")</f>
        <v/>
      </c>
      <c r="I233" s="55" t="str">
        <f>IFERROR(VLOOKUP(B233,設定メニュー!$U$5:$W$30,3,0),"")</f>
        <v/>
      </c>
      <c r="J233" s="809" t="str">
        <f t="shared" si="4"/>
        <v/>
      </c>
    </row>
    <row r="234" spans="1:10" ht="20.100000000000001" customHeight="1">
      <c r="A234" s="64"/>
      <c r="B234" s="48"/>
      <c r="C234" s="48"/>
      <c r="D234" s="585"/>
      <c r="E234" s="60" t="str">
        <f>IFERROR(VLOOKUP(F234,設定メニュー!$B$5:$C$30,2,0),"")</f>
        <v/>
      </c>
      <c r="F234" s="65" t="str">
        <f>IFERROR(VLOOKUP(B234,設定メニュー!$U$5:$W$30,2,0),"")</f>
        <v/>
      </c>
      <c r="G234" s="66"/>
      <c r="H234" s="60" t="str">
        <f>IFERROR(VLOOKUP(I234,設定メニュー!$B$5:$C$30,2,0),"")</f>
        <v/>
      </c>
      <c r="I234" s="55" t="str">
        <f>IFERROR(VLOOKUP(B234,設定メニュー!$U$5:$W$30,3,0),"")</f>
        <v/>
      </c>
      <c r="J234" s="809" t="str">
        <f t="shared" si="4"/>
        <v/>
      </c>
    </row>
    <row r="235" spans="1:10" ht="20.100000000000001" customHeight="1">
      <c r="A235" s="64"/>
      <c r="B235" s="48"/>
      <c r="C235" s="48"/>
      <c r="D235" s="585"/>
      <c r="E235" s="60" t="str">
        <f>IFERROR(VLOOKUP(F235,設定メニュー!$B$5:$C$30,2,0),"")</f>
        <v/>
      </c>
      <c r="F235" s="65" t="str">
        <f>IFERROR(VLOOKUP(B235,設定メニュー!$U$5:$W$30,2,0),"")</f>
        <v/>
      </c>
      <c r="G235" s="66"/>
      <c r="H235" s="60" t="str">
        <f>IFERROR(VLOOKUP(I235,設定メニュー!$B$5:$C$30,2,0),"")</f>
        <v/>
      </c>
      <c r="I235" s="55" t="str">
        <f>IFERROR(VLOOKUP(B235,設定メニュー!$U$5:$W$30,3,0),"")</f>
        <v/>
      </c>
      <c r="J235" s="809" t="str">
        <f t="shared" si="4"/>
        <v/>
      </c>
    </row>
    <row r="236" spans="1:10" ht="20.100000000000001" customHeight="1">
      <c r="A236" s="64"/>
      <c r="B236" s="48"/>
      <c r="C236" s="48"/>
      <c r="D236" s="585"/>
      <c r="E236" s="60" t="str">
        <f>IFERROR(VLOOKUP(F236,設定メニュー!$B$5:$C$30,2,0),"")</f>
        <v/>
      </c>
      <c r="F236" s="65" t="str">
        <f>IFERROR(VLOOKUP(B236,設定メニュー!$U$5:$W$30,2,0),"")</f>
        <v/>
      </c>
      <c r="G236" s="66"/>
      <c r="H236" s="60" t="str">
        <f>IFERROR(VLOOKUP(I236,設定メニュー!$B$5:$C$30,2,0),"")</f>
        <v/>
      </c>
      <c r="I236" s="55" t="str">
        <f>IFERROR(VLOOKUP(B236,設定メニュー!$U$5:$W$30,3,0),"")</f>
        <v/>
      </c>
      <c r="J236" s="809" t="str">
        <f t="shared" si="4"/>
        <v/>
      </c>
    </row>
    <row r="237" spans="1:10" ht="20.100000000000001" customHeight="1">
      <c r="A237" s="64"/>
      <c r="B237" s="48"/>
      <c r="C237" s="48"/>
      <c r="D237" s="585"/>
      <c r="E237" s="60" t="str">
        <f>IFERROR(VLOOKUP(F237,設定メニュー!$B$5:$C$30,2,0),"")</f>
        <v/>
      </c>
      <c r="F237" s="65" t="str">
        <f>IFERROR(VLOOKUP(B237,設定メニュー!$U$5:$W$30,2,0),"")</f>
        <v/>
      </c>
      <c r="G237" s="66"/>
      <c r="H237" s="60" t="str">
        <f>IFERROR(VLOOKUP(I237,設定メニュー!$B$5:$C$30,2,0),"")</f>
        <v/>
      </c>
      <c r="I237" s="55" t="str">
        <f>IFERROR(VLOOKUP(B237,設定メニュー!$U$5:$W$30,3,0),"")</f>
        <v/>
      </c>
      <c r="J237" s="809" t="str">
        <f t="shared" si="4"/>
        <v/>
      </c>
    </row>
    <row r="238" spans="1:10" ht="20.100000000000001" customHeight="1">
      <c r="A238" s="64"/>
      <c r="B238" s="48"/>
      <c r="C238" s="48"/>
      <c r="D238" s="585"/>
      <c r="E238" s="60" t="str">
        <f>IFERROR(VLOOKUP(F238,設定メニュー!$B$5:$C$30,2,0),"")</f>
        <v/>
      </c>
      <c r="F238" s="65" t="str">
        <f>IFERROR(VLOOKUP(B238,設定メニュー!$U$5:$W$30,2,0),"")</f>
        <v/>
      </c>
      <c r="G238" s="66"/>
      <c r="H238" s="60" t="str">
        <f>IFERROR(VLOOKUP(I238,設定メニュー!$B$5:$C$30,2,0),"")</f>
        <v/>
      </c>
      <c r="I238" s="55" t="str">
        <f>IFERROR(VLOOKUP(B238,設定メニュー!$U$5:$W$30,3,0),"")</f>
        <v/>
      </c>
      <c r="J238" s="809" t="str">
        <f t="shared" si="4"/>
        <v/>
      </c>
    </row>
    <row r="239" spans="1:10" ht="20.100000000000001" customHeight="1">
      <c r="A239" s="64"/>
      <c r="B239" s="48"/>
      <c r="C239" s="48"/>
      <c r="D239" s="585"/>
      <c r="E239" s="60" t="str">
        <f>IFERROR(VLOOKUP(F239,設定メニュー!$B$5:$C$30,2,0),"")</f>
        <v/>
      </c>
      <c r="F239" s="65" t="str">
        <f>IFERROR(VLOOKUP(B239,設定メニュー!$U$5:$W$30,2,0),"")</f>
        <v/>
      </c>
      <c r="G239" s="66"/>
      <c r="H239" s="60" t="str">
        <f>IFERROR(VLOOKUP(I239,設定メニュー!$B$5:$C$30,2,0),"")</f>
        <v/>
      </c>
      <c r="I239" s="55" t="str">
        <f>IFERROR(VLOOKUP(B239,設定メニュー!$U$5:$W$30,3,0),"")</f>
        <v/>
      </c>
      <c r="J239" s="809" t="str">
        <f t="shared" si="4"/>
        <v/>
      </c>
    </row>
    <row r="240" spans="1:10" ht="20.100000000000001" customHeight="1">
      <c r="A240" s="64"/>
      <c r="B240" s="48"/>
      <c r="C240" s="48"/>
      <c r="D240" s="585"/>
      <c r="E240" s="60" t="str">
        <f>IFERROR(VLOOKUP(F240,設定メニュー!$B$5:$C$30,2,0),"")</f>
        <v/>
      </c>
      <c r="F240" s="65" t="str">
        <f>IFERROR(VLOOKUP(B240,設定メニュー!$U$5:$W$30,2,0),"")</f>
        <v/>
      </c>
      <c r="G240" s="66"/>
      <c r="H240" s="60" t="str">
        <f>IFERROR(VLOOKUP(I240,設定メニュー!$B$5:$C$30,2,0),"")</f>
        <v/>
      </c>
      <c r="I240" s="55" t="str">
        <f>IFERROR(VLOOKUP(B240,設定メニュー!$U$5:$W$30,3,0),"")</f>
        <v/>
      </c>
      <c r="J240" s="809" t="str">
        <f t="shared" si="4"/>
        <v/>
      </c>
    </row>
    <row r="241" spans="1:10" ht="20.100000000000001" customHeight="1">
      <c r="A241" s="64"/>
      <c r="B241" s="48"/>
      <c r="C241" s="48"/>
      <c r="D241" s="585"/>
      <c r="E241" s="60" t="str">
        <f>IFERROR(VLOOKUP(F241,設定メニュー!$B$5:$C$30,2,0),"")</f>
        <v/>
      </c>
      <c r="F241" s="65" t="str">
        <f>IFERROR(VLOOKUP(B241,設定メニュー!$U$5:$W$30,2,0),"")</f>
        <v/>
      </c>
      <c r="G241" s="66"/>
      <c r="H241" s="60" t="str">
        <f>IFERROR(VLOOKUP(I241,設定メニュー!$B$5:$C$30,2,0),"")</f>
        <v/>
      </c>
      <c r="I241" s="55" t="str">
        <f>IFERROR(VLOOKUP(B241,設定メニュー!$U$5:$W$30,3,0),"")</f>
        <v/>
      </c>
      <c r="J241" s="809" t="str">
        <f t="shared" si="4"/>
        <v/>
      </c>
    </row>
    <row r="242" spans="1:10" ht="20.100000000000001" customHeight="1">
      <c r="A242" s="64"/>
      <c r="B242" s="48"/>
      <c r="C242" s="48"/>
      <c r="D242" s="585"/>
      <c r="E242" s="60" t="str">
        <f>IFERROR(VLOOKUP(F242,設定メニュー!$B$5:$C$30,2,0),"")</f>
        <v/>
      </c>
      <c r="F242" s="65" t="str">
        <f>IFERROR(VLOOKUP(B242,設定メニュー!$U$5:$W$30,2,0),"")</f>
        <v/>
      </c>
      <c r="G242" s="66"/>
      <c r="H242" s="60" t="str">
        <f>IFERROR(VLOOKUP(I242,設定メニュー!$B$5:$C$30,2,0),"")</f>
        <v/>
      </c>
      <c r="I242" s="55" t="str">
        <f>IFERROR(VLOOKUP(B242,設定メニュー!$U$5:$W$30,3,0),"")</f>
        <v/>
      </c>
      <c r="J242" s="809" t="str">
        <f t="shared" si="4"/>
        <v/>
      </c>
    </row>
    <row r="243" spans="1:10" ht="20.100000000000001" customHeight="1">
      <c r="A243" s="64"/>
      <c r="B243" s="48"/>
      <c r="C243" s="48"/>
      <c r="D243" s="585"/>
      <c r="E243" s="60" t="str">
        <f>IFERROR(VLOOKUP(F243,設定メニュー!$B$5:$C$30,2,0),"")</f>
        <v/>
      </c>
      <c r="F243" s="65" t="str">
        <f>IFERROR(VLOOKUP(B243,設定メニュー!$U$5:$W$30,2,0),"")</f>
        <v/>
      </c>
      <c r="G243" s="66"/>
      <c r="H243" s="60" t="str">
        <f>IFERROR(VLOOKUP(I243,設定メニュー!$B$5:$C$30,2,0),"")</f>
        <v/>
      </c>
      <c r="I243" s="55" t="str">
        <f>IFERROR(VLOOKUP(B243,設定メニュー!$U$5:$W$30,3,0),"")</f>
        <v/>
      </c>
      <c r="J243" s="809" t="str">
        <f t="shared" si="4"/>
        <v/>
      </c>
    </row>
    <row r="244" spans="1:10" ht="20.100000000000001" customHeight="1">
      <c r="A244" s="64"/>
      <c r="B244" s="48"/>
      <c r="C244" s="48"/>
      <c r="D244" s="585"/>
      <c r="E244" s="60" t="str">
        <f>IFERROR(VLOOKUP(F244,設定メニュー!$B$5:$C$30,2,0),"")</f>
        <v/>
      </c>
      <c r="F244" s="65" t="str">
        <f>IFERROR(VLOOKUP(B244,設定メニュー!$U$5:$W$30,2,0),"")</f>
        <v/>
      </c>
      <c r="G244" s="66"/>
      <c r="H244" s="60" t="str">
        <f>IFERROR(VLOOKUP(I244,設定メニュー!$B$5:$C$30,2,0),"")</f>
        <v/>
      </c>
      <c r="I244" s="55" t="str">
        <f>IFERROR(VLOOKUP(B244,設定メニュー!$U$5:$W$30,3,0),"")</f>
        <v/>
      </c>
      <c r="J244" s="809" t="str">
        <f t="shared" si="4"/>
        <v/>
      </c>
    </row>
    <row r="245" spans="1:10" ht="20.100000000000001" customHeight="1">
      <c r="A245" s="64"/>
      <c r="B245" s="48"/>
      <c r="C245" s="48"/>
      <c r="D245" s="585"/>
      <c r="E245" s="60" t="str">
        <f>IFERROR(VLOOKUP(F245,設定メニュー!$B$5:$C$30,2,0),"")</f>
        <v/>
      </c>
      <c r="F245" s="65" t="str">
        <f>IFERROR(VLOOKUP(B245,設定メニュー!$U$5:$W$30,2,0),"")</f>
        <v/>
      </c>
      <c r="G245" s="66"/>
      <c r="H245" s="60" t="str">
        <f>IFERROR(VLOOKUP(I245,設定メニュー!$B$5:$C$30,2,0),"")</f>
        <v/>
      </c>
      <c r="I245" s="55" t="str">
        <f>IFERROR(VLOOKUP(B245,設定メニュー!$U$5:$W$30,3,0),"")</f>
        <v/>
      </c>
      <c r="J245" s="809" t="str">
        <f t="shared" si="4"/>
        <v/>
      </c>
    </row>
    <row r="246" spans="1:10" ht="20.100000000000001" customHeight="1">
      <c r="A246" s="64"/>
      <c r="B246" s="48"/>
      <c r="C246" s="48"/>
      <c r="D246" s="585"/>
      <c r="E246" s="60" t="str">
        <f>IFERROR(VLOOKUP(F246,設定メニュー!$B$5:$C$30,2,0),"")</f>
        <v/>
      </c>
      <c r="F246" s="65" t="str">
        <f>IFERROR(VLOOKUP(B246,設定メニュー!$U$5:$W$30,2,0),"")</f>
        <v/>
      </c>
      <c r="G246" s="66"/>
      <c r="H246" s="60" t="str">
        <f>IFERROR(VLOOKUP(I246,設定メニュー!$B$5:$C$30,2,0),"")</f>
        <v/>
      </c>
      <c r="I246" s="55" t="str">
        <f>IFERROR(VLOOKUP(B246,設定メニュー!$U$5:$W$30,3,0),"")</f>
        <v/>
      </c>
      <c r="J246" s="809" t="str">
        <f t="shared" si="4"/>
        <v/>
      </c>
    </row>
    <row r="247" spans="1:10" ht="20.100000000000001" customHeight="1">
      <c r="A247" s="64"/>
      <c r="B247" s="48"/>
      <c r="C247" s="48"/>
      <c r="D247" s="585"/>
      <c r="E247" s="60" t="str">
        <f>IFERROR(VLOOKUP(F247,設定メニュー!$B$5:$C$30,2,0),"")</f>
        <v/>
      </c>
      <c r="F247" s="65" t="str">
        <f>IFERROR(VLOOKUP(B247,設定メニュー!$U$5:$W$30,2,0),"")</f>
        <v/>
      </c>
      <c r="G247" s="66"/>
      <c r="H247" s="60" t="str">
        <f>IFERROR(VLOOKUP(I247,設定メニュー!$B$5:$C$30,2,0),"")</f>
        <v/>
      </c>
      <c r="I247" s="55" t="str">
        <f>IFERROR(VLOOKUP(B247,設定メニュー!$U$5:$W$30,3,0),"")</f>
        <v/>
      </c>
      <c r="J247" s="809" t="str">
        <f t="shared" si="4"/>
        <v/>
      </c>
    </row>
    <row r="248" spans="1:10" ht="20.100000000000001" customHeight="1">
      <c r="A248" s="64"/>
      <c r="B248" s="48"/>
      <c r="C248" s="48"/>
      <c r="D248" s="585"/>
      <c r="E248" s="60" t="str">
        <f>IFERROR(VLOOKUP(F248,設定メニュー!$B$5:$C$30,2,0),"")</f>
        <v/>
      </c>
      <c r="F248" s="65" t="str">
        <f>IFERROR(VLOOKUP(B248,設定メニュー!$U$5:$W$30,2,0),"")</f>
        <v/>
      </c>
      <c r="G248" s="66"/>
      <c r="H248" s="60" t="str">
        <f>IFERROR(VLOOKUP(I248,設定メニュー!$B$5:$C$30,2,0),"")</f>
        <v/>
      </c>
      <c r="I248" s="55" t="str">
        <f>IFERROR(VLOOKUP(B248,設定メニュー!$U$5:$W$30,3,0),"")</f>
        <v/>
      </c>
      <c r="J248" s="809" t="str">
        <f t="shared" si="4"/>
        <v/>
      </c>
    </row>
    <row r="249" spans="1:10" ht="20.100000000000001" customHeight="1">
      <c r="A249" s="64"/>
      <c r="B249" s="48"/>
      <c r="C249" s="48"/>
      <c r="D249" s="585"/>
      <c r="E249" s="60" t="str">
        <f>IFERROR(VLOOKUP(F249,設定メニュー!$B$5:$C$30,2,0),"")</f>
        <v/>
      </c>
      <c r="F249" s="65" t="str">
        <f>IFERROR(VLOOKUP(B249,設定メニュー!$U$5:$W$30,2,0),"")</f>
        <v/>
      </c>
      <c r="G249" s="66"/>
      <c r="H249" s="60" t="str">
        <f>IFERROR(VLOOKUP(I249,設定メニュー!$B$5:$C$30,2,0),"")</f>
        <v/>
      </c>
      <c r="I249" s="55" t="str">
        <f>IFERROR(VLOOKUP(B249,設定メニュー!$U$5:$W$30,3,0),"")</f>
        <v/>
      </c>
      <c r="J249" s="809" t="str">
        <f t="shared" si="4"/>
        <v/>
      </c>
    </row>
    <row r="250" spans="1:10" ht="20.100000000000001" customHeight="1">
      <c r="A250" s="64"/>
      <c r="B250" s="48"/>
      <c r="C250" s="48"/>
      <c r="D250" s="585"/>
      <c r="E250" s="60" t="str">
        <f>IFERROR(VLOOKUP(F250,設定メニュー!$B$5:$C$30,2,0),"")</f>
        <v/>
      </c>
      <c r="F250" s="65" t="str">
        <f>IFERROR(VLOOKUP(B250,設定メニュー!$U$5:$W$30,2,0),"")</f>
        <v/>
      </c>
      <c r="G250" s="66"/>
      <c r="H250" s="60" t="str">
        <f>IFERROR(VLOOKUP(I250,設定メニュー!$B$5:$C$30,2,0),"")</f>
        <v/>
      </c>
      <c r="I250" s="55" t="str">
        <f>IFERROR(VLOOKUP(B250,設定メニュー!$U$5:$W$30,3,0),"")</f>
        <v/>
      </c>
      <c r="J250" s="809" t="str">
        <f t="shared" si="4"/>
        <v/>
      </c>
    </row>
    <row r="251" spans="1:10" ht="20.100000000000001" customHeight="1">
      <c r="A251" s="64"/>
      <c r="B251" s="48"/>
      <c r="C251" s="48"/>
      <c r="D251" s="585"/>
      <c r="E251" s="60" t="str">
        <f>IFERROR(VLOOKUP(F251,設定メニュー!$B$5:$C$30,2,0),"")</f>
        <v/>
      </c>
      <c r="F251" s="65" t="str">
        <f>IFERROR(VLOOKUP(B251,設定メニュー!$U$5:$W$30,2,0),"")</f>
        <v/>
      </c>
      <c r="G251" s="66"/>
      <c r="H251" s="60" t="str">
        <f>IFERROR(VLOOKUP(I251,設定メニュー!$B$5:$C$30,2,0),"")</f>
        <v/>
      </c>
      <c r="I251" s="55" t="str">
        <f>IFERROR(VLOOKUP(B251,設定メニュー!$U$5:$W$30,3,0),"")</f>
        <v/>
      </c>
      <c r="J251" s="809" t="str">
        <f t="shared" si="4"/>
        <v/>
      </c>
    </row>
    <row r="252" spans="1:10" ht="20.100000000000001" customHeight="1">
      <c r="A252" s="64"/>
      <c r="B252" s="48"/>
      <c r="C252" s="48"/>
      <c r="D252" s="585"/>
      <c r="E252" s="60" t="str">
        <f>IFERROR(VLOOKUP(F252,設定メニュー!$B$5:$C$30,2,0),"")</f>
        <v/>
      </c>
      <c r="F252" s="65" t="str">
        <f>IFERROR(VLOOKUP(B252,設定メニュー!$U$5:$W$30,2,0),"")</f>
        <v/>
      </c>
      <c r="G252" s="66"/>
      <c r="H252" s="60" t="str">
        <f>IFERROR(VLOOKUP(I252,設定メニュー!$B$5:$C$30,2,0),"")</f>
        <v/>
      </c>
      <c r="I252" s="55" t="str">
        <f>IFERROR(VLOOKUP(B252,設定メニュー!$U$5:$W$30,3,0),"")</f>
        <v/>
      </c>
      <c r="J252" s="809" t="str">
        <f t="shared" si="4"/>
        <v/>
      </c>
    </row>
    <row r="253" spans="1:10" ht="20.100000000000001" customHeight="1">
      <c r="A253" s="64"/>
      <c r="B253" s="48"/>
      <c r="C253" s="48"/>
      <c r="D253" s="585"/>
      <c r="E253" s="60" t="str">
        <f>IFERROR(VLOOKUP(F253,設定メニュー!$B$5:$C$30,2,0),"")</f>
        <v/>
      </c>
      <c r="F253" s="65" t="str">
        <f>IFERROR(VLOOKUP(B253,設定メニュー!$U$5:$W$30,2,0),"")</f>
        <v/>
      </c>
      <c r="G253" s="66"/>
      <c r="H253" s="60" t="str">
        <f>IFERROR(VLOOKUP(I253,設定メニュー!$B$5:$C$30,2,0),"")</f>
        <v/>
      </c>
      <c r="I253" s="55" t="str">
        <f>IFERROR(VLOOKUP(B253,設定メニュー!$U$5:$W$30,3,0),"")</f>
        <v/>
      </c>
      <c r="J253" s="809" t="str">
        <f t="shared" si="4"/>
        <v/>
      </c>
    </row>
    <row r="254" spans="1:10" ht="20.100000000000001" customHeight="1">
      <c r="A254" s="64"/>
      <c r="B254" s="48"/>
      <c r="C254" s="48"/>
      <c r="D254" s="585"/>
      <c r="E254" s="60" t="str">
        <f>IFERROR(VLOOKUP(F254,設定メニュー!$B$5:$C$30,2,0),"")</f>
        <v/>
      </c>
      <c r="F254" s="65" t="str">
        <f>IFERROR(VLOOKUP(B254,設定メニュー!$U$5:$W$30,2,0),"")</f>
        <v/>
      </c>
      <c r="G254" s="66"/>
      <c r="H254" s="60" t="str">
        <f>IFERROR(VLOOKUP(I254,設定メニュー!$B$5:$C$30,2,0),"")</f>
        <v/>
      </c>
      <c r="I254" s="55" t="str">
        <f>IFERROR(VLOOKUP(B254,設定メニュー!$U$5:$W$30,3,0),"")</f>
        <v/>
      </c>
      <c r="J254" s="809" t="str">
        <f t="shared" si="4"/>
        <v/>
      </c>
    </row>
    <row r="255" spans="1:10" ht="20.100000000000001" customHeight="1">
      <c r="A255" s="64"/>
      <c r="B255" s="48"/>
      <c r="C255" s="48"/>
      <c r="D255" s="585"/>
      <c r="E255" s="60" t="str">
        <f>IFERROR(VLOOKUP(F255,設定メニュー!$B$5:$C$30,2,0),"")</f>
        <v/>
      </c>
      <c r="F255" s="65" t="str">
        <f>IFERROR(VLOOKUP(B255,設定メニュー!$U$5:$W$30,2,0),"")</f>
        <v/>
      </c>
      <c r="G255" s="66"/>
      <c r="H255" s="60" t="str">
        <f>IFERROR(VLOOKUP(I255,設定メニュー!$B$5:$C$30,2,0),"")</f>
        <v/>
      </c>
      <c r="I255" s="55" t="str">
        <f>IFERROR(VLOOKUP(B255,設定メニュー!$U$5:$W$30,3,0),"")</f>
        <v/>
      </c>
      <c r="J255" s="809" t="str">
        <f t="shared" si="4"/>
        <v/>
      </c>
    </row>
    <row r="256" spans="1:10" ht="20.100000000000001" customHeight="1">
      <c r="A256" s="64"/>
      <c r="B256" s="48"/>
      <c r="C256" s="48"/>
      <c r="D256" s="585"/>
      <c r="E256" s="60" t="str">
        <f>IFERROR(VLOOKUP(F256,設定メニュー!$B$5:$C$30,2,0),"")</f>
        <v/>
      </c>
      <c r="F256" s="65" t="str">
        <f>IFERROR(VLOOKUP(B256,設定メニュー!$U$5:$W$30,2,0),"")</f>
        <v/>
      </c>
      <c r="G256" s="66"/>
      <c r="H256" s="60" t="str">
        <f>IFERROR(VLOOKUP(I256,設定メニュー!$B$5:$C$30,2,0),"")</f>
        <v/>
      </c>
      <c r="I256" s="55" t="str">
        <f>IFERROR(VLOOKUP(B256,設定メニュー!$U$5:$W$30,3,0),"")</f>
        <v/>
      </c>
      <c r="J256" s="809" t="str">
        <f t="shared" si="4"/>
        <v/>
      </c>
    </row>
    <row r="257" spans="1:10" ht="20.100000000000001" customHeight="1">
      <c r="A257" s="64"/>
      <c r="B257" s="48"/>
      <c r="C257" s="48"/>
      <c r="D257" s="585"/>
      <c r="E257" s="60" t="str">
        <f>IFERROR(VLOOKUP(F257,設定メニュー!$B$5:$C$30,2,0),"")</f>
        <v/>
      </c>
      <c r="F257" s="65" t="str">
        <f>IFERROR(VLOOKUP(B257,設定メニュー!$U$5:$W$30,2,0),"")</f>
        <v/>
      </c>
      <c r="G257" s="66"/>
      <c r="H257" s="60" t="str">
        <f>IFERROR(VLOOKUP(I257,設定メニュー!$B$5:$C$30,2,0),"")</f>
        <v/>
      </c>
      <c r="I257" s="55" t="str">
        <f>IFERROR(VLOOKUP(B257,設定メニュー!$U$5:$W$30,3,0),"")</f>
        <v/>
      </c>
      <c r="J257" s="809" t="str">
        <f t="shared" si="4"/>
        <v/>
      </c>
    </row>
    <row r="258" spans="1:10" ht="20.100000000000001" customHeight="1">
      <c r="A258" s="64"/>
      <c r="B258" s="48"/>
      <c r="C258" s="48"/>
      <c r="D258" s="585"/>
      <c r="E258" s="60" t="str">
        <f>IFERROR(VLOOKUP(F258,設定メニュー!$B$5:$C$30,2,0),"")</f>
        <v/>
      </c>
      <c r="F258" s="65" t="str">
        <f>IFERROR(VLOOKUP(B258,設定メニュー!$U$5:$W$30,2,0),"")</f>
        <v/>
      </c>
      <c r="G258" s="66"/>
      <c r="H258" s="60" t="str">
        <f>IFERROR(VLOOKUP(I258,設定メニュー!$B$5:$C$30,2,0),"")</f>
        <v/>
      </c>
      <c r="I258" s="55" t="str">
        <f>IFERROR(VLOOKUP(B258,設定メニュー!$U$5:$W$30,3,0),"")</f>
        <v/>
      </c>
      <c r="J258" s="809" t="str">
        <f t="shared" si="4"/>
        <v/>
      </c>
    </row>
    <row r="259" spans="1:10" ht="20.100000000000001" customHeight="1">
      <c r="A259" s="64"/>
      <c r="B259" s="48"/>
      <c r="C259" s="48"/>
      <c r="D259" s="585"/>
      <c r="E259" s="60" t="str">
        <f>IFERROR(VLOOKUP(F259,設定メニュー!$B$5:$C$30,2,0),"")</f>
        <v/>
      </c>
      <c r="F259" s="65" t="str">
        <f>IFERROR(VLOOKUP(B259,設定メニュー!$U$5:$W$30,2,0),"")</f>
        <v/>
      </c>
      <c r="G259" s="66"/>
      <c r="H259" s="60" t="str">
        <f>IFERROR(VLOOKUP(I259,設定メニュー!$B$5:$C$30,2,0),"")</f>
        <v/>
      </c>
      <c r="I259" s="55" t="str">
        <f>IFERROR(VLOOKUP(B259,設定メニュー!$U$5:$W$30,3,0),"")</f>
        <v/>
      </c>
      <c r="J259" s="809" t="str">
        <f t="shared" si="4"/>
        <v/>
      </c>
    </row>
    <row r="260" spans="1:10" ht="20.100000000000001" customHeight="1">
      <c r="A260" s="64"/>
      <c r="B260" s="48"/>
      <c r="C260" s="48"/>
      <c r="D260" s="585"/>
      <c r="E260" s="60" t="str">
        <f>IFERROR(VLOOKUP(F260,設定メニュー!$B$5:$C$30,2,0),"")</f>
        <v/>
      </c>
      <c r="F260" s="65" t="str">
        <f>IFERROR(VLOOKUP(B260,設定メニュー!$U$5:$W$30,2,0),"")</f>
        <v/>
      </c>
      <c r="G260" s="66"/>
      <c r="H260" s="60" t="str">
        <f>IFERROR(VLOOKUP(I260,設定メニュー!$B$5:$C$30,2,0),"")</f>
        <v/>
      </c>
      <c r="I260" s="55" t="str">
        <f>IFERROR(VLOOKUP(B260,設定メニュー!$U$5:$W$30,3,0),"")</f>
        <v/>
      </c>
      <c r="J260" s="809" t="str">
        <f t="shared" si="4"/>
        <v/>
      </c>
    </row>
    <row r="261" spans="1:10" ht="20.100000000000001" customHeight="1">
      <c r="A261" s="64"/>
      <c r="B261" s="48"/>
      <c r="C261" s="48"/>
      <c r="D261" s="585"/>
      <c r="E261" s="60" t="str">
        <f>IFERROR(VLOOKUP(F261,設定メニュー!$B$5:$C$30,2,0),"")</f>
        <v/>
      </c>
      <c r="F261" s="65" t="str">
        <f>IFERROR(VLOOKUP(B261,設定メニュー!$U$5:$W$30,2,0),"")</f>
        <v/>
      </c>
      <c r="G261" s="66"/>
      <c r="H261" s="60" t="str">
        <f>IFERROR(VLOOKUP(I261,設定メニュー!$B$5:$C$30,2,0),"")</f>
        <v/>
      </c>
      <c r="I261" s="55" t="str">
        <f>IFERROR(VLOOKUP(B261,設定メニュー!$U$5:$W$30,3,0),"")</f>
        <v/>
      </c>
      <c r="J261" s="809" t="str">
        <f t="shared" ref="J261:J304" si="5">IF(G261&lt;&gt;"",G261,"")</f>
        <v/>
      </c>
    </row>
    <row r="262" spans="1:10" ht="20.100000000000001" customHeight="1">
      <c r="A262" s="64"/>
      <c r="B262" s="48"/>
      <c r="C262" s="48"/>
      <c r="D262" s="585"/>
      <c r="E262" s="60" t="str">
        <f>IFERROR(VLOOKUP(F262,設定メニュー!$B$5:$C$30,2,0),"")</f>
        <v/>
      </c>
      <c r="F262" s="65" t="str">
        <f>IFERROR(VLOOKUP(B262,設定メニュー!$U$5:$W$30,2,0),"")</f>
        <v/>
      </c>
      <c r="G262" s="66"/>
      <c r="H262" s="60" t="str">
        <f>IFERROR(VLOOKUP(I262,設定メニュー!$B$5:$C$30,2,0),"")</f>
        <v/>
      </c>
      <c r="I262" s="55" t="str">
        <f>IFERROR(VLOOKUP(B262,設定メニュー!$U$5:$W$30,3,0),"")</f>
        <v/>
      </c>
      <c r="J262" s="809" t="str">
        <f t="shared" si="5"/>
        <v/>
      </c>
    </row>
    <row r="263" spans="1:10" ht="20.100000000000001" customHeight="1">
      <c r="A263" s="64"/>
      <c r="B263" s="48"/>
      <c r="C263" s="48"/>
      <c r="D263" s="585"/>
      <c r="E263" s="60" t="str">
        <f>IFERROR(VLOOKUP(F263,設定メニュー!$B$5:$C$30,2,0),"")</f>
        <v/>
      </c>
      <c r="F263" s="65" t="str">
        <f>IFERROR(VLOOKUP(B263,設定メニュー!$U$5:$W$30,2,0),"")</f>
        <v/>
      </c>
      <c r="G263" s="66"/>
      <c r="H263" s="60" t="str">
        <f>IFERROR(VLOOKUP(I263,設定メニュー!$B$5:$C$30,2,0),"")</f>
        <v/>
      </c>
      <c r="I263" s="55" t="str">
        <f>IFERROR(VLOOKUP(B263,設定メニュー!$U$5:$W$30,3,0),"")</f>
        <v/>
      </c>
      <c r="J263" s="809" t="str">
        <f t="shared" si="5"/>
        <v/>
      </c>
    </row>
    <row r="264" spans="1:10" ht="20.100000000000001" customHeight="1">
      <c r="A264" s="64"/>
      <c r="B264" s="48"/>
      <c r="C264" s="48"/>
      <c r="D264" s="585"/>
      <c r="E264" s="60" t="str">
        <f>IFERROR(VLOOKUP(F264,設定メニュー!$B$5:$C$30,2,0),"")</f>
        <v/>
      </c>
      <c r="F264" s="65" t="str">
        <f>IFERROR(VLOOKUP(B264,設定メニュー!$U$5:$W$30,2,0),"")</f>
        <v/>
      </c>
      <c r="G264" s="66"/>
      <c r="H264" s="60" t="str">
        <f>IFERROR(VLOOKUP(I264,設定メニュー!$B$5:$C$30,2,0),"")</f>
        <v/>
      </c>
      <c r="I264" s="55" t="str">
        <f>IFERROR(VLOOKUP(B264,設定メニュー!$U$5:$W$30,3,0),"")</f>
        <v/>
      </c>
      <c r="J264" s="809" t="str">
        <f t="shared" si="5"/>
        <v/>
      </c>
    </row>
    <row r="265" spans="1:10" ht="20.100000000000001" customHeight="1">
      <c r="A265" s="64"/>
      <c r="B265" s="48"/>
      <c r="C265" s="48"/>
      <c r="D265" s="585"/>
      <c r="E265" s="60" t="str">
        <f>IFERROR(VLOOKUP(F265,設定メニュー!$B$5:$C$30,2,0),"")</f>
        <v/>
      </c>
      <c r="F265" s="65" t="str">
        <f>IFERROR(VLOOKUP(B265,設定メニュー!$U$5:$W$30,2,0),"")</f>
        <v/>
      </c>
      <c r="G265" s="66"/>
      <c r="H265" s="60" t="str">
        <f>IFERROR(VLOOKUP(I265,設定メニュー!$B$5:$C$30,2,0),"")</f>
        <v/>
      </c>
      <c r="I265" s="55" t="str">
        <f>IFERROR(VLOOKUP(B265,設定メニュー!$U$5:$W$30,3,0),"")</f>
        <v/>
      </c>
      <c r="J265" s="809" t="str">
        <f t="shared" si="5"/>
        <v/>
      </c>
    </row>
    <row r="266" spans="1:10" ht="20.100000000000001" customHeight="1">
      <c r="A266" s="64"/>
      <c r="B266" s="48"/>
      <c r="C266" s="48"/>
      <c r="D266" s="585"/>
      <c r="E266" s="60" t="str">
        <f>IFERROR(VLOOKUP(F266,設定メニュー!$B$5:$C$30,2,0),"")</f>
        <v/>
      </c>
      <c r="F266" s="65" t="str">
        <f>IFERROR(VLOOKUP(B266,設定メニュー!$U$5:$W$30,2,0),"")</f>
        <v/>
      </c>
      <c r="G266" s="66"/>
      <c r="H266" s="60" t="str">
        <f>IFERROR(VLOOKUP(I266,設定メニュー!$B$5:$C$30,2,0),"")</f>
        <v/>
      </c>
      <c r="I266" s="55" t="str">
        <f>IFERROR(VLOOKUP(B266,設定メニュー!$U$5:$W$30,3,0),"")</f>
        <v/>
      </c>
      <c r="J266" s="809" t="str">
        <f t="shared" si="5"/>
        <v/>
      </c>
    </row>
    <row r="267" spans="1:10" ht="20.100000000000001" customHeight="1">
      <c r="A267" s="64"/>
      <c r="B267" s="48"/>
      <c r="C267" s="48"/>
      <c r="D267" s="585"/>
      <c r="E267" s="60" t="str">
        <f>IFERROR(VLOOKUP(F267,設定メニュー!$B$5:$C$30,2,0),"")</f>
        <v/>
      </c>
      <c r="F267" s="65" t="str">
        <f>IFERROR(VLOOKUP(B267,設定メニュー!$U$5:$W$30,2,0),"")</f>
        <v/>
      </c>
      <c r="G267" s="66"/>
      <c r="H267" s="60" t="str">
        <f>IFERROR(VLOOKUP(I267,設定メニュー!$B$5:$C$30,2,0),"")</f>
        <v/>
      </c>
      <c r="I267" s="55" t="str">
        <f>IFERROR(VLOOKUP(B267,設定メニュー!$U$5:$W$30,3,0),"")</f>
        <v/>
      </c>
      <c r="J267" s="809" t="str">
        <f t="shared" si="5"/>
        <v/>
      </c>
    </row>
    <row r="268" spans="1:10" ht="20.100000000000001" customHeight="1">
      <c r="A268" s="64"/>
      <c r="B268" s="48"/>
      <c r="C268" s="48"/>
      <c r="D268" s="585"/>
      <c r="E268" s="60" t="str">
        <f>IFERROR(VLOOKUP(F268,設定メニュー!$B$5:$C$30,2,0),"")</f>
        <v/>
      </c>
      <c r="F268" s="65" t="str">
        <f>IFERROR(VLOOKUP(B268,設定メニュー!$U$5:$W$30,2,0),"")</f>
        <v/>
      </c>
      <c r="G268" s="66"/>
      <c r="H268" s="60" t="str">
        <f>IFERROR(VLOOKUP(I268,設定メニュー!$B$5:$C$30,2,0),"")</f>
        <v/>
      </c>
      <c r="I268" s="55" t="str">
        <f>IFERROR(VLOOKUP(B268,設定メニュー!$U$5:$W$30,3,0),"")</f>
        <v/>
      </c>
      <c r="J268" s="809" t="str">
        <f t="shared" si="5"/>
        <v/>
      </c>
    </row>
    <row r="269" spans="1:10" ht="20.100000000000001" customHeight="1">
      <c r="A269" s="64"/>
      <c r="B269" s="48"/>
      <c r="C269" s="48"/>
      <c r="D269" s="585"/>
      <c r="E269" s="60" t="str">
        <f>IFERROR(VLOOKUP(F269,設定メニュー!$B$5:$C$30,2,0),"")</f>
        <v/>
      </c>
      <c r="F269" s="65" t="str">
        <f>IFERROR(VLOOKUP(B269,設定メニュー!$U$5:$W$30,2,0),"")</f>
        <v/>
      </c>
      <c r="G269" s="66"/>
      <c r="H269" s="60" t="str">
        <f>IFERROR(VLOOKUP(I269,設定メニュー!$B$5:$C$30,2,0),"")</f>
        <v/>
      </c>
      <c r="I269" s="55" t="str">
        <f>IFERROR(VLOOKUP(B269,設定メニュー!$U$5:$W$30,3,0),"")</f>
        <v/>
      </c>
      <c r="J269" s="809" t="str">
        <f t="shared" si="5"/>
        <v/>
      </c>
    </row>
    <row r="270" spans="1:10" ht="20.100000000000001" customHeight="1">
      <c r="A270" s="64"/>
      <c r="B270" s="48"/>
      <c r="C270" s="48"/>
      <c r="D270" s="585"/>
      <c r="E270" s="60" t="str">
        <f>IFERROR(VLOOKUP(F270,設定メニュー!$B$5:$C$30,2,0),"")</f>
        <v/>
      </c>
      <c r="F270" s="65" t="str">
        <f>IFERROR(VLOOKUP(B270,設定メニュー!$U$5:$W$30,2,0),"")</f>
        <v/>
      </c>
      <c r="G270" s="66"/>
      <c r="H270" s="60" t="str">
        <f>IFERROR(VLOOKUP(I270,設定メニュー!$B$5:$C$30,2,0),"")</f>
        <v/>
      </c>
      <c r="I270" s="55" t="str">
        <f>IFERROR(VLOOKUP(B270,設定メニュー!$U$5:$W$30,3,0),"")</f>
        <v/>
      </c>
      <c r="J270" s="809" t="str">
        <f t="shared" si="5"/>
        <v/>
      </c>
    </row>
    <row r="271" spans="1:10" ht="20.100000000000001" customHeight="1">
      <c r="A271" s="64"/>
      <c r="B271" s="48"/>
      <c r="C271" s="48"/>
      <c r="D271" s="585"/>
      <c r="E271" s="60" t="str">
        <f>IFERROR(VLOOKUP(F271,設定メニュー!$B$5:$C$30,2,0),"")</f>
        <v/>
      </c>
      <c r="F271" s="65" t="str">
        <f>IFERROR(VLOOKUP(B271,設定メニュー!$U$5:$W$30,2,0),"")</f>
        <v/>
      </c>
      <c r="G271" s="66"/>
      <c r="H271" s="60" t="str">
        <f>IFERROR(VLOOKUP(I271,設定メニュー!$B$5:$C$30,2,0),"")</f>
        <v/>
      </c>
      <c r="I271" s="55" t="str">
        <f>IFERROR(VLOOKUP(B271,設定メニュー!$U$5:$W$30,3,0),"")</f>
        <v/>
      </c>
      <c r="J271" s="809" t="str">
        <f t="shared" si="5"/>
        <v/>
      </c>
    </row>
    <row r="272" spans="1:10" ht="20.100000000000001" customHeight="1">
      <c r="A272" s="64"/>
      <c r="B272" s="48"/>
      <c r="C272" s="48"/>
      <c r="D272" s="585"/>
      <c r="E272" s="60" t="str">
        <f>IFERROR(VLOOKUP(F272,設定メニュー!$B$5:$C$30,2,0),"")</f>
        <v/>
      </c>
      <c r="F272" s="65" t="str">
        <f>IFERROR(VLOOKUP(B272,設定メニュー!$U$5:$W$30,2,0),"")</f>
        <v/>
      </c>
      <c r="G272" s="66"/>
      <c r="H272" s="60" t="str">
        <f>IFERROR(VLOOKUP(I272,設定メニュー!$B$5:$C$30,2,0),"")</f>
        <v/>
      </c>
      <c r="I272" s="55" t="str">
        <f>IFERROR(VLOOKUP(B272,設定メニュー!$U$5:$W$30,3,0),"")</f>
        <v/>
      </c>
      <c r="J272" s="809" t="str">
        <f t="shared" si="5"/>
        <v/>
      </c>
    </row>
    <row r="273" spans="1:10" ht="20.100000000000001" customHeight="1">
      <c r="A273" s="64"/>
      <c r="B273" s="48"/>
      <c r="C273" s="48"/>
      <c r="D273" s="585"/>
      <c r="E273" s="60" t="str">
        <f>IFERROR(VLOOKUP(F273,設定メニュー!$B$5:$C$30,2,0),"")</f>
        <v/>
      </c>
      <c r="F273" s="65" t="str">
        <f>IFERROR(VLOOKUP(B273,設定メニュー!$U$5:$W$30,2,0),"")</f>
        <v/>
      </c>
      <c r="G273" s="66"/>
      <c r="H273" s="60" t="str">
        <f>IFERROR(VLOOKUP(I273,設定メニュー!$B$5:$C$30,2,0),"")</f>
        <v/>
      </c>
      <c r="I273" s="55" t="str">
        <f>IFERROR(VLOOKUP(B273,設定メニュー!$U$5:$W$30,3,0),"")</f>
        <v/>
      </c>
      <c r="J273" s="809" t="str">
        <f t="shared" si="5"/>
        <v/>
      </c>
    </row>
    <row r="274" spans="1:10" ht="20.100000000000001" customHeight="1">
      <c r="A274" s="64"/>
      <c r="B274" s="48"/>
      <c r="C274" s="48"/>
      <c r="D274" s="585"/>
      <c r="E274" s="60" t="str">
        <f>IFERROR(VLOOKUP(F274,設定メニュー!$B$5:$C$30,2,0),"")</f>
        <v/>
      </c>
      <c r="F274" s="65" t="str">
        <f>IFERROR(VLOOKUP(B274,設定メニュー!$U$5:$W$30,2,0),"")</f>
        <v/>
      </c>
      <c r="G274" s="66"/>
      <c r="H274" s="60" t="str">
        <f>IFERROR(VLOOKUP(I274,設定メニュー!$B$5:$C$30,2,0),"")</f>
        <v/>
      </c>
      <c r="I274" s="55" t="str">
        <f>IFERROR(VLOOKUP(B274,設定メニュー!$U$5:$W$30,3,0),"")</f>
        <v/>
      </c>
      <c r="J274" s="809" t="str">
        <f t="shared" si="5"/>
        <v/>
      </c>
    </row>
    <row r="275" spans="1:10" ht="20.100000000000001" customHeight="1">
      <c r="A275" s="64"/>
      <c r="B275" s="48"/>
      <c r="C275" s="48"/>
      <c r="D275" s="585"/>
      <c r="E275" s="60" t="str">
        <f>IFERROR(VLOOKUP(F275,設定メニュー!$B$5:$C$30,2,0),"")</f>
        <v/>
      </c>
      <c r="F275" s="65" t="str">
        <f>IFERROR(VLOOKUP(B275,設定メニュー!$U$5:$W$30,2,0),"")</f>
        <v/>
      </c>
      <c r="G275" s="66"/>
      <c r="H275" s="60" t="str">
        <f>IFERROR(VLOOKUP(I275,設定メニュー!$B$5:$C$30,2,0),"")</f>
        <v/>
      </c>
      <c r="I275" s="55" t="str">
        <f>IFERROR(VLOOKUP(B275,設定メニュー!$U$5:$W$30,3,0),"")</f>
        <v/>
      </c>
      <c r="J275" s="809" t="str">
        <f t="shared" si="5"/>
        <v/>
      </c>
    </row>
    <row r="276" spans="1:10" ht="20.100000000000001" customHeight="1">
      <c r="A276" s="64"/>
      <c r="B276" s="48"/>
      <c r="C276" s="48"/>
      <c r="D276" s="585"/>
      <c r="E276" s="60" t="str">
        <f>IFERROR(VLOOKUP(F276,設定メニュー!$B$5:$C$30,2,0),"")</f>
        <v/>
      </c>
      <c r="F276" s="65" t="str">
        <f>IFERROR(VLOOKUP(B276,設定メニュー!$U$5:$W$30,2,0),"")</f>
        <v/>
      </c>
      <c r="G276" s="66"/>
      <c r="H276" s="60" t="str">
        <f>IFERROR(VLOOKUP(I276,設定メニュー!$B$5:$C$30,2,0),"")</f>
        <v/>
      </c>
      <c r="I276" s="55" t="str">
        <f>IFERROR(VLOOKUP(B276,設定メニュー!$U$5:$W$30,3,0),"")</f>
        <v/>
      </c>
      <c r="J276" s="809" t="str">
        <f t="shared" si="5"/>
        <v/>
      </c>
    </row>
    <row r="277" spans="1:10" ht="20.100000000000001" customHeight="1">
      <c r="A277" s="64"/>
      <c r="B277" s="48"/>
      <c r="C277" s="48"/>
      <c r="D277" s="585"/>
      <c r="E277" s="60" t="str">
        <f>IFERROR(VLOOKUP(F277,設定メニュー!$B$5:$C$30,2,0),"")</f>
        <v/>
      </c>
      <c r="F277" s="65" t="str">
        <f>IFERROR(VLOOKUP(B277,設定メニュー!$U$5:$W$30,2,0),"")</f>
        <v/>
      </c>
      <c r="G277" s="66"/>
      <c r="H277" s="60" t="str">
        <f>IFERROR(VLOOKUP(I277,設定メニュー!$B$5:$C$30,2,0),"")</f>
        <v/>
      </c>
      <c r="I277" s="55" t="str">
        <f>IFERROR(VLOOKUP(B277,設定メニュー!$U$5:$W$30,3,0),"")</f>
        <v/>
      </c>
      <c r="J277" s="809" t="str">
        <f t="shared" si="5"/>
        <v/>
      </c>
    </row>
    <row r="278" spans="1:10" ht="20.100000000000001" customHeight="1">
      <c r="A278" s="64"/>
      <c r="B278" s="48"/>
      <c r="C278" s="48"/>
      <c r="D278" s="585"/>
      <c r="E278" s="60" t="str">
        <f>IFERROR(VLOOKUP(F278,設定メニュー!$B$5:$C$30,2,0),"")</f>
        <v/>
      </c>
      <c r="F278" s="65" t="str">
        <f>IFERROR(VLOOKUP(B278,設定メニュー!$U$5:$W$30,2,0),"")</f>
        <v/>
      </c>
      <c r="G278" s="66"/>
      <c r="H278" s="60" t="str">
        <f>IFERROR(VLOOKUP(I278,設定メニュー!$B$5:$C$30,2,0),"")</f>
        <v/>
      </c>
      <c r="I278" s="55" t="str">
        <f>IFERROR(VLOOKUP(B278,設定メニュー!$U$5:$W$30,3,0),"")</f>
        <v/>
      </c>
      <c r="J278" s="809" t="str">
        <f t="shared" si="5"/>
        <v/>
      </c>
    </row>
    <row r="279" spans="1:10" ht="20.100000000000001" customHeight="1">
      <c r="A279" s="64"/>
      <c r="B279" s="48"/>
      <c r="C279" s="48"/>
      <c r="D279" s="585"/>
      <c r="E279" s="60" t="str">
        <f>IFERROR(VLOOKUP(F279,設定メニュー!$B$5:$C$30,2,0),"")</f>
        <v/>
      </c>
      <c r="F279" s="65" t="str">
        <f>IFERROR(VLOOKUP(B279,設定メニュー!$U$5:$W$30,2,0),"")</f>
        <v/>
      </c>
      <c r="G279" s="66"/>
      <c r="H279" s="60" t="str">
        <f>IFERROR(VLOOKUP(I279,設定メニュー!$B$5:$C$30,2,0),"")</f>
        <v/>
      </c>
      <c r="I279" s="55" t="str">
        <f>IFERROR(VLOOKUP(B279,設定メニュー!$U$5:$W$30,3,0),"")</f>
        <v/>
      </c>
      <c r="J279" s="809" t="str">
        <f t="shared" si="5"/>
        <v/>
      </c>
    </row>
    <row r="280" spans="1:10" ht="20.100000000000001" customHeight="1">
      <c r="A280" s="64"/>
      <c r="B280" s="48"/>
      <c r="C280" s="48"/>
      <c r="D280" s="585"/>
      <c r="E280" s="60" t="str">
        <f>IFERROR(VLOOKUP(F280,設定メニュー!$B$5:$C$30,2,0),"")</f>
        <v/>
      </c>
      <c r="F280" s="65" t="str">
        <f>IFERROR(VLOOKUP(B280,設定メニュー!$U$5:$W$30,2,0),"")</f>
        <v/>
      </c>
      <c r="G280" s="66"/>
      <c r="H280" s="60" t="str">
        <f>IFERROR(VLOOKUP(I280,設定メニュー!$B$5:$C$30,2,0),"")</f>
        <v/>
      </c>
      <c r="I280" s="55" t="str">
        <f>IFERROR(VLOOKUP(B280,設定メニュー!$U$5:$W$30,3,0),"")</f>
        <v/>
      </c>
      <c r="J280" s="809" t="str">
        <f t="shared" si="5"/>
        <v/>
      </c>
    </row>
    <row r="281" spans="1:10" ht="20.100000000000001" customHeight="1">
      <c r="A281" s="64"/>
      <c r="B281" s="48"/>
      <c r="C281" s="48"/>
      <c r="D281" s="585"/>
      <c r="E281" s="60" t="str">
        <f>IFERROR(VLOOKUP(F281,設定メニュー!$B$5:$C$30,2,0),"")</f>
        <v/>
      </c>
      <c r="F281" s="65" t="str">
        <f>IFERROR(VLOOKUP(B281,設定メニュー!$U$5:$W$30,2,0),"")</f>
        <v/>
      </c>
      <c r="G281" s="66"/>
      <c r="H281" s="60" t="str">
        <f>IFERROR(VLOOKUP(I281,設定メニュー!$B$5:$C$30,2,0),"")</f>
        <v/>
      </c>
      <c r="I281" s="55" t="str">
        <f>IFERROR(VLOOKUP(B281,設定メニュー!$U$5:$W$30,3,0),"")</f>
        <v/>
      </c>
      <c r="J281" s="809" t="str">
        <f t="shared" si="5"/>
        <v/>
      </c>
    </row>
    <row r="282" spans="1:10" ht="20.100000000000001" customHeight="1">
      <c r="A282" s="64"/>
      <c r="B282" s="48"/>
      <c r="C282" s="48"/>
      <c r="D282" s="585"/>
      <c r="E282" s="60" t="str">
        <f>IFERROR(VLOOKUP(F282,設定メニュー!$B$5:$C$30,2,0),"")</f>
        <v/>
      </c>
      <c r="F282" s="65" t="str">
        <f>IFERROR(VLOOKUP(B282,設定メニュー!$U$5:$W$30,2,0),"")</f>
        <v/>
      </c>
      <c r="G282" s="66"/>
      <c r="H282" s="60" t="str">
        <f>IFERROR(VLOOKUP(I282,設定メニュー!$B$5:$C$30,2,0),"")</f>
        <v/>
      </c>
      <c r="I282" s="55" t="str">
        <f>IFERROR(VLOOKUP(B282,設定メニュー!$U$5:$W$30,3,0),"")</f>
        <v/>
      </c>
      <c r="J282" s="809" t="str">
        <f t="shared" si="5"/>
        <v/>
      </c>
    </row>
    <row r="283" spans="1:10" ht="20.100000000000001" customHeight="1">
      <c r="A283" s="64"/>
      <c r="B283" s="48"/>
      <c r="C283" s="48"/>
      <c r="D283" s="585"/>
      <c r="E283" s="60" t="str">
        <f>IFERROR(VLOOKUP(F283,設定メニュー!$B$5:$C$30,2,0),"")</f>
        <v/>
      </c>
      <c r="F283" s="65" t="str">
        <f>IFERROR(VLOOKUP(B283,設定メニュー!$U$5:$W$30,2,0),"")</f>
        <v/>
      </c>
      <c r="G283" s="66"/>
      <c r="H283" s="60" t="str">
        <f>IFERROR(VLOOKUP(I283,設定メニュー!$B$5:$C$30,2,0),"")</f>
        <v/>
      </c>
      <c r="I283" s="55" t="str">
        <f>IFERROR(VLOOKUP(B283,設定メニュー!$U$5:$W$30,3,0),"")</f>
        <v/>
      </c>
      <c r="J283" s="809" t="str">
        <f t="shared" si="5"/>
        <v/>
      </c>
    </row>
    <row r="284" spans="1:10" ht="20.100000000000001" customHeight="1">
      <c r="A284" s="64"/>
      <c r="B284" s="48"/>
      <c r="C284" s="48"/>
      <c r="D284" s="585"/>
      <c r="E284" s="60" t="str">
        <f>IFERROR(VLOOKUP(F284,設定メニュー!$B$5:$C$30,2,0),"")</f>
        <v/>
      </c>
      <c r="F284" s="65" t="str">
        <f>IFERROR(VLOOKUP(B284,設定メニュー!$U$5:$W$30,2,0),"")</f>
        <v/>
      </c>
      <c r="G284" s="66"/>
      <c r="H284" s="60" t="str">
        <f>IFERROR(VLOOKUP(I284,設定メニュー!$B$5:$C$30,2,0),"")</f>
        <v/>
      </c>
      <c r="I284" s="55" t="str">
        <f>IFERROR(VLOOKUP(B284,設定メニュー!$U$5:$W$30,3,0),"")</f>
        <v/>
      </c>
      <c r="J284" s="809" t="str">
        <f t="shared" si="5"/>
        <v/>
      </c>
    </row>
    <row r="285" spans="1:10" ht="20.100000000000001" customHeight="1">
      <c r="A285" s="64"/>
      <c r="B285" s="48"/>
      <c r="C285" s="48"/>
      <c r="D285" s="585"/>
      <c r="E285" s="60" t="str">
        <f>IFERROR(VLOOKUP(F285,設定メニュー!$B$5:$C$30,2,0),"")</f>
        <v/>
      </c>
      <c r="F285" s="65" t="str">
        <f>IFERROR(VLOOKUP(B285,設定メニュー!$U$5:$W$30,2,0),"")</f>
        <v/>
      </c>
      <c r="G285" s="66"/>
      <c r="H285" s="60" t="str">
        <f>IFERROR(VLOOKUP(I285,設定メニュー!$B$5:$C$30,2,0),"")</f>
        <v/>
      </c>
      <c r="I285" s="55" t="str">
        <f>IFERROR(VLOOKUP(B285,設定メニュー!$U$5:$W$30,3,0),"")</f>
        <v/>
      </c>
      <c r="J285" s="809" t="str">
        <f t="shared" si="5"/>
        <v/>
      </c>
    </row>
    <row r="286" spans="1:10" ht="20.100000000000001" customHeight="1">
      <c r="A286" s="64"/>
      <c r="B286" s="48"/>
      <c r="C286" s="48"/>
      <c r="D286" s="585"/>
      <c r="E286" s="60" t="str">
        <f>IFERROR(VLOOKUP(F286,設定メニュー!$B$5:$C$30,2,0),"")</f>
        <v/>
      </c>
      <c r="F286" s="65" t="str">
        <f>IFERROR(VLOOKUP(B286,設定メニュー!$U$5:$W$30,2,0),"")</f>
        <v/>
      </c>
      <c r="G286" s="66"/>
      <c r="H286" s="60" t="str">
        <f>IFERROR(VLOOKUP(I286,設定メニュー!$B$5:$C$30,2,0),"")</f>
        <v/>
      </c>
      <c r="I286" s="55" t="str">
        <f>IFERROR(VLOOKUP(B286,設定メニュー!$U$5:$W$30,3,0),"")</f>
        <v/>
      </c>
      <c r="J286" s="809" t="str">
        <f t="shared" si="5"/>
        <v/>
      </c>
    </row>
    <row r="287" spans="1:10" ht="20.100000000000001" customHeight="1">
      <c r="A287" s="64"/>
      <c r="B287" s="48"/>
      <c r="C287" s="48"/>
      <c r="D287" s="585"/>
      <c r="E287" s="60" t="str">
        <f>IFERROR(VLOOKUP(F287,設定メニュー!$B$5:$C$30,2,0),"")</f>
        <v/>
      </c>
      <c r="F287" s="65" t="str">
        <f>IFERROR(VLOOKUP(B287,設定メニュー!$U$5:$W$30,2,0),"")</f>
        <v/>
      </c>
      <c r="G287" s="66"/>
      <c r="H287" s="60" t="str">
        <f>IFERROR(VLOOKUP(I287,設定メニュー!$B$5:$C$30,2,0),"")</f>
        <v/>
      </c>
      <c r="I287" s="55" t="str">
        <f>IFERROR(VLOOKUP(B287,設定メニュー!$U$5:$W$30,3,0),"")</f>
        <v/>
      </c>
      <c r="J287" s="809" t="str">
        <f t="shared" si="5"/>
        <v/>
      </c>
    </row>
    <row r="288" spans="1:10" ht="20.100000000000001" customHeight="1">
      <c r="A288" s="64"/>
      <c r="B288" s="48"/>
      <c r="C288" s="48"/>
      <c r="D288" s="585"/>
      <c r="E288" s="60" t="str">
        <f>IFERROR(VLOOKUP(F288,設定メニュー!$B$5:$C$30,2,0),"")</f>
        <v/>
      </c>
      <c r="F288" s="65" t="str">
        <f>IFERROR(VLOOKUP(B288,設定メニュー!$U$5:$W$30,2,0),"")</f>
        <v/>
      </c>
      <c r="G288" s="66"/>
      <c r="H288" s="60" t="str">
        <f>IFERROR(VLOOKUP(I288,設定メニュー!$B$5:$C$30,2,0),"")</f>
        <v/>
      </c>
      <c r="I288" s="55" t="str">
        <f>IFERROR(VLOOKUP(B288,設定メニュー!$U$5:$W$30,3,0),"")</f>
        <v/>
      </c>
      <c r="J288" s="809" t="str">
        <f t="shared" si="5"/>
        <v/>
      </c>
    </row>
    <row r="289" spans="1:10" ht="20.100000000000001" customHeight="1">
      <c r="A289" s="64"/>
      <c r="B289" s="48"/>
      <c r="C289" s="48"/>
      <c r="D289" s="585"/>
      <c r="E289" s="60" t="str">
        <f>IFERROR(VLOOKUP(F289,設定メニュー!$B$5:$C$30,2,0),"")</f>
        <v/>
      </c>
      <c r="F289" s="65" t="str">
        <f>IFERROR(VLOOKUP(B289,設定メニュー!$U$5:$W$30,2,0),"")</f>
        <v/>
      </c>
      <c r="G289" s="66"/>
      <c r="H289" s="60" t="str">
        <f>IFERROR(VLOOKUP(I289,設定メニュー!$B$5:$C$30,2,0),"")</f>
        <v/>
      </c>
      <c r="I289" s="55" t="str">
        <f>IFERROR(VLOOKUP(B289,設定メニュー!$U$5:$W$30,3,0),"")</f>
        <v/>
      </c>
      <c r="J289" s="809" t="str">
        <f t="shared" si="5"/>
        <v/>
      </c>
    </row>
    <row r="290" spans="1:10" ht="20.100000000000001" customHeight="1">
      <c r="A290" s="64"/>
      <c r="B290" s="48"/>
      <c r="C290" s="48"/>
      <c r="D290" s="585"/>
      <c r="E290" s="60" t="str">
        <f>IFERROR(VLOOKUP(F290,設定メニュー!$B$5:$C$30,2,0),"")</f>
        <v/>
      </c>
      <c r="F290" s="65" t="str">
        <f>IFERROR(VLOOKUP(B290,設定メニュー!$U$5:$W$30,2,0),"")</f>
        <v/>
      </c>
      <c r="G290" s="66"/>
      <c r="H290" s="60" t="str">
        <f>IFERROR(VLOOKUP(I290,設定メニュー!$B$5:$C$30,2,0),"")</f>
        <v/>
      </c>
      <c r="I290" s="55" t="str">
        <f>IFERROR(VLOOKUP(B290,設定メニュー!$U$5:$W$30,3,0),"")</f>
        <v/>
      </c>
      <c r="J290" s="809" t="str">
        <f t="shared" si="5"/>
        <v/>
      </c>
    </row>
    <row r="291" spans="1:10" ht="20.100000000000001" customHeight="1">
      <c r="A291" s="64"/>
      <c r="B291" s="48"/>
      <c r="C291" s="48"/>
      <c r="D291" s="585"/>
      <c r="E291" s="60" t="str">
        <f>IFERROR(VLOOKUP(F291,設定メニュー!$B$5:$C$30,2,0),"")</f>
        <v/>
      </c>
      <c r="F291" s="65" t="str">
        <f>IFERROR(VLOOKUP(B291,設定メニュー!$U$5:$W$30,2,0),"")</f>
        <v/>
      </c>
      <c r="G291" s="66"/>
      <c r="H291" s="60" t="str">
        <f>IFERROR(VLOOKUP(I291,設定メニュー!$B$5:$C$30,2,0),"")</f>
        <v/>
      </c>
      <c r="I291" s="55" t="str">
        <f>IFERROR(VLOOKUP(B291,設定メニュー!$U$5:$W$30,3,0),"")</f>
        <v/>
      </c>
      <c r="J291" s="809" t="str">
        <f t="shared" si="5"/>
        <v/>
      </c>
    </row>
    <row r="292" spans="1:10" ht="20.100000000000001" customHeight="1">
      <c r="A292" s="64"/>
      <c r="B292" s="48"/>
      <c r="C292" s="48"/>
      <c r="D292" s="585"/>
      <c r="E292" s="60" t="str">
        <f>IFERROR(VLOOKUP(F292,設定メニュー!$B$5:$C$30,2,0),"")</f>
        <v/>
      </c>
      <c r="F292" s="65" t="str">
        <f>IFERROR(VLOOKUP(B292,設定メニュー!$U$5:$W$30,2,0),"")</f>
        <v/>
      </c>
      <c r="G292" s="66"/>
      <c r="H292" s="60" t="str">
        <f>IFERROR(VLOOKUP(I292,設定メニュー!$B$5:$C$30,2,0),"")</f>
        <v/>
      </c>
      <c r="I292" s="55" t="str">
        <f>IFERROR(VLOOKUP(B292,設定メニュー!$U$5:$W$30,3,0),"")</f>
        <v/>
      </c>
      <c r="J292" s="809" t="str">
        <f t="shared" si="5"/>
        <v/>
      </c>
    </row>
    <row r="293" spans="1:10" ht="20.100000000000001" customHeight="1">
      <c r="A293" s="64"/>
      <c r="B293" s="48"/>
      <c r="C293" s="48"/>
      <c r="D293" s="585"/>
      <c r="E293" s="60" t="str">
        <f>IFERROR(VLOOKUP(F293,設定メニュー!$B$5:$C$30,2,0),"")</f>
        <v/>
      </c>
      <c r="F293" s="65" t="str">
        <f>IFERROR(VLOOKUP(B293,設定メニュー!$U$5:$W$30,2,0),"")</f>
        <v/>
      </c>
      <c r="G293" s="66"/>
      <c r="H293" s="60" t="str">
        <f>IFERROR(VLOOKUP(I293,設定メニュー!$B$5:$C$30,2,0),"")</f>
        <v/>
      </c>
      <c r="I293" s="55" t="str">
        <f>IFERROR(VLOOKUP(B293,設定メニュー!$U$5:$W$30,3,0),"")</f>
        <v/>
      </c>
      <c r="J293" s="809" t="str">
        <f t="shared" si="5"/>
        <v/>
      </c>
    </row>
    <row r="294" spans="1:10" ht="20.100000000000001" customHeight="1">
      <c r="A294" s="64"/>
      <c r="B294" s="48"/>
      <c r="C294" s="48"/>
      <c r="D294" s="585"/>
      <c r="E294" s="60" t="str">
        <f>IFERROR(VLOOKUP(F294,設定メニュー!$B$5:$C$30,2,0),"")</f>
        <v/>
      </c>
      <c r="F294" s="65" t="str">
        <f>IFERROR(VLOOKUP(B294,設定メニュー!$U$5:$W$30,2,0),"")</f>
        <v/>
      </c>
      <c r="G294" s="66"/>
      <c r="H294" s="60" t="str">
        <f>IFERROR(VLOOKUP(I294,設定メニュー!$B$5:$C$30,2,0),"")</f>
        <v/>
      </c>
      <c r="I294" s="55" t="str">
        <f>IFERROR(VLOOKUP(B294,設定メニュー!$U$5:$W$30,3,0),"")</f>
        <v/>
      </c>
      <c r="J294" s="809" t="str">
        <f t="shared" si="5"/>
        <v/>
      </c>
    </row>
    <row r="295" spans="1:10" ht="20.100000000000001" customHeight="1">
      <c r="A295" s="64"/>
      <c r="B295" s="48"/>
      <c r="C295" s="48"/>
      <c r="D295" s="585"/>
      <c r="E295" s="60" t="str">
        <f>IFERROR(VLOOKUP(F295,設定メニュー!$B$5:$C$30,2,0),"")</f>
        <v/>
      </c>
      <c r="F295" s="65" t="str">
        <f>IFERROR(VLOOKUP(B295,設定メニュー!$U$5:$W$30,2,0),"")</f>
        <v/>
      </c>
      <c r="G295" s="66"/>
      <c r="H295" s="60" t="str">
        <f>IFERROR(VLOOKUP(I295,設定メニュー!$B$5:$C$30,2,0),"")</f>
        <v/>
      </c>
      <c r="I295" s="55" t="str">
        <f>IFERROR(VLOOKUP(B295,設定メニュー!$U$5:$W$30,3,0),"")</f>
        <v/>
      </c>
      <c r="J295" s="809" t="str">
        <f t="shared" si="5"/>
        <v/>
      </c>
    </row>
    <row r="296" spans="1:10" ht="20.100000000000001" customHeight="1">
      <c r="A296" s="64"/>
      <c r="B296" s="48"/>
      <c r="C296" s="48"/>
      <c r="D296" s="585"/>
      <c r="E296" s="60" t="str">
        <f>IFERROR(VLOOKUP(F296,設定メニュー!$B$5:$C$30,2,0),"")</f>
        <v/>
      </c>
      <c r="F296" s="65" t="str">
        <f>IFERROR(VLOOKUP(B296,設定メニュー!$U$5:$W$30,2,0),"")</f>
        <v/>
      </c>
      <c r="G296" s="66"/>
      <c r="H296" s="60" t="str">
        <f>IFERROR(VLOOKUP(I296,設定メニュー!$B$5:$C$30,2,0),"")</f>
        <v/>
      </c>
      <c r="I296" s="55" t="str">
        <f>IFERROR(VLOOKUP(B296,設定メニュー!$U$5:$W$30,3,0),"")</f>
        <v/>
      </c>
      <c r="J296" s="809" t="str">
        <f t="shared" si="5"/>
        <v/>
      </c>
    </row>
    <row r="297" spans="1:10" ht="20.100000000000001" customHeight="1">
      <c r="A297" s="64"/>
      <c r="B297" s="48"/>
      <c r="C297" s="48"/>
      <c r="D297" s="585"/>
      <c r="E297" s="60" t="str">
        <f>IFERROR(VLOOKUP(F297,設定メニュー!$B$5:$C$30,2,0),"")</f>
        <v/>
      </c>
      <c r="F297" s="65" t="str">
        <f>IFERROR(VLOOKUP(B297,設定メニュー!$U$5:$W$30,2,0),"")</f>
        <v/>
      </c>
      <c r="G297" s="66"/>
      <c r="H297" s="60" t="str">
        <f>IFERROR(VLOOKUP(I297,設定メニュー!$B$5:$C$30,2,0),"")</f>
        <v/>
      </c>
      <c r="I297" s="55" t="str">
        <f>IFERROR(VLOOKUP(B297,設定メニュー!$U$5:$W$30,3,0),"")</f>
        <v/>
      </c>
      <c r="J297" s="809" t="str">
        <f t="shared" si="5"/>
        <v/>
      </c>
    </row>
    <row r="298" spans="1:10" ht="20.100000000000001" customHeight="1">
      <c r="A298" s="64"/>
      <c r="B298" s="48"/>
      <c r="C298" s="48"/>
      <c r="D298" s="585"/>
      <c r="E298" s="60" t="str">
        <f>IFERROR(VLOOKUP(F298,設定メニュー!$B$5:$C$30,2,0),"")</f>
        <v/>
      </c>
      <c r="F298" s="65" t="str">
        <f>IFERROR(VLOOKUP(B298,設定メニュー!$U$5:$W$30,2,0),"")</f>
        <v/>
      </c>
      <c r="G298" s="66"/>
      <c r="H298" s="60" t="str">
        <f>IFERROR(VLOOKUP(I298,設定メニュー!$B$5:$C$30,2,0),"")</f>
        <v/>
      </c>
      <c r="I298" s="55" t="str">
        <f>IFERROR(VLOOKUP(B298,設定メニュー!$U$5:$W$30,3,0),"")</f>
        <v/>
      </c>
      <c r="J298" s="809" t="str">
        <f t="shared" si="5"/>
        <v/>
      </c>
    </row>
    <row r="299" spans="1:10" ht="20.100000000000001" customHeight="1">
      <c r="A299" s="64"/>
      <c r="B299" s="48"/>
      <c r="C299" s="48"/>
      <c r="D299" s="585"/>
      <c r="E299" s="60" t="str">
        <f>IFERROR(VLOOKUP(F299,設定メニュー!$B$5:$C$30,2,0),"")</f>
        <v/>
      </c>
      <c r="F299" s="65" t="str">
        <f>IFERROR(VLOOKUP(B299,設定メニュー!$U$5:$W$30,2,0),"")</f>
        <v/>
      </c>
      <c r="G299" s="66"/>
      <c r="H299" s="60" t="str">
        <f>IFERROR(VLOOKUP(I299,設定メニュー!$B$5:$C$30,2,0),"")</f>
        <v/>
      </c>
      <c r="I299" s="55" t="str">
        <f>IFERROR(VLOOKUP(B299,設定メニュー!$U$5:$W$30,3,0),"")</f>
        <v/>
      </c>
      <c r="J299" s="809" t="str">
        <f t="shared" si="5"/>
        <v/>
      </c>
    </row>
    <row r="300" spans="1:10" ht="20.100000000000001" customHeight="1">
      <c r="A300" s="64"/>
      <c r="B300" s="48"/>
      <c r="C300" s="48"/>
      <c r="D300" s="585"/>
      <c r="E300" s="60" t="str">
        <f>IFERROR(VLOOKUP(F300,設定メニュー!$B$5:$C$30,2,0),"")</f>
        <v/>
      </c>
      <c r="F300" s="65" t="str">
        <f>IFERROR(VLOOKUP(B300,設定メニュー!$U$5:$W$30,2,0),"")</f>
        <v/>
      </c>
      <c r="G300" s="66"/>
      <c r="H300" s="60" t="str">
        <f>IFERROR(VLOOKUP(I300,設定メニュー!$B$5:$C$30,2,0),"")</f>
        <v/>
      </c>
      <c r="I300" s="55" t="str">
        <f>IFERROR(VLOOKUP(B300,設定メニュー!$U$5:$W$30,3,0),"")</f>
        <v/>
      </c>
      <c r="J300" s="809" t="str">
        <f t="shared" si="5"/>
        <v/>
      </c>
    </row>
    <row r="301" spans="1:10" ht="20.100000000000001" customHeight="1">
      <c r="A301" s="64"/>
      <c r="B301" s="48"/>
      <c r="C301" s="48"/>
      <c r="D301" s="585"/>
      <c r="E301" s="60" t="str">
        <f>IFERROR(VLOOKUP(F301,設定メニュー!$B$5:$C$30,2,0),"")</f>
        <v/>
      </c>
      <c r="F301" s="65" t="str">
        <f>IFERROR(VLOOKUP(B301,設定メニュー!$U$5:$W$30,2,0),"")</f>
        <v/>
      </c>
      <c r="G301" s="66"/>
      <c r="H301" s="60" t="str">
        <f>IFERROR(VLOOKUP(I301,設定メニュー!$B$5:$C$30,2,0),"")</f>
        <v/>
      </c>
      <c r="I301" s="55" t="str">
        <f>IFERROR(VLOOKUP(B301,設定メニュー!$U$5:$W$30,3,0),"")</f>
        <v/>
      </c>
      <c r="J301" s="809" t="str">
        <f t="shared" si="5"/>
        <v/>
      </c>
    </row>
    <row r="302" spans="1:10" ht="20.100000000000001" customHeight="1">
      <c r="A302" s="64"/>
      <c r="B302" s="48"/>
      <c r="C302" s="48"/>
      <c r="D302" s="585"/>
      <c r="E302" s="60" t="str">
        <f>IFERROR(VLOOKUP(F302,設定メニュー!$B$5:$C$30,2,0),"")</f>
        <v/>
      </c>
      <c r="F302" s="65" t="str">
        <f>IFERROR(VLOOKUP(B302,設定メニュー!$U$5:$W$30,2,0),"")</f>
        <v/>
      </c>
      <c r="G302" s="66"/>
      <c r="H302" s="60" t="str">
        <f>IFERROR(VLOOKUP(I302,設定メニュー!$B$5:$C$30,2,0),"")</f>
        <v/>
      </c>
      <c r="I302" s="55" t="str">
        <f>IFERROR(VLOOKUP(B302,設定メニュー!$U$5:$W$30,3,0),"")</f>
        <v/>
      </c>
      <c r="J302" s="809" t="str">
        <f t="shared" si="5"/>
        <v/>
      </c>
    </row>
    <row r="303" spans="1:10" ht="20.100000000000001" customHeight="1">
      <c r="A303" s="64"/>
      <c r="B303" s="48"/>
      <c r="C303" s="48"/>
      <c r="D303" s="585"/>
      <c r="E303" s="60" t="str">
        <f>IFERROR(VLOOKUP(F303,設定メニュー!$B$5:$C$30,2,0),"")</f>
        <v/>
      </c>
      <c r="F303" s="65" t="str">
        <f>IFERROR(VLOOKUP(B303,設定メニュー!$U$5:$W$30,2,0),"")</f>
        <v/>
      </c>
      <c r="G303" s="66"/>
      <c r="H303" s="60" t="str">
        <f>IFERROR(VLOOKUP(I303,設定メニュー!$B$5:$C$30,2,0),"")</f>
        <v/>
      </c>
      <c r="I303" s="55" t="str">
        <f>IFERROR(VLOOKUP(B303,設定メニュー!$U$5:$W$30,3,0),"")</f>
        <v/>
      </c>
      <c r="J303" s="809" t="str">
        <f t="shared" si="5"/>
        <v/>
      </c>
    </row>
    <row r="304" spans="1:10" ht="20.100000000000001" customHeight="1">
      <c r="A304" s="64"/>
      <c r="B304" s="48"/>
      <c r="C304" s="48"/>
      <c r="D304" s="585"/>
      <c r="E304" s="60" t="str">
        <f>IFERROR(VLOOKUP(F304,設定メニュー!$B$5:$C$30,2,0),"")</f>
        <v/>
      </c>
      <c r="F304" s="65" t="str">
        <f>IFERROR(VLOOKUP(B304,設定メニュー!$U$5:$W$30,2,0),"")</f>
        <v/>
      </c>
      <c r="G304" s="66"/>
      <c r="H304" s="60" t="str">
        <f>IFERROR(VLOOKUP(I304,設定メニュー!$B$5:$C$30,2,0),"")</f>
        <v/>
      </c>
      <c r="I304" s="55" t="str">
        <f>IFERROR(VLOOKUP(B304,設定メニュー!$U$5:$W$30,3,0),"")</f>
        <v/>
      </c>
      <c r="J304" s="809" t="str">
        <f t="shared" si="5"/>
        <v/>
      </c>
    </row>
    <row r="305" spans="1:10" ht="20.100000000000001" customHeight="1">
      <c r="A305" s="64"/>
      <c r="B305" s="48"/>
      <c r="C305" s="48"/>
      <c r="D305" s="585"/>
      <c r="E305" s="60" t="str">
        <f>IFERROR(VLOOKUP(F305,設定メニュー!$B$5:$C$30,2,0),"")</f>
        <v/>
      </c>
      <c r="F305" s="65" t="str">
        <f>IFERROR(VLOOKUP(B305,設定メニュー!$U$5:$W$30,2,0),"")</f>
        <v/>
      </c>
      <c r="G305" s="66"/>
      <c r="H305" s="60" t="str">
        <f>IFERROR(VLOOKUP(I305,設定メニュー!$B$5:$C$30,2,0),"")</f>
        <v/>
      </c>
      <c r="I305" s="55" t="str">
        <f>IFERROR(VLOOKUP(B305,設定メニュー!$U$5:$W$30,3,0),"")</f>
        <v/>
      </c>
      <c r="J305" s="809" t="str">
        <f t="shared" ref="J305:J323" si="6">IF(G305&lt;&gt;"",G305,"")</f>
        <v/>
      </c>
    </row>
    <row r="306" spans="1:10" ht="20.100000000000001" customHeight="1">
      <c r="A306" s="64"/>
      <c r="B306" s="48"/>
      <c r="C306" s="48"/>
      <c r="D306" s="585"/>
      <c r="E306" s="60" t="str">
        <f>IFERROR(VLOOKUP(F306,設定メニュー!$B$5:$C$30,2,0),"")</f>
        <v/>
      </c>
      <c r="F306" s="65" t="str">
        <f>IFERROR(VLOOKUP(B306,設定メニュー!$U$5:$W$30,2,0),"")</f>
        <v/>
      </c>
      <c r="G306" s="66"/>
      <c r="H306" s="60" t="str">
        <f>IFERROR(VLOOKUP(I306,設定メニュー!$B$5:$C$30,2,0),"")</f>
        <v/>
      </c>
      <c r="I306" s="55" t="str">
        <f>IFERROR(VLOOKUP(B306,設定メニュー!$U$5:$W$30,3,0),"")</f>
        <v/>
      </c>
      <c r="J306" s="809" t="str">
        <f t="shared" si="6"/>
        <v/>
      </c>
    </row>
    <row r="307" spans="1:10" ht="20.100000000000001" customHeight="1">
      <c r="A307" s="64"/>
      <c r="B307" s="48"/>
      <c r="C307" s="48"/>
      <c r="D307" s="585"/>
      <c r="E307" s="60" t="str">
        <f>IFERROR(VLOOKUP(F307,設定メニュー!$B$5:$C$30,2,0),"")</f>
        <v/>
      </c>
      <c r="F307" s="65" t="str">
        <f>IFERROR(VLOOKUP(B307,設定メニュー!$U$5:$W$30,2,0),"")</f>
        <v/>
      </c>
      <c r="G307" s="66"/>
      <c r="H307" s="60" t="str">
        <f>IFERROR(VLOOKUP(I307,設定メニュー!$B$5:$C$30,2,0),"")</f>
        <v/>
      </c>
      <c r="I307" s="55" t="str">
        <f>IFERROR(VLOOKUP(B307,設定メニュー!$U$5:$W$30,3,0),"")</f>
        <v/>
      </c>
      <c r="J307" s="809" t="str">
        <f t="shared" si="6"/>
        <v/>
      </c>
    </row>
    <row r="308" spans="1:10" ht="20.100000000000001" customHeight="1">
      <c r="A308" s="64"/>
      <c r="B308" s="48"/>
      <c r="C308" s="48"/>
      <c r="D308" s="585"/>
      <c r="E308" s="60" t="str">
        <f>IFERROR(VLOOKUP(F308,設定メニュー!$B$5:$C$30,2,0),"")</f>
        <v/>
      </c>
      <c r="F308" s="65" t="str">
        <f>IFERROR(VLOOKUP(B308,設定メニュー!$U$5:$W$30,2,0),"")</f>
        <v/>
      </c>
      <c r="G308" s="66"/>
      <c r="H308" s="60" t="str">
        <f>IFERROR(VLOOKUP(I308,設定メニュー!$B$5:$C$30,2,0),"")</f>
        <v/>
      </c>
      <c r="I308" s="55" t="str">
        <f>IFERROR(VLOOKUP(B308,設定メニュー!$U$5:$W$30,3,0),"")</f>
        <v/>
      </c>
      <c r="J308" s="809" t="str">
        <f t="shared" si="6"/>
        <v/>
      </c>
    </row>
    <row r="309" spans="1:10" ht="20.100000000000001" customHeight="1">
      <c r="A309" s="64"/>
      <c r="B309" s="48"/>
      <c r="C309" s="48"/>
      <c r="D309" s="585"/>
      <c r="E309" s="60" t="str">
        <f>IFERROR(VLOOKUP(F309,設定メニュー!$B$5:$C$30,2,0),"")</f>
        <v/>
      </c>
      <c r="F309" s="65" t="str">
        <f>IFERROR(VLOOKUP(B309,設定メニュー!$U$5:$W$30,2,0),"")</f>
        <v/>
      </c>
      <c r="G309" s="66"/>
      <c r="H309" s="60" t="str">
        <f>IFERROR(VLOOKUP(I309,設定メニュー!$B$5:$C$30,2,0),"")</f>
        <v/>
      </c>
      <c r="I309" s="55" t="str">
        <f>IFERROR(VLOOKUP(B309,設定メニュー!$U$5:$W$30,3,0),"")</f>
        <v/>
      </c>
      <c r="J309" s="809" t="str">
        <f t="shared" si="6"/>
        <v/>
      </c>
    </row>
    <row r="310" spans="1:10" ht="20.100000000000001" customHeight="1">
      <c r="A310" s="64"/>
      <c r="B310" s="48"/>
      <c r="C310" s="48"/>
      <c r="D310" s="585"/>
      <c r="E310" s="60" t="str">
        <f>IFERROR(VLOOKUP(F310,設定メニュー!$B$5:$C$30,2,0),"")</f>
        <v/>
      </c>
      <c r="F310" s="65" t="str">
        <f>IFERROR(VLOOKUP(B310,設定メニュー!$U$5:$W$30,2,0),"")</f>
        <v/>
      </c>
      <c r="G310" s="66"/>
      <c r="H310" s="60" t="str">
        <f>IFERROR(VLOOKUP(I310,設定メニュー!$B$5:$C$30,2,0),"")</f>
        <v/>
      </c>
      <c r="I310" s="55" t="str">
        <f>IFERROR(VLOOKUP(B310,設定メニュー!$U$5:$W$30,3,0),"")</f>
        <v/>
      </c>
      <c r="J310" s="809" t="str">
        <f t="shared" si="6"/>
        <v/>
      </c>
    </row>
    <row r="311" spans="1:10" ht="20.100000000000001" customHeight="1">
      <c r="A311" s="64"/>
      <c r="B311" s="48"/>
      <c r="C311" s="48"/>
      <c r="D311" s="585"/>
      <c r="E311" s="60" t="str">
        <f>IFERROR(VLOOKUP(F311,設定メニュー!$B$5:$C$30,2,0),"")</f>
        <v/>
      </c>
      <c r="F311" s="65" t="str">
        <f>IFERROR(VLOOKUP(B311,設定メニュー!$U$5:$W$30,2,0),"")</f>
        <v/>
      </c>
      <c r="G311" s="66"/>
      <c r="H311" s="60" t="str">
        <f>IFERROR(VLOOKUP(I311,設定メニュー!$B$5:$C$30,2,0),"")</f>
        <v/>
      </c>
      <c r="I311" s="55" t="str">
        <f>IFERROR(VLOOKUP(B311,設定メニュー!$U$5:$W$30,3,0),"")</f>
        <v/>
      </c>
      <c r="J311" s="809" t="str">
        <f t="shared" si="6"/>
        <v/>
      </c>
    </row>
    <row r="312" spans="1:10" ht="20.100000000000001" customHeight="1">
      <c r="A312" s="64"/>
      <c r="B312" s="48"/>
      <c r="C312" s="48"/>
      <c r="D312" s="585"/>
      <c r="E312" s="60" t="str">
        <f>IFERROR(VLOOKUP(F312,設定メニュー!$B$5:$C$30,2,0),"")</f>
        <v/>
      </c>
      <c r="F312" s="65" t="str">
        <f>IFERROR(VLOOKUP(B312,設定メニュー!$U$5:$W$30,2,0),"")</f>
        <v/>
      </c>
      <c r="G312" s="66"/>
      <c r="H312" s="60" t="str">
        <f>IFERROR(VLOOKUP(I312,設定メニュー!$B$5:$C$30,2,0),"")</f>
        <v/>
      </c>
      <c r="I312" s="55" t="str">
        <f>IFERROR(VLOOKUP(B312,設定メニュー!$U$5:$W$30,3,0),"")</f>
        <v/>
      </c>
      <c r="J312" s="809" t="str">
        <f t="shared" si="6"/>
        <v/>
      </c>
    </row>
    <row r="313" spans="1:10" ht="20.100000000000001" customHeight="1">
      <c r="A313" s="64"/>
      <c r="B313" s="48"/>
      <c r="C313" s="48"/>
      <c r="D313" s="585"/>
      <c r="E313" s="60" t="str">
        <f>IFERROR(VLOOKUP(F313,設定メニュー!$B$5:$C$30,2,0),"")</f>
        <v/>
      </c>
      <c r="F313" s="65" t="str">
        <f>IFERROR(VLOOKUP(B313,設定メニュー!$U$5:$W$30,2,0),"")</f>
        <v/>
      </c>
      <c r="G313" s="66"/>
      <c r="H313" s="60" t="str">
        <f>IFERROR(VLOOKUP(I313,設定メニュー!$B$5:$C$30,2,0),"")</f>
        <v/>
      </c>
      <c r="I313" s="55" t="str">
        <f>IFERROR(VLOOKUP(B313,設定メニュー!$U$5:$W$30,3,0),"")</f>
        <v/>
      </c>
      <c r="J313" s="809" t="str">
        <f t="shared" si="6"/>
        <v/>
      </c>
    </row>
    <row r="314" spans="1:10" ht="20.100000000000001" customHeight="1">
      <c r="A314" s="64"/>
      <c r="B314" s="48"/>
      <c r="C314" s="48"/>
      <c r="D314" s="585"/>
      <c r="E314" s="60" t="str">
        <f>IFERROR(VLOOKUP(F314,設定メニュー!$B$5:$C$30,2,0),"")</f>
        <v/>
      </c>
      <c r="F314" s="65" t="str">
        <f>IFERROR(VLOOKUP(B314,設定メニュー!$U$5:$W$30,2,0),"")</f>
        <v/>
      </c>
      <c r="G314" s="66"/>
      <c r="H314" s="60" t="str">
        <f>IFERROR(VLOOKUP(I314,設定メニュー!$B$5:$C$30,2,0),"")</f>
        <v/>
      </c>
      <c r="I314" s="55" t="str">
        <f>IFERROR(VLOOKUP(B314,設定メニュー!$U$5:$W$30,3,0),"")</f>
        <v/>
      </c>
      <c r="J314" s="809" t="str">
        <f t="shared" si="6"/>
        <v/>
      </c>
    </row>
    <row r="315" spans="1:10" ht="20.100000000000001" customHeight="1">
      <c r="A315" s="64"/>
      <c r="B315" s="48"/>
      <c r="C315" s="48"/>
      <c r="D315" s="585"/>
      <c r="E315" s="60" t="str">
        <f>IFERROR(VLOOKUP(F315,設定メニュー!$B$5:$C$30,2,0),"")</f>
        <v/>
      </c>
      <c r="F315" s="65" t="str">
        <f>IFERROR(VLOOKUP(B315,設定メニュー!$U$5:$W$30,2,0),"")</f>
        <v/>
      </c>
      <c r="G315" s="66"/>
      <c r="H315" s="60" t="str">
        <f>IFERROR(VLOOKUP(I315,設定メニュー!$B$5:$C$30,2,0),"")</f>
        <v/>
      </c>
      <c r="I315" s="55" t="str">
        <f>IFERROR(VLOOKUP(B315,設定メニュー!$U$5:$W$30,3,0),"")</f>
        <v/>
      </c>
      <c r="J315" s="809" t="str">
        <f t="shared" si="6"/>
        <v/>
      </c>
    </row>
    <row r="316" spans="1:10" ht="20.100000000000001" customHeight="1">
      <c r="A316" s="64"/>
      <c r="B316" s="48"/>
      <c r="C316" s="48"/>
      <c r="D316" s="585"/>
      <c r="E316" s="60" t="str">
        <f>IFERROR(VLOOKUP(F316,設定メニュー!$B$5:$C$30,2,0),"")</f>
        <v/>
      </c>
      <c r="F316" s="65" t="str">
        <f>IFERROR(VLOOKUP(B316,設定メニュー!$U$5:$W$30,2,0),"")</f>
        <v/>
      </c>
      <c r="G316" s="66"/>
      <c r="H316" s="60" t="str">
        <f>IFERROR(VLOOKUP(I316,設定メニュー!$B$5:$C$30,2,0),"")</f>
        <v/>
      </c>
      <c r="I316" s="55" t="str">
        <f>IFERROR(VLOOKUP(B316,設定メニュー!$U$5:$W$30,3,0),"")</f>
        <v/>
      </c>
      <c r="J316" s="809" t="str">
        <f t="shared" si="6"/>
        <v/>
      </c>
    </row>
    <row r="317" spans="1:10" ht="20.100000000000001" customHeight="1">
      <c r="A317" s="64"/>
      <c r="B317" s="48"/>
      <c r="C317" s="48"/>
      <c r="D317" s="585"/>
      <c r="E317" s="60" t="str">
        <f>IFERROR(VLOOKUP(F317,設定メニュー!$B$5:$C$30,2,0),"")</f>
        <v/>
      </c>
      <c r="F317" s="65" t="str">
        <f>IFERROR(VLOOKUP(B317,設定メニュー!$U$5:$W$30,2,0),"")</f>
        <v/>
      </c>
      <c r="G317" s="66"/>
      <c r="H317" s="60" t="str">
        <f>IFERROR(VLOOKUP(I317,設定メニュー!$B$5:$C$30,2,0),"")</f>
        <v/>
      </c>
      <c r="I317" s="55" t="str">
        <f>IFERROR(VLOOKUP(B317,設定メニュー!$U$5:$W$30,3,0),"")</f>
        <v/>
      </c>
      <c r="J317" s="809" t="str">
        <f t="shared" si="6"/>
        <v/>
      </c>
    </row>
    <row r="318" spans="1:10" ht="20.100000000000001" customHeight="1">
      <c r="A318" s="64"/>
      <c r="B318" s="48"/>
      <c r="C318" s="48"/>
      <c r="D318" s="585"/>
      <c r="E318" s="60" t="str">
        <f>IFERROR(VLOOKUP(F318,設定メニュー!$B$5:$C$30,2,0),"")</f>
        <v/>
      </c>
      <c r="F318" s="65" t="str">
        <f>IFERROR(VLOOKUP(B318,設定メニュー!$U$5:$W$30,2,0),"")</f>
        <v/>
      </c>
      <c r="G318" s="66"/>
      <c r="H318" s="60" t="str">
        <f>IFERROR(VLOOKUP(I318,設定メニュー!$B$5:$C$30,2,0),"")</f>
        <v/>
      </c>
      <c r="I318" s="55" t="str">
        <f>IFERROR(VLOOKUP(B318,設定メニュー!$U$5:$W$30,3,0),"")</f>
        <v/>
      </c>
      <c r="J318" s="809" t="str">
        <f t="shared" si="6"/>
        <v/>
      </c>
    </row>
    <row r="319" spans="1:10" ht="20.100000000000001" customHeight="1">
      <c r="A319" s="64"/>
      <c r="B319" s="48"/>
      <c r="C319" s="48"/>
      <c r="D319" s="585"/>
      <c r="E319" s="60" t="str">
        <f>IFERROR(VLOOKUP(F319,設定メニュー!$B$5:$C$30,2,0),"")</f>
        <v/>
      </c>
      <c r="F319" s="65" t="str">
        <f>IFERROR(VLOOKUP(B319,設定メニュー!$U$5:$W$30,2,0),"")</f>
        <v/>
      </c>
      <c r="G319" s="66"/>
      <c r="H319" s="60" t="str">
        <f>IFERROR(VLOOKUP(I319,設定メニュー!$B$5:$C$30,2,0),"")</f>
        <v/>
      </c>
      <c r="I319" s="55" t="str">
        <f>IFERROR(VLOOKUP(B319,設定メニュー!$U$5:$W$30,3,0),"")</f>
        <v/>
      </c>
      <c r="J319" s="809" t="str">
        <f t="shared" si="6"/>
        <v/>
      </c>
    </row>
    <row r="320" spans="1:10" ht="20.100000000000001" customHeight="1">
      <c r="A320" s="64"/>
      <c r="B320" s="48"/>
      <c r="C320" s="48"/>
      <c r="D320" s="585"/>
      <c r="E320" s="60" t="str">
        <f>IFERROR(VLOOKUP(F320,設定メニュー!$B$5:$C$30,2,0),"")</f>
        <v/>
      </c>
      <c r="F320" s="65" t="str">
        <f>IFERROR(VLOOKUP(B320,設定メニュー!$U$5:$W$30,2,0),"")</f>
        <v/>
      </c>
      <c r="G320" s="66"/>
      <c r="H320" s="60" t="str">
        <f>IFERROR(VLOOKUP(I320,設定メニュー!$B$5:$C$30,2,0),"")</f>
        <v/>
      </c>
      <c r="I320" s="55" t="str">
        <f>IFERROR(VLOOKUP(B320,設定メニュー!$U$5:$W$30,3,0),"")</f>
        <v/>
      </c>
      <c r="J320" s="809" t="str">
        <f t="shared" si="6"/>
        <v/>
      </c>
    </row>
    <row r="321" spans="1:10" ht="20.100000000000001" customHeight="1">
      <c r="A321" s="64"/>
      <c r="B321" s="48"/>
      <c r="C321" s="48"/>
      <c r="D321" s="585"/>
      <c r="E321" s="60" t="str">
        <f>IFERROR(VLOOKUP(F321,設定メニュー!$B$5:$C$30,2,0),"")</f>
        <v/>
      </c>
      <c r="F321" s="65" t="str">
        <f>IFERROR(VLOOKUP(B321,設定メニュー!$U$5:$W$30,2,0),"")</f>
        <v/>
      </c>
      <c r="G321" s="66"/>
      <c r="H321" s="60" t="str">
        <f>IFERROR(VLOOKUP(I321,設定メニュー!$B$5:$C$30,2,0),"")</f>
        <v/>
      </c>
      <c r="I321" s="55" t="str">
        <f>IFERROR(VLOOKUP(B321,設定メニュー!$U$5:$W$30,3,0),"")</f>
        <v/>
      </c>
      <c r="J321" s="809" t="str">
        <f t="shared" si="6"/>
        <v/>
      </c>
    </row>
    <row r="322" spans="1:10" ht="20.100000000000001" customHeight="1">
      <c r="A322" s="64"/>
      <c r="B322" s="48"/>
      <c r="C322" s="48"/>
      <c r="D322" s="585"/>
      <c r="E322" s="60" t="str">
        <f>IFERROR(VLOOKUP(F322,設定メニュー!$B$5:$C$30,2,0),"")</f>
        <v/>
      </c>
      <c r="F322" s="65" t="str">
        <f>IFERROR(VLOOKUP(B322,設定メニュー!$U$5:$W$30,2,0),"")</f>
        <v/>
      </c>
      <c r="G322" s="66"/>
      <c r="H322" s="60" t="str">
        <f>IFERROR(VLOOKUP(I322,設定メニュー!$B$5:$C$30,2,0),"")</f>
        <v/>
      </c>
      <c r="I322" s="55" t="str">
        <f>IFERROR(VLOOKUP(B322,設定メニュー!$U$5:$W$30,3,0),"")</f>
        <v/>
      </c>
      <c r="J322" s="809" t="str">
        <f t="shared" si="6"/>
        <v/>
      </c>
    </row>
    <row r="323" spans="1:10" ht="20.100000000000001" customHeight="1">
      <c r="A323" s="64"/>
      <c r="B323" s="48"/>
      <c r="C323" s="48"/>
      <c r="D323" s="585"/>
      <c r="E323" s="60" t="str">
        <f>IFERROR(VLOOKUP(F323,設定メニュー!$B$5:$C$30,2,0),"")</f>
        <v/>
      </c>
      <c r="F323" s="65" t="str">
        <f>IFERROR(VLOOKUP(B323,設定メニュー!$U$5:$W$30,2,0),"")</f>
        <v/>
      </c>
      <c r="G323" s="66"/>
      <c r="H323" s="60" t="str">
        <f>IFERROR(VLOOKUP(I323,設定メニュー!$B$5:$C$30,2,0),"")</f>
        <v/>
      </c>
      <c r="I323" s="55" t="str">
        <f>IFERROR(VLOOKUP(B323,設定メニュー!$U$5:$W$30,3,0),"")</f>
        <v/>
      </c>
      <c r="J323" s="809" t="str">
        <f t="shared" si="6"/>
        <v/>
      </c>
    </row>
    <row r="324" spans="1:10" ht="20.100000000000001" customHeight="1">
      <c r="A324" s="64"/>
      <c r="B324" s="48"/>
      <c r="C324" s="48"/>
      <c r="D324" s="585"/>
      <c r="E324" s="60" t="str">
        <f>IFERROR(VLOOKUP(F324,設定メニュー!$B$5:$C$30,2,0),"")</f>
        <v/>
      </c>
      <c r="F324" s="65" t="str">
        <f>IFERROR(VLOOKUP(B324,設定メニュー!$U$5:$W$30,2,0),"")</f>
        <v/>
      </c>
      <c r="G324" s="66"/>
      <c r="H324" s="60" t="str">
        <f>IFERROR(VLOOKUP(I324,設定メニュー!$B$5:$C$30,2,0),"")</f>
        <v/>
      </c>
      <c r="I324" s="55" t="str">
        <f>IFERROR(VLOOKUP(B324,設定メニュー!$U$5:$W$30,3,0),"")</f>
        <v/>
      </c>
      <c r="J324" s="809" t="str">
        <f t="shared" ref="J324:J387" si="7">IF(G324&lt;&gt;"",G324,"")</f>
        <v/>
      </c>
    </row>
    <row r="325" spans="1:10" ht="20.100000000000001" customHeight="1">
      <c r="A325" s="64"/>
      <c r="B325" s="48"/>
      <c r="C325" s="48"/>
      <c r="D325" s="585"/>
      <c r="E325" s="60" t="str">
        <f>IFERROR(VLOOKUP(F325,設定メニュー!$B$5:$C$30,2,0),"")</f>
        <v/>
      </c>
      <c r="F325" s="65" t="str">
        <f>IFERROR(VLOOKUP(B325,設定メニュー!$U$5:$W$30,2,0),"")</f>
        <v/>
      </c>
      <c r="G325" s="66"/>
      <c r="H325" s="60" t="str">
        <f>IFERROR(VLOOKUP(I325,設定メニュー!$B$5:$C$30,2,0),"")</f>
        <v/>
      </c>
      <c r="I325" s="55" t="str">
        <f>IFERROR(VLOOKUP(B325,設定メニュー!$U$5:$W$30,3,0),"")</f>
        <v/>
      </c>
      <c r="J325" s="809" t="str">
        <f t="shared" si="7"/>
        <v/>
      </c>
    </row>
    <row r="326" spans="1:10" ht="20.100000000000001" customHeight="1">
      <c r="A326" s="64"/>
      <c r="B326" s="48"/>
      <c r="C326" s="48"/>
      <c r="D326" s="585"/>
      <c r="E326" s="60" t="str">
        <f>IFERROR(VLOOKUP(F326,設定メニュー!$B$5:$C$30,2,0),"")</f>
        <v/>
      </c>
      <c r="F326" s="65" t="str">
        <f>IFERROR(VLOOKUP(B326,設定メニュー!$U$5:$W$30,2,0),"")</f>
        <v/>
      </c>
      <c r="G326" s="66"/>
      <c r="H326" s="60" t="str">
        <f>IFERROR(VLOOKUP(I326,設定メニュー!$B$5:$C$30,2,0),"")</f>
        <v/>
      </c>
      <c r="I326" s="55" t="str">
        <f>IFERROR(VLOOKUP(B326,設定メニュー!$U$5:$W$30,3,0),"")</f>
        <v/>
      </c>
      <c r="J326" s="809" t="str">
        <f t="shared" si="7"/>
        <v/>
      </c>
    </row>
    <row r="327" spans="1:10" ht="20.100000000000001" customHeight="1">
      <c r="A327" s="64"/>
      <c r="B327" s="48"/>
      <c r="C327" s="48"/>
      <c r="D327" s="585"/>
      <c r="E327" s="60" t="str">
        <f>IFERROR(VLOOKUP(F327,設定メニュー!$B$5:$C$30,2,0),"")</f>
        <v/>
      </c>
      <c r="F327" s="65" t="str">
        <f>IFERROR(VLOOKUP(B327,設定メニュー!$U$5:$W$30,2,0),"")</f>
        <v/>
      </c>
      <c r="G327" s="66"/>
      <c r="H327" s="60" t="str">
        <f>IFERROR(VLOOKUP(I327,設定メニュー!$B$5:$C$30,2,0),"")</f>
        <v/>
      </c>
      <c r="I327" s="55" t="str">
        <f>IFERROR(VLOOKUP(B327,設定メニュー!$U$5:$W$30,3,0),"")</f>
        <v/>
      </c>
      <c r="J327" s="809" t="str">
        <f t="shared" si="7"/>
        <v/>
      </c>
    </row>
    <row r="328" spans="1:10" ht="20.100000000000001" customHeight="1">
      <c r="A328" s="64"/>
      <c r="B328" s="48"/>
      <c r="C328" s="48"/>
      <c r="D328" s="585"/>
      <c r="E328" s="60" t="str">
        <f>IFERROR(VLOOKUP(F328,設定メニュー!$B$5:$C$30,2,0),"")</f>
        <v/>
      </c>
      <c r="F328" s="65" t="str">
        <f>IFERROR(VLOOKUP(B328,設定メニュー!$U$5:$W$30,2,0),"")</f>
        <v/>
      </c>
      <c r="G328" s="66"/>
      <c r="H328" s="60" t="str">
        <f>IFERROR(VLOOKUP(I328,設定メニュー!$B$5:$C$30,2,0),"")</f>
        <v/>
      </c>
      <c r="I328" s="55" t="str">
        <f>IFERROR(VLOOKUP(B328,設定メニュー!$U$5:$W$30,3,0),"")</f>
        <v/>
      </c>
      <c r="J328" s="809" t="str">
        <f t="shared" si="7"/>
        <v/>
      </c>
    </row>
    <row r="329" spans="1:10" ht="20.100000000000001" customHeight="1">
      <c r="A329" s="64"/>
      <c r="B329" s="48"/>
      <c r="C329" s="48"/>
      <c r="D329" s="585"/>
      <c r="E329" s="60" t="str">
        <f>IFERROR(VLOOKUP(F329,設定メニュー!$B$5:$C$30,2,0),"")</f>
        <v/>
      </c>
      <c r="F329" s="65" t="str">
        <f>IFERROR(VLOOKUP(B329,設定メニュー!$U$5:$W$30,2,0),"")</f>
        <v/>
      </c>
      <c r="G329" s="66"/>
      <c r="H329" s="60" t="str">
        <f>IFERROR(VLOOKUP(I329,設定メニュー!$B$5:$C$30,2,0),"")</f>
        <v/>
      </c>
      <c r="I329" s="55" t="str">
        <f>IFERROR(VLOOKUP(B329,設定メニュー!$U$5:$W$30,3,0),"")</f>
        <v/>
      </c>
      <c r="J329" s="809" t="str">
        <f t="shared" si="7"/>
        <v/>
      </c>
    </row>
    <row r="330" spans="1:10" ht="20.100000000000001" customHeight="1">
      <c r="A330" s="64"/>
      <c r="B330" s="48"/>
      <c r="C330" s="48"/>
      <c r="D330" s="585"/>
      <c r="E330" s="60" t="str">
        <f>IFERROR(VLOOKUP(F330,設定メニュー!$B$5:$C$30,2,0),"")</f>
        <v/>
      </c>
      <c r="F330" s="65" t="str">
        <f>IFERROR(VLOOKUP(B330,設定メニュー!$U$5:$W$30,2,0),"")</f>
        <v/>
      </c>
      <c r="G330" s="66"/>
      <c r="H330" s="60" t="str">
        <f>IFERROR(VLOOKUP(I330,設定メニュー!$B$5:$C$30,2,0),"")</f>
        <v/>
      </c>
      <c r="I330" s="55" t="str">
        <f>IFERROR(VLOOKUP(B330,設定メニュー!$U$5:$W$30,3,0),"")</f>
        <v/>
      </c>
      <c r="J330" s="809" t="str">
        <f t="shared" si="7"/>
        <v/>
      </c>
    </row>
    <row r="331" spans="1:10" ht="20.100000000000001" customHeight="1">
      <c r="A331" s="64"/>
      <c r="B331" s="48"/>
      <c r="C331" s="48"/>
      <c r="D331" s="585"/>
      <c r="E331" s="60" t="str">
        <f>IFERROR(VLOOKUP(F331,設定メニュー!$B$5:$C$30,2,0),"")</f>
        <v/>
      </c>
      <c r="F331" s="65" t="str">
        <f>IFERROR(VLOOKUP(B331,設定メニュー!$U$5:$W$30,2,0),"")</f>
        <v/>
      </c>
      <c r="G331" s="66"/>
      <c r="H331" s="60" t="str">
        <f>IFERROR(VLOOKUP(I331,設定メニュー!$B$5:$C$30,2,0),"")</f>
        <v/>
      </c>
      <c r="I331" s="55" t="str">
        <f>IFERROR(VLOOKUP(B331,設定メニュー!$U$5:$W$30,3,0),"")</f>
        <v/>
      </c>
      <c r="J331" s="809" t="str">
        <f t="shared" si="7"/>
        <v/>
      </c>
    </row>
    <row r="332" spans="1:10" ht="20.100000000000001" customHeight="1">
      <c r="A332" s="64"/>
      <c r="B332" s="48"/>
      <c r="C332" s="48"/>
      <c r="D332" s="585"/>
      <c r="E332" s="60" t="str">
        <f>IFERROR(VLOOKUP(F332,設定メニュー!$B$5:$C$30,2,0),"")</f>
        <v/>
      </c>
      <c r="F332" s="65" t="str">
        <f>IFERROR(VLOOKUP(B332,設定メニュー!$U$5:$W$30,2,0),"")</f>
        <v/>
      </c>
      <c r="G332" s="66"/>
      <c r="H332" s="60" t="str">
        <f>IFERROR(VLOOKUP(I332,設定メニュー!$B$5:$C$30,2,0),"")</f>
        <v/>
      </c>
      <c r="I332" s="55" t="str">
        <f>IFERROR(VLOOKUP(B332,設定メニュー!$U$5:$W$30,3,0),"")</f>
        <v/>
      </c>
      <c r="J332" s="809" t="str">
        <f t="shared" si="7"/>
        <v/>
      </c>
    </row>
    <row r="333" spans="1:10" ht="20.100000000000001" customHeight="1">
      <c r="A333" s="64"/>
      <c r="B333" s="48"/>
      <c r="C333" s="48"/>
      <c r="D333" s="585"/>
      <c r="E333" s="60" t="str">
        <f>IFERROR(VLOOKUP(F333,設定メニュー!$B$5:$C$30,2,0),"")</f>
        <v/>
      </c>
      <c r="F333" s="65" t="str">
        <f>IFERROR(VLOOKUP(B333,設定メニュー!$U$5:$W$30,2,0),"")</f>
        <v/>
      </c>
      <c r="G333" s="66"/>
      <c r="H333" s="60" t="str">
        <f>IFERROR(VLOOKUP(I333,設定メニュー!$B$5:$C$30,2,0),"")</f>
        <v/>
      </c>
      <c r="I333" s="55" t="str">
        <f>IFERROR(VLOOKUP(B333,設定メニュー!$U$5:$W$30,3,0),"")</f>
        <v/>
      </c>
      <c r="J333" s="809" t="str">
        <f t="shared" si="7"/>
        <v/>
      </c>
    </row>
    <row r="334" spans="1:10" ht="20.100000000000001" customHeight="1">
      <c r="A334" s="64"/>
      <c r="B334" s="48"/>
      <c r="C334" s="48"/>
      <c r="D334" s="585"/>
      <c r="E334" s="60" t="str">
        <f>IFERROR(VLOOKUP(F334,設定メニュー!$B$5:$C$30,2,0),"")</f>
        <v/>
      </c>
      <c r="F334" s="65" t="str">
        <f>IFERROR(VLOOKUP(B334,設定メニュー!$U$5:$W$30,2,0),"")</f>
        <v/>
      </c>
      <c r="G334" s="66"/>
      <c r="H334" s="60" t="str">
        <f>IFERROR(VLOOKUP(I334,設定メニュー!$B$5:$C$30,2,0),"")</f>
        <v/>
      </c>
      <c r="I334" s="55" t="str">
        <f>IFERROR(VLOOKUP(B334,設定メニュー!$U$5:$W$30,3,0),"")</f>
        <v/>
      </c>
      <c r="J334" s="809" t="str">
        <f t="shared" si="7"/>
        <v/>
      </c>
    </row>
    <row r="335" spans="1:10" ht="20.100000000000001" customHeight="1">
      <c r="A335" s="64"/>
      <c r="B335" s="48"/>
      <c r="C335" s="48"/>
      <c r="D335" s="585"/>
      <c r="E335" s="60" t="str">
        <f>IFERROR(VLOOKUP(F335,設定メニュー!$B$5:$C$30,2,0),"")</f>
        <v/>
      </c>
      <c r="F335" s="65" t="str">
        <f>IFERROR(VLOOKUP(B335,設定メニュー!$U$5:$W$30,2,0),"")</f>
        <v/>
      </c>
      <c r="G335" s="66"/>
      <c r="H335" s="60" t="str">
        <f>IFERROR(VLOOKUP(I335,設定メニュー!$B$5:$C$30,2,0),"")</f>
        <v/>
      </c>
      <c r="I335" s="55" t="str">
        <f>IFERROR(VLOOKUP(B335,設定メニュー!$U$5:$W$30,3,0),"")</f>
        <v/>
      </c>
      <c r="J335" s="809" t="str">
        <f t="shared" si="7"/>
        <v/>
      </c>
    </row>
    <row r="336" spans="1:10" ht="20.100000000000001" customHeight="1">
      <c r="A336" s="64"/>
      <c r="B336" s="48"/>
      <c r="C336" s="48"/>
      <c r="D336" s="585"/>
      <c r="E336" s="60" t="str">
        <f>IFERROR(VLOOKUP(F336,設定メニュー!$B$5:$C$30,2,0),"")</f>
        <v/>
      </c>
      <c r="F336" s="65" t="str">
        <f>IFERROR(VLOOKUP(B336,設定メニュー!$U$5:$W$30,2,0),"")</f>
        <v/>
      </c>
      <c r="G336" s="66"/>
      <c r="H336" s="60" t="str">
        <f>IFERROR(VLOOKUP(I336,設定メニュー!$B$5:$C$30,2,0),"")</f>
        <v/>
      </c>
      <c r="I336" s="55" t="str">
        <f>IFERROR(VLOOKUP(B336,設定メニュー!$U$5:$W$30,3,0),"")</f>
        <v/>
      </c>
      <c r="J336" s="809" t="str">
        <f t="shared" si="7"/>
        <v/>
      </c>
    </row>
    <row r="337" spans="1:10" ht="20.100000000000001" customHeight="1">
      <c r="A337" s="64"/>
      <c r="B337" s="48"/>
      <c r="C337" s="48"/>
      <c r="D337" s="585"/>
      <c r="E337" s="60" t="str">
        <f>IFERROR(VLOOKUP(F337,設定メニュー!$B$5:$C$30,2,0),"")</f>
        <v/>
      </c>
      <c r="F337" s="65" t="str">
        <f>IFERROR(VLOOKUP(B337,設定メニュー!$U$5:$W$30,2,0),"")</f>
        <v/>
      </c>
      <c r="G337" s="66"/>
      <c r="H337" s="60" t="str">
        <f>IFERROR(VLOOKUP(I337,設定メニュー!$B$5:$C$30,2,0),"")</f>
        <v/>
      </c>
      <c r="I337" s="55" t="str">
        <f>IFERROR(VLOOKUP(B337,設定メニュー!$U$5:$W$30,3,0),"")</f>
        <v/>
      </c>
      <c r="J337" s="809" t="str">
        <f t="shared" si="7"/>
        <v/>
      </c>
    </row>
    <row r="338" spans="1:10" ht="20.100000000000001" customHeight="1">
      <c r="A338" s="64"/>
      <c r="B338" s="48"/>
      <c r="C338" s="48"/>
      <c r="D338" s="585"/>
      <c r="E338" s="60" t="str">
        <f>IFERROR(VLOOKUP(F338,設定メニュー!$B$5:$C$30,2,0),"")</f>
        <v/>
      </c>
      <c r="F338" s="65" t="str">
        <f>IFERROR(VLOOKUP(B338,設定メニュー!$U$5:$W$30,2,0),"")</f>
        <v/>
      </c>
      <c r="G338" s="66"/>
      <c r="H338" s="60" t="str">
        <f>IFERROR(VLOOKUP(I338,設定メニュー!$B$5:$C$30,2,0),"")</f>
        <v/>
      </c>
      <c r="I338" s="55" t="str">
        <f>IFERROR(VLOOKUP(B338,設定メニュー!$U$5:$W$30,3,0),"")</f>
        <v/>
      </c>
      <c r="J338" s="809" t="str">
        <f t="shared" si="7"/>
        <v/>
      </c>
    </row>
    <row r="339" spans="1:10" ht="20.100000000000001" customHeight="1">
      <c r="A339" s="64"/>
      <c r="B339" s="48"/>
      <c r="C339" s="48"/>
      <c r="D339" s="585"/>
      <c r="E339" s="60" t="str">
        <f>IFERROR(VLOOKUP(F339,設定メニュー!$B$5:$C$30,2,0),"")</f>
        <v/>
      </c>
      <c r="F339" s="65" t="str">
        <f>IFERROR(VLOOKUP(B339,設定メニュー!$U$5:$W$30,2,0),"")</f>
        <v/>
      </c>
      <c r="G339" s="66"/>
      <c r="H339" s="60" t="str">
        <f>IFERROR(VLOOKUP(I339,設定メニュー!$B$5:$C$30,2,0),"")</f>
        <v/>
      </c>
      <c r="I339" s="55" t="str">
        <f>IFERROR(VLOOKUP(B339,設定メニュー!$U$5:$W$30,3,0),"")</f>
        <v/>
      </c>
      <c r="J339" s="809" t="str">
        <f t="shared" si="7"/>
        <v/>
      </c>
    </row>
    <row r="340" spans="1:10" ht="20.100000000000001" customHeight="1">
      <c r="A340" s="64"/>
      <c r="B340" s="48"/>
      <c r="C340" s="48"/>
      <c r="D340" s="585"/>
      <c r="E340" s="60" t="str">
        <f>IFERROR(VLOOKUP(F340,設定メニュー!$B$5:$C$30,2,0),"")</f>
        <v/>
      </c>
      <c r="F340" s="65" t="str">
        <f>IFERROR(VLOOKUP(B340,設定メニュー!$U$5:$W$30,2,0),"")</f>
        <v/>
      </c>
      <c r="G340" s="66"/>
      <c r="H340" s="60" t="str">
        <f>IFERROR(VLOOKUP(I340,設定メニュー!$B$5:$C$30,2,0),"")</f>
        <v/>
      </c>
      <c r="I340" s="55" t="str">
        <f>IFERROR(VLOOKUP(B340,設定メニュー!$U$5:$W$30,3,0),"")</f>
        <v/>
      </c>
      <c r="J340" s="809" t="str">
        <f t="shared" si="7"/>
        <v/>
      </c>
    </row>
    <row r="341" spans="1:10" ht="20.100000000000001" customHeight="1">
      <c r="A341" s="64"/>
      <c r="B341" s="48"/>
      <c r="C341" s="48"/>
      <c r="D341" s="585"/>
      <c r="E341" s="60" t="str">
        <f>IFERROR(VLOOKUP(F341,設定メニュー!$B$5:$C$30,2,0),"")</f>
        <v/>
      </c>
      <c r="F341" s="65" t="str">
        <f>IFERROR(VLOOKUP(B341,設定メニュー!$U$5:$W$30,2,0),"")</f>
        <v/>
      </c>
      <c r="G341" s="66"/>
      <c r="H341" s="60" t="str">
        <f>IFERROR(VLOOKUP(I341,設定メニュー!$B$5:$C$30,2,0),"")</f>
        <v/>
      </c>
      <c r="I341" s="55" t="str">
        <f>IFERROR(VLOOKUP(B341,設定メニュー!$U$5:$W$30,3,0),"")</f>
        <v/>
      </c>
      <c r="J341" s="809" t="str">
        <f t="shared" si="7"/>
        <v/>
      </c>
    </row>
    <row r="342" spans="1:10" ht="20.100000000000001" customHeight="1">
      <c r="A342" s="64"/>
      <c r="B342" s="48"/>
      <c r="C342" s="48"/>
      <c r="D342" s="585"/>
      <c r="E342" s="60" t="str">
        <f>IFERROR(VLOOKUP(F342,設定メニュー!$B$5:$C$30,2,0),"")</f>
        <v/>
      </c>
      <c r="F342" s="65" t="str">
        <f>IFERROR(VLOOKUP(B342,設定メニュー!$U$5:$W$30,2,0),"")</f>
        <v/>
      </c>
      <c r="G342" s="66"/>
      <c r="H342" s="60" t="str">
        <f>IFERROR(VLOOKUP(I342,設定メニュー!$B$5:$C$30,2,0),"")</f>
        <v/>
      </c>
      <c r="I342" s="55" t="str">
        <f>IFERROR(VLOOKUP(B342,設定メニュー!$U$5:$W$30,3,0),"")</f>
        <v/>
      </c>
      <c r="J342" s="809" t="str">
        <f t="shared" si="7"/>
        <v/>
      </c>
    </row>
    <row r="343" spans="1:10" ht="20.100000000000001" customHeight="1">
      <c r="A343" s="64"/>
      <c r="B343" s="48"/>
      <c r="C343" s="48"/>
      <c r="D343" s="585"/>
      <c r="E343" s="60" t="str">
        <f>IFERROR(VLOOKUP(F343,設定メニュー!$B$5:$C$30,2,0),"")</f>
        <v/>
      </c>
      <c r="F343" s="65" t="str">
        <f>IFERROR(VLOOKUP(B343,設定メニュー!$U$5:$W$30,2,0),"")</f>
        <v/>
      </c>
      <c r="G343" s="66"/>
      <c r="H343" s="60" t="str">
        <f>IFERROR(VLOOKUP(I343,設定メニュー!$B$5:$C$30,2,0),"")</f>
        <v/>
      </c>
      <c r="I343" s="55" t="str">
        <f>IFERROR(VLOOKUP(B343,設定メニュー!$U$5:$W$30,3,0),"")</f>
        <v/>
      </c>
      <c r="J343" s="809" t="str">
        <f t="shared" si="7"/>
        <v/>
      </c>
    </row>
    <row r="344" spans="1:10" ht="20.100000000000001" customHeight="1">
      <c r="A344" s="64"/>
      <c r="B344" s="48"/>
      <c r="C344" s="48"/>
      <c r="D344" s="585"/>
      <c r="E344" s="60" t="str">
        <f>IFERROR(VLOOKUP(F344,設定メニュー!$B$5:$C$30,2,0),"")</f>
        <v/>
      </c>
      <c r="F344" s="65" t="str">
        <f>IFERROR(VLOOKUP(B344,設定メニュー!$U$5:$W$30,2,0),"")</f>
        <v/>
      </c>
      <c r="G344" s="66"/>
      <c r="H344" s="60" t="str">
        <f>IFERROR(VLOOKUP(I344,設定メニュー!$B$5:$C$30,2,0),"")</f>
        <v/>
      </c>
      <c r="I344" s="55" t="str">
        <f>IFERROR(VLOOKUP(B344,設定メニュー!$U$5:$W$30,3,0),"")</f>
        <v/>
      </c>
      <c r="J344" s="809" t="str">
        <f t="shared" si="7"/>
        <v/>
      </c>
    </row>
    <row r="345" spans="1:10" ht="20.100000000000001" customHeight="1">
      <c r="A345" s="64"/>
      <c r="B345" s="48"/>
      <c r="C345" s="48"/>
      <c r="D345" s="585"/>
      <c r="E345" s="60" t="str">
        <f>IFERROR(VLOOKUP(F345,設定メニュー!$B$5:$C$30,2,0),"")</f>
        <v/>
      </c>
      <c r="F345" s="65" t="str">
        <f>IFERROR(VLOOKUP(B345,設定メニュー!$U$5:$W$30,2,0),"")</f>
        <v/>
      </c>
      <c r="G345" s="66"/>
      <c r="H345" s="60" t="str">
        <f>IFERROR(VLOOKUP(I345,設定メニュー!$B$5:$C$30,2,0),"")</f>
        <v/>
      </c>
      <c r="I345" s="55" t="str">
        <f>IFERROR(VLOOKUP(B345,設定メニュー!$U$5:$W$30,3,0),"")</f>
        <v/>
      </c>
      <c r="J345" s="809" t="str">
        <f t="shared" si="7"/>
        <v/>
      </c>
    </row>
    <row r="346" spans="1:10" ht="20.100000000000001" customHeight="1">
      <c r="A346" s="64"/>
      <c r="B346" s="48"/>
      <c r="C346" s="48"/>
      <c r="D346" s="585"/>
      <c r="E346" s="60" t="str">
        <f>IFERROR(VLOOKUP(F346,設定メニュー!$B$5:$C$30,2,0),"")</f>
        <v/>
      </c>
      <c r="F346" s="65" t="str">
        <f>IFERROR(VLOOKUP(B346,設定メニュー!$U$5:$W$30,2,0),"")</f>
        <v/>
      </c>
      <c r="G346" s="66"/>
      <c r="H346" s="60" t="str">
        <f>IFERROR(VLOOKUP(I346,設定メニュー!$B$5:$C$30,2,0),"")</f>
        <v/>
      </c>
      <c r="I346" s="55" t="str">
        <f>IFERROR(VLOOKUP(B346,設定メニュー!$U$5:$W$30,3,0),"")</f>
        <v/>
      </c>
      <c r="J346" s="809" t="str">
        <f t="shared" si="7"/>
        <v/>
      </c>
    </row>
    <row r="347" spans="1:10" ht="20.100000000000001" customHeight="1">
      <c r="A347" s="64"/>
      <c r="B347" s="48"/>
      <c r="C347" s="48"/>
      <c r="D347" s="585"/>
      <c r="E347" s="60" t="str">
        <f>IFERROR(VLOOKUP(F347,設定メニュー!$B$5:$C$30,2,0),"")</f>
        <v/>
      </c>
      <c r="F347" s="65" t="str">
        <f>IFERROR(VLOOKUP(B347,設定メニュー!$U$5:$W$30,2,0),"")</f>
        <v/>
      </c>
      <c r="G347" s="66"/>
      <c r="H347" s="60" t="str">
        <f>IFERROR(VLOOKUP(I347,設定メニュー!$B$5:$C$30,2,0),"")</f>
        <v/>
      </c>
      <c r="I347" s="55" t="str">
        <f>IFERROR(VLOOKUP(B347,設定メニュー!$U$5:$W$30,3,0),"")</f>
        <v/>
      </c>
      <c r="J347" s="809" t="str">
        <f t="shared" si="7"/>
        <v/>
      </c>
    </row>
    <row r="348" spans="1:10" ht="20.100000000000001" customHeight="1">
      <c r="A348" s="64"/>
      <c r="B348" s="48"/>
      <c r="C348" s="48"/>
      <c r="D348" s="585"/>
      <c r="E348" s="60" t="str">
        <f>IFERROR(VLOOKUP(F348,設定メニュー!$B$5:$C$30,2,0),"")</f>
        <v/>
      </c>
      <c r="F348" s="65" t="str">
        <f>IFERROR(VLOOKUP(B348,設定メニュー!$U$5:$W$30,2,0),"")</f>
        <v/>
      </c>
      <c r="G348" s="66"/>
      <c r="H348" s="60" t="str">
        <f>IFERROR(VLOOKUP(I348,設定メニュー!$B$5:$C$30,2,0),"")</f>
        <v/>
      </c>
      <c r="I348" s="55" t="str">
        <f>IFERROR(VLOOKUP(B348,設定メニュー!$U$5:$W$30,3,0),"")</f>
        <v/>
      </c>
      <c r="J348" s="809" t="str">
        <f t="shared" si="7"/>
        <v/>
      </c>
    </row>
    <row r="349" spans="1:10" ht="20.100000000000001" customHeight="1">
      <c r="A349" s="64"/>
      <c r="B349" s="48"/>
      <c r="C349" s="48"/>
      <c r="D349" s="585"/>
      <c r="E349" s="60" t="str">
        <f>IFERROR(VLOOKUP(F349,設定メニュー!$B$5:$C$30,2,0),"")</f>
        <v/>
      </c>
      <c r="F349" s="65" t="str">
        <f>IFERROR(VLOOKUP(B349,設定メニュー!$U$5:$W$30,2,0),"")</f>
        <v/>
      </c>
      <c r="G349" s="66"/>
      <c r="H349" s="60" t="str">
        <f>IFERROR(VLOOKUP(I349,設定メニュー!$B$5:$C$30,2,0),"")</f>
        <v/>
      </c>
      <c r="I349" s="55" t="str">
        <f>IFERROR(VLOOKUP(B349,設定メニュー!$U$5:$W$30,3,0),"")</f>
        <v/>
      </c>
      <c r="J349" s="809" t="str">
        <f t="shared" si="7"/>
        <v/>
      </c>
    </row>
    <row r="350" spans="1:10" ht="20.100000000000001" customHeight="1">
      <c r="A350" s="64"/>
      <c r="B350" s="48"/>
      <c r="C350" s="48"/>
      <c r="D350" s="585"/>
      <c r="E350" s="60" t="str">
        <f>IFERROR(VLOOKUP(F350,設定メニュー!$B$5:$C$30,2,0),"")</f>
        <v/>
      </c>
      <c r="F350" s="65" t="str">
        <f>IFERROR(VLOOKUP(B350,設定メニュー!$U$5:$W$30,2,0),"")</f>
        <v/>
      </c>
      <c r="G350" s="66"/>
      <c r="H350" s="60" t="str">
        <f>IFERROR(VLOOKUP(I350,設定メニュー!$B$5:$C$30,2,0),"")</f>
        <v/>
      </c>
      <c r="I350" s="55" t="str">
        <f>IFERROR(VLOOKUP(B350,設定メニュー!$U$5:$W$30,3,0),"")</f>
        <v/>
      </c>
      <c r="J350" s="809" t="str">
        <f t="shared" si="7"/>
        <v/>
      </c>
    </row>
    <row r="351" spans="1:10" ht="20.100000000000001" customHeight="1">
      <c r="A351" s="64"/>
      <c r="B351" s="48"/>
      <c r="C351" s="48"/>
      <c r="D351" s="585"/>
      <c r="E351" s="60" t="str">
        <f>IFERROR(VLOOKUP(F351,設定メニュー!$B$5:$C$30,2,0),"")</f>
        <v/>
      </c>
      <c r="F351" s="65" t="str">
        <f>IFERROR(VLOOKUP(B351,設定メニュー!$U$5:$W$30,2,0),"")</f>
        <v/>
      </c>
      <c r="G351" s="66"/>
      <c r="H351" s="60" t="str">
        <f>IFERROR(VLOOKUP(I351,設定メニュー!$B$5:$C$30,2,0),"")</f>
        <v/>
      </c>
      <c r="I351" s="55" t="str">
        <f>IFERROR(VLOOKUP(B351,設定メニュー!$U$5:$W$30,3,0),"")</f>
        <v/>
      </c>
      <c r="J351" s="809" t="str">
        <f t="shared" si="7"/>
        <v/>
      </c>
    </row>
    <row r="352" spans="1:10" ht="20.100000000000001" customHeight="1">
      <c r="A352" s="64"/>
      <c r="B352" s="48"/>
      <c r="C352" s="48"/>
      <c r="D352" s="585"/>
      <c r="E352" s="60" t="str">
        <f>IFERROR(VLOOKUP(F352,設定メニュー!$B$5:$C$30,2,0),"")</f>
        <v/>
      </c>
      <c r="F352" s="65" t="str">
        <f>IFERROR(VLOOKUP(B352,設定メニュー!$U$5:$W$30,2,0),"")</f>
        <v/>
      </c>
      <c r="G352" s="66"/>
      <c r="H352" s="60" t="str">
        <f>IFERROR(VLOOKUP(I352,設定メニュー!$B$5:$C$30,2,0),"")</f>
        <v/>
      </c>
      <c r="I352" s="55" t="str">
        <f>IFERROR(VLOOKUP(B352,設定メニュー!$U$5:$W$30,3,0),"")</f>
        <v/>
      </c>
      <c r="J352" s="809" t="str">
        <f t="shared" si="7"/>
        <v/>
      </c>
    </row>
    <row r="353" spans="1:10" ht="20.100000000000001" customHeight="1">
      <c r="A353" s="64"/>
      <c r="B353" s="48"/>
      <c r="C353" s="48"/>
      <c r="D353" s="585"/>
      <c r="E353" s="60" t="str">
        <f>IFERROR(VLOOKUP(F353,設定メニュー!$B$5:$C$30,2,0),"")</f>
        <v/>
      </c>
      <c r="F353" s="65" t="str">
        <f>IFERROR(VLOOKUP(B353,設定メニュー!$U$5:$W$30,2,0),"")</f>
        <v/>
      </c>
      <c r="G353" s="66"/>
      <c r="H353" s="60" t="str">
        <f>IFERROR(VLOOKUP(I353,設定メニュー!$B$5:$C$30,2,0),"")</f>
        <v/>
      </c>
      <c r="I353" s="55" t="str">
        <f>IFERROR(VLOOKUP(B353,設定メニュー!$U$5:$W$30,3,0),"")</f>
        <v/>
      </c>
      <c r="J353" s="809" t="str">
        <f t="shared" si="7"/>
        <v/>
      </c>
    </row>
    <row r="354" spans="1:10" ht="20.100000000000001" customHeight="1">
      <c r="A354" s="64"/>
      <c r="B354" s="48"/>
      <c r="C354" s="48"/>
      <c r="D354" s="585"/>
      <c r="E354" s="60" t="str">
        <f>IFERROR(VLOOKUP(F354,設定メニュー!$B$5:$C$30,2,0),"")</f>
        <v/>
      </c>
      <c r="F354" s="65" t="str">
        <f>IFERROR(VLOOKUP(B354,設定メニュー!$U$5:$W$30,2,0),"")</f>
        <v/>
      </c>
      <c r="G354" s="66"/>
      <c r="H354" s="60" t="str">
        <f>IFERROR(VLOOKUP(I354,設定メニュー!$B$5:$C$30,2,0),"")</f>
        <v/>
      </c>
      <c r="I354" s="55" t="str">
        <f>IFERROR(VLOOKUP(B354,設定メニュー!$U$5:$W$30,3,0),"")</f>
        <v/>
      </c>
      <c r="J354" s="809" t="str">
        <f t="shared" si="7"/>
        <v/>
      </c>
    </row>
    <row r="355" spans="1:10" ht="20.100000000000001" customHeight="1">
      <c r="A355" s="64"/>
      <c r="B355" s="48"/>
      <c r="C355" s="48"/>
      <c r="D355" s="585"/>
      <c r="E355" s="60" t="str">
        <f>IFERROR(VLOOKUP(F355,設定メニュー!$B$5:$C$30,2,0),"")</f>
        <v/>
      </c>
      <c r="F355" s="65" t="str">
        <f>IFERROR(VLOOKUP(B355,設定メニュー!$U$5:$W$30,2,0),"")</f>
        <v/>
      </c>
      <c r="G355" s="66"/>
      <c r="H355" s="60" t="str">
        <f>IFERROR(VLOOKUP(I355,設定メニュー!$B$5:$C$30,2,0),"")</f>
        <v/>
      </c>
      <c r="I355" s="55" t="str">
        <f>IFERROR(VLOOKUP(B355,設定メニュー!$U$5:$W$30,3,0),"")</f>
        <v/>
      </c>
      <c r="J355" s="809" t="str">
        <f t="shared" si="7"/>
        <v/>
      </c>
    </row>
    <row r="356" spans="1:10" ht="20.100000000000001" customHeight="1">
      <c r="A356" s="64"/>
      <c r="B356" s="48"/>
      <c r="C356" s="48"/>
      <c r="D356" s="585"/>
      <c r="E356" s="60" t="str">
        <f>IFERROR(VLOOKUP(F356,設定メニュー!$B$5:$C$30,2,0),"")</f>
        <v/>
      </c>
      <c r="F356" s="65" t="str">
        <f>IFERROR(VLOOKUP(B356,設定メニュー!$U$5:$W$30,2,0),"")</f>
        <v/>
      </c>
      <c r="G356" s="66"/>
      <c r="H356" s="60" t="str">
        <f>IFERROR(VLOOKUP(I356,設定メニュー!$B$5:$C$30,2,0),"")</f>
        <v/>
      </c>
      <c r="I356" s="55" t="str">
        <f>IFERROR(VLOOKUP(B356,設定メニュー!$U$5:$W$30,3,0),"")</f>
        <v/>
      </c>
      <c r="J356" s="809" t="str">
        <f t="shared" si="7"/>
        <v/>
      </c>
    </row>
    <row r="357" spans="1:10" ht="20.100000000000001" customHeight="1">
      <c r="A357" s="64"/>
      <c r="B357" s="48"/>
      <c r="C357" s="48"/>
      <c r="D357" s="585"/>
      <c r="E357" s="60" t="str">
        <f>IFERROR(VLOOKUP(F357,設定メニュー!$B$5:$C$30,2,0),"")</f>
        <v/>
      </c>
      <c r="F357" s="65" t="str">
        <f>IFERROR(VLOOKUP(B357,設定メニュー!$U$5:$W$30,2,0),"")</f>
        <v/>
      </c>
      <c r="G357" s="66"/>
      <c r="H357" s="60" t="str">
        <f>IFERROR(VLOOKUP(I357,設定メニュー!$B$5:$C$30,2,0),"")</f>
        <v/>
      </c>
      <c r="I357" s="55" t="str">
        <f>IFERROR(VLOOKUP(B357,設定メニュー!$U$5:$W$30,3,0),"")</f>
        <v/>
      </c>
      <c r="J357" s="809" t="str">
        <f t="shared" si="7"/>
        <v/>
      </c>
    </row>
    <row r="358" spans="1:10" ht="20.100000000000001" customHeight="1">
      <c r="A358" s="64"/>
      <c r="B358" s="48"/>
      <c r="C358" s="48"/>
      <c r="D358" s="585"/>
      <c r="E358" s="60" t="str">
        <f>IFERROR(VLOOKUP(F358,設定メニュー!$B$5:$C$30,2,0),"")</f>
        <v/>
      </c>
      <c r="F358" s="65" t="str">
        <f>IFERROR(VLOOKUP(B358,設定メニュー!$U$5:$W$30,2,0),"")</f>
        <v/>
      </c>
      <c r="G358" s="66"/>
      <c r="H358" s="60" t="str">
        <f>IFERROR(VLOOKUP(I358,設定メニュー!$B$5:$C$30,2,0),"")</f>
        <v/>
      </c>
      <c r="I358" s="55" t="str">
        <f>IFERROR(VLOOKUP(B358,設定メニュー!$U$5:$W$30,3,0),"")</f>
        <v/>
      </c>
      <c r="J358" s="809" t="str">
        <f t="shared" si="7"/>
        <v/>
      </c>
    </row>
    <row r="359" spans="1:10" ht="20.100000000000001" customHeight="1">
      <c r="A359" s="64"/>
      <c r="B359" s="48"/>
      <c r="C359" s="48"/>
      <c r="D359" s="585"/>
      <c r="E359" s="60" t="str">
        <f>IFERROR(VLOOKUP(F359,設定メニュー!$B$5:$C$30,2,0),"")</f>
        <v/>
      </c>
      <c r="F359" s="65" t="str">
        <f>IFERROR(VLOOKUP(B359,設定メニュー!$U$5:$W$30,2,0),"")</f>
        <v/>
      </c>
      <c r="G359" s="66"/>
      <c r="H359" s="60" t="str">
        <f>IFERROR(VLOOKUP(I359,設定メニュー!$B$5:$C$30,2,0),"")</f>
        <v/>
      </c>
      <c r="I359" s="55" t="str">
        <f>IFERROR(VLOOKUP(B359,設定メニュー!$U$5:$W$30,3,0),"")</f>
        <v/>
      </c>
      <c r="J359" s="809" t="str">
        <f t="shared" si="7"/>
        <v/>
      </c>
    </row>
    <row r="360" spans="1:10" ht="20.100000000000001" customHeight="1">
      <c r="A360" s="64"/>
      <c r="B360" s="48"/>
      <c r="C360" s="48"/>
      <c r="D360" s="585"/>
      <c r="E360" s="60" t="str">
        <f>IFERROR(VLOOKUP(F360,設定メニュー!$B$5:$C$30,2,0),"")</f>
        <v/>
      </c>
      <c r="F360" s="65" t="str">
        <f>IFERROR(VLOOKUP(B360,設定メニュー!$U$5:$W$30,2,0),"")</f>
        <v/>
      </c>
      <c r="G360" s="66"/>
      <c r="H360" s="60" t="str">
        <f>IFERROR(VLOOKUP(I360,設定メニュー!$B$5:$C$30,2,0),"")</f>
        <v/>
      </c>
      <c r="I360" s="55" t="str">
        <f>IFERROR(VLOOKUP(B360,設定メニュー!$U$5:$W$30,3,0),"")</f>
        <v/>
      </c>
      <c r="J360" s="809" t="str">
        <f t="shared" si="7"/>
        <v/>
      </c>
    </row>
    <row r="361" spans="1:10" ht="20.100000000000001" customHeight="1">
      <c r="A361" s="64"/>
      <c r="B361" s="48"/>
      <c r="C361" s="48"/>
      <c r="D361" s="585"/>
      <c r="E361" s="60" t="str">
        <f>IFERROR(VLOOKUP(F361,設定メニュー!$B$5:$C$30,2,0),"")</f>
        <v/>
      </c>
      <c r="F361" s="65" t="str">
        <f>IFERROR(VLOOKUP(B361,設定メニュー!$U$5:$W$30,2,0),"")</f>
        <v/>
      </c>
      <c r="G361" s="66"/>
      <c r="H361" s="60" t="str">
        <f>IFERROR(VLOOKUP(I361,設定メニュー!$B$5:$C$30,2,0),"")</f>
        <v/>
      </c>
      <c r="I361" s="55" t="str">
        <f>IFERROR(VLOOKUP(B361,設定メニュー!$U$5:$W$30,3,0),"")</f>
        <v/>
      </c>
      <c r="J361" s="809" t="str">
        <f t="shared" si="7"/>
        <v/>
      </c>
    </row>
    <row r="362" spans="1:10" ht="20.100000000000001" customHeight="1">
      <c r="A362" s="64"/>
      <c r="B362" s="48"/>
      <c r="C362" s="48"/>
      <c r="D362" s="585"/>
      <c r="E362" s="60" t="str">
        <f>IFERROR(VLOOKUP(F362,設定メニュー!$B$5:$C$30,2,0),"")</f>
        <v/>
      </c>
      <c r="F362" s="65" t="str">
        <f>IFERROR(VLOOKUP(B362,設定メニュー!$U$5:$W$30,2,0),"")</f>
        <v/>
      </c>
      <c r="G362" s="66"/>
      <c r="H362" s="60" t="str">
        <f>IFERROR(VLOOKUP(I362,設定メニュー!$B$5:$C$30,2,0),"")</f>
        <v/>
      </c>
      <c r="I362" s="55" t="str">
        <f>IFERROR(VLOOKUP(B362,設定メニュー!$U$5:$W$30,3,0),"")</f>
        <v/>
      </c>
      <c r="J362" s="809" t="str">
        <f t="shared" si="7"/>
        <v/>
      </c>
    </row>
    <row r="363" spans="1:10" ht="20.100000000000001" customHeight="1">
      <c r="A363" s="64"/>
      <c r="B363" s="48"/>
      <c r="C363" s="48"/>
      <c r="D363" s="585"/>
      <c r="E363" s="60" t="str">
        <f>IFERROR(VLOOKUP(F363,設定メニュー!$B$5:$C$30,2,0),"")</f>
        <v/>
      </c>
      <c r="F363" s="65" t="str">
        <f>IFERROR(VLOOKUP(B363,設定メニュー!$U$5:$W$30,2,0),"")</f>
        <v/>
      </c>
      <c r="G363" s="66"/>
      <c r="H363" s="60" t="str">
        <f>IFERROR(VLOOKUP(I363,設定メニュー!$B$5:$C$30,2,0),"")</f>
        <v/>
      </c>
      <c r="I363" s="55" t="str">
        <f>IFERROR(VLOOKUP(B363,設定メニュー!$U$5:$W$30,3,0),"")</f>
        <v/>
      </c>
      <c r="J363" s="809" t="str">
        <f t="shared" si="7"/>
        <v/>
      </c>
    </row>
    <row r="364" spans="1:10" ht="20.100000000000001" customHeight="1">
      <c r="A364" s="64"/>
      <c r="B364" s="48"/>
      <c r="C364" s="48"/>
      <c r="D364" s="585"/>
      <c r="E364" s="60" t="str">
        <f>IFERROR(VLOOKUP(F364,設定メニュー!$B$5:$C$30,2,0),"")</f>
        <v/>
      </c>
      <c r="F364" s="65" t="str">
        <f>IFERROR(VLOOKUP(B364,設定メニュー!$U$5:$W$30,2,0),"")</f>
        <v/>
      </c>
      <c r="G364" s="66"/>
      <c r="H364" s="60" t="str">
        <f>IFERROR(VLOOKUP(I364,設定メニュー!$B$5:$C$30,2,0),"")</f>
        <v/>
      </c>
      <c r="I364" s="55" t="str">
        <f>IFERROR(VLOOKUP(B364,設定メニュー!$U$5:$W$30,3,0),"")</f>
        <v/>
      </c>
      <c r="J364" s="809" t="str">
        <f t="shared" si="7"/>
        <v/>
      </c>
    </row>
    <row r="365" spans="1:10" ht="20.100000000000001" customHeight="1">
      <c r="A365" s="64"/>
      <c r="B365" s="48"/>
      <c r="C365" s="48"/>
      <c r="D365" s="585"/>
      <c r="E365" s="60" t="str">
        <f>IFERROR(VLOOKUP(F365,設定メニュー!$B$5:$C$30,2,0),"")</f>
        <v/>
      </c>
      <c r="F365" s="65" t="str">
        <f>IFERROR(VLOOKUP(B365,設定メニュー!$U$5:$W$30,2,0),"")</f>
        <v/>
      </c>
      <c r="G365" s="66"/>
      <c r="H365" s="60" t="str">
        <f>IFERROR(VLOOKUP(I365,設定メニュー!$B$5:$C$30,2,0),"")</f>
        <v/>
      </c>
      <c r="I365" s="55" t="str">
        <f>IFERROR(VLOOKUP(B365,設定メニュー!$U$5:$W$30,3,0),"")</f>
        <v/>
      </c>
      <c r="J365" s="809" t="str">
        <f t="shared" si="7"/>
        <v/>
      </c>
    </row>
    <row r="366" spans="1:10" ht="20.100000000000001" customHeight="1">
      <c r="A366" s="64"/>
      <c r="B366" s="48"/>
      <c r="C366" s="48"/>
      <c r="D366" s="585"/>
      <c r="E366" s="60" t="str">
        <f>IFERROR(VLOOKUP(F366,設定メニュー!$B$5:$C$30,2,0),"")</f>
        <v/>
      </c>
      <c r="F366" s="65" t="str">
        <f>IFERROR(VLOOKUP(B366,設定メニュー!$U$5:$W$30,2,0),"")</f>
        <v/>
      </c>
      <c r="G366" s="66"/>
      <c r="H366" s="60" t="str">
        <f>IFERROR(VLOOKUP(I366,設定メニュー!$B$5:$C$30,2,0),"")</f>
        <v/>
      </c>
      <c r="I366" s="55" t="str">
        <f>IFERROR(VLOOKUP(B366,設定メニュー!$U$5:$W$30,3,0),"")</f>
        <v/>
      </c>
      <c r="J366" s="809" t="str">
        <f t="shared" si="7"/>
        <v/>
      </c>
    </row>
    <row r="367" spans="1:10" ht="20.100000000000001" customHeight="1">
      <c r="A367" s="64"/>
      <c r="B367" s="48"/>
      <c r="C367" s="48"/>
      <c r="D367" s="585"/>
      <c r="E367" s="60" t="str">
        <f>IFERROR(VLOOKUP(F367,設定メニュー!$B$5:$C$30,2,0),"")</f>
        <v/>
      </c>
      <c r="F367" s="65" t="str">
        <f>IFERROR(VLOOKUP(B367,設定メニュー!$U$5:$W$30,2,0),"")</f>
        <v/>
      </c>
      <c r="G367" s="66"/>
      <c r="H367" s="60" t="str">
        <f>IFERROR(VLOOKUP(I367,設定メニュー!$B$5:$C$30,2,0),"")</f>
        <v/>
      </c>
      <c r="I367" s="55" t="str">
        <f>IFERROR(VLOOKUP(B367,設定メニュー!$U$5:$W$30,3,0),"")</f>
        <v/>
      </c>
      <c r="J367" s="809" t="str">
        <f t="shared" si="7"/>
        <v/>
      </c>
    </row>
    <row r="368" spans="1:10" ht="20.100000000000001" customHeight="1">
      <c r="A368" s="64"/>
      <c r="B368" s="48"/>
      <c r="C368" s="48"/>
      <c r="D368" s="585"/>
      <c r="E368" s="60" t="str">
        <f>IFERROR(VLOOKUP(F368,設定メニュー!$B$5:$C$30,2,0),"")</f>
        <v/>
      </c>
      <c r="F368" s="65" t="str">
        <f>IFERROR(VLOOKUP(B368,設定メニュー!$U$5:$W$30,2,0),"")</f>
        <v/>
      </c>
      <c r="G368" s="66"/>
      <c r="H368" s="60" t="str">
        <f>IFERROR(VLOOKUP(I368,設定メニュー!$B$5:$C$30,2,0),"")</f>
        <v/>
      </c>
      <c r="I368" s="55" t="str">
        <f>IFERROR(VLOOKUP(B368,設定メニュー!$U$5:$W$30,3,0),"")</f>
        <v/>
      </c>
      <c r="J368" s="809" t="str">
        <f t="shared" si="7"/>
        <v/>
      </c>
    </row>
    <row r="369" spans="1:10" ht="20.100000000000001" customHeight="1">
      <c r="A369" s="64"/>
      <c r="B369" s="48"/>
      <c r="C369" s="48"/>
      <c r="D369" s="585"/>
      <c r="E369" s="60" t="str">
        <f>IFERROR(VLOOKUP(F369,設定メニュー!$B$5:$C$30,2,0),"")</f>
        <v/>
      </c>
      <c r="F369" s="65" t="str">
        <f>IFERROR(VLOOKUP(B369,設定メニュー!$U$5:$W$30,2,0),"")</f>
        <v/>
      </c>
      <c r="G369" s="66"/>
      <c r="H369" s="60" t="str">
        <f>IFERROR(VLOOKUP(I369,設定メニュー!$B$5:$C$30,2,0),"")</f>
        <v/>
      </c>
      <c r="I369" s="55" t="str">
        <f>IFERROR(VLOOKUP(B369,設定メニュー!$U$5:$W$30,3,0),"")</f>
        <v/>
      </c>
      <c r="J369" s="809" t="str">
        <f t="shared" si="7"/>
        <v/>
      </c>
    </row>
    <row r="370" spans="1:10" ht="20.100000000000001" customHeight="1">
      <c r="A370" s="64"/>
      <c r="B370" s="48"/>
      <c r="C370" s="48"/>
      <c r="D370" s="585"/>
      <c r="E370" s="60" t="str">
        <f>IFERROR(VLOOKUP(F370,設定メニュー!$B$5:$C$30,2,0),"")</f>
        <v/>
      </c>
      <c r="F370" s="65" t="str">
        <f>IFERROR(VLOOKUP(B370,設定メニュー!$U$5:$W$30,2,0),"")</f>
        <v/>
      </c>
      <c r="G370" s="66"/>
      <c r="H370" s="60" t="str">
        <f>IFERROR(VLOOKUP(I370,設定メニュー!$B$5:$C$30,2,0),"")</f>
        <v/>
      </c>
      <c r="I370" s="55" t="str">
        <f>IFERROR(VLOOKUP(B370,設定メニュー!$U$5:$W$30,3,0),"")</f>
        <v/>
      </c>
      <c r="J370" s="809" t="str">
        <f t="shared" si="7"/>
        <v/>
      </c>
    </row>
    <row r="371" spans="1:10" ht="20.100000000000001" customHeight="1">
      <c r="A371" s="64"/>
      <c r="B371" s="48"/>
      <c r="C371" s="48"/>
      <c r="D371" s="585"/>
      <c r="E371" s="60" t="str">
        <f>IFERROR(VLOOKUP(F371,設定メニュー!$B$5:$C$30,2,0),"")</f>
        <v/>
      </c>
      <c r="F371" s="65" t="str">
        <f>IFERROR(VLOOKUP(B371,設定メニュー!$U$5:$W$30,2,0),"")</f>
        <v/>
      </c>
      <c r="G371" s="66"/>
      <c r="H371" s="60" t="str">
        <f>IFERROR(VLOOKUP(I371,設定メニュー!$B$5:$C$30,2,0),"")</f>
        <v/>
      </c>
      <c r="I371" s="55" t="str">
        <f>IFERROR(VLOOKUP(B371,設定メニュー!$U$5:$W$30,3,0),"")</f>
        <v/>
      </c>
      <c r="J371" s="809" t="str">
        <f t="shared" si="7"/>
        <v/>
      </c>
    </row>
    <row r="372" spans="1:10" ht="20.100000000000001" customHeight="1">
      <c r="A372" s="64"/>
      <c r="B372" s="48"/>
      <c r="C372" s="48"/>
      <c r="D372" s="585"/>
      <c r="E372" s="60" t="str">
        <f>IFERROR(VLOOKUP(F372,設定メニュー!$B$5:$C$30,2,0),"")</f>
        <v/>
      </c>
      <c r="F372" s="65" t="str">
        <f>IFERROR(VLOOKUP(B372,設定メニュー!$U$5:$W$30,2,0),"")</f>
        <v/>
      </c>
      <c r="G372" s="66"/>
      <c r="H372" s="60" t="str">
        <f>IFERROR(VLOOKUP(I372,設定メニュー!$B$5:$C$30,2,0),"")</f>
        <v/>
      </c>
      <c r="I372" s="55" t="str">
        <f>IFERROR(VLOOKUP(B372,設定メニュー!$U$5:$W$30,3,0),"")</f>
        <v/>
      </c>
      <c r="J372" s="809" t="str">
        <f t="shared" si="7"/>
        <v/>
      </c>
    </row>
    <row r="373" spans="1:10" ht="20.100000000000001" customHeight="1">
      <c r="A373" s="64"/>
      <c r="B373" s="48"/>
      <c r="C373" s="48"/>
      <c r="D373" s="585"/>
      <c r="E373" s="60" t="str">
        <f>IFERROR(VLOOKUP(F373,設定メニュー!$B$5:$C$30,2,0),"")</f>
        <v/>
      </c>
      <c r="F373" s="65" t="str">
        <f>IFERROR(VLOOKUP(B373,設定メニュー!$U$5:$W$30,2,0),"")</f>
        <v/>
      </c>
      <c r="G373" s="66"/>
      <c r="H373" s="60" t="str">
        <f>IFERROR(VLOOKUP(I373,設定メニュー!$B$5:$C$30,2,0),"")</f>
        <v/>
      </c>
      <c r="I373" s="55" t="str">
        <f>IFERROR(VLOOKUP(B373,設定メニュー!$U$5:$W$30,3,0),"")</f>
        <v/>
      </c>
      <c r="J373" s="809" t="str">
        <f t="shared" si="7"/>
        <v/>
      </c>
    </row>
    <row r="374" spans="1:10" ht="20.100000000000001" customHeight="1">
      <c r="A374" s="64"/>
      <c r="B374" s="48"/>
      <c r="C374" s="48"/>
      <c r="D374" s="585"/>
      <c r="E374" s="60" t="str">
        <f>IFERROR(VLOOKUP(F374,設定メニュー!$B$5:$C$30,2,0),"")</f>
        <v/>
      </c>
      <c r="F374" s="65" t="str">
        <f>IFERROR(VLOOKUP(B374,設定メニュー!$U$5:$W$30,2,0),"")</f>
        <v/>
      </c>
      <c r="G374" s="66"/>
      <c r="H374" s="60" t="str">
        <f>IFERROR(VLOOKUP(I374,設定メニュー!$B$5:$C$30,2,0),"")</f>
        <v/>
      </c>
      <c r="I374" s="55" t="str">
        <f>IFERROR(VLOOKUP(B374,設定メニュー!$U$5:$W$30,3,0),"")</f>
        <v/>
      </c>
      <c r="J374" s="809" t="str">
        <f t="shared" si="7"/>
        <v/>
      </c>
    </row>
    <row r="375" spans="1:10" ht="20.100000000000001" customHeight="1">
      <c r="A375" s="64"/>
      <c r="B375" s="48"/>
      <c r="C375" s="48"/>
      <c r="D375" s="585"/>
      <c r="E375" s="60" t="str">
        <f>IFERROR(VLOOKUP(F375,設定メニュー!$B$5:$C$30,2,0),"")</f>
        <v/>
      </c>
      <c r="F375" s="65" t="str">
        <f>IFERROR(VLOOKUP(B375,設定メニュー!$U$5:$W$30,2,0),"")</f>
        <v/>
      </c>
      <c r="G375" s="66"/>
      <c r="H375" s="60" t="str">
        <f>IFERROR(VLOOKUP(I375,設定メニュー!$B$5:$C$30,2,0),"")</f>
        <v/>
      </c>
      <c r="I375" s="55" t="str">
        <f>IFERROR(VLOOKUP(B375,設定メニュー!$U$5:$W$30,3,0),"")</f>
        <v/>
      </c>
      <c r="J375" s="809" t="str">
        <f t="shared" si="7"/>
        <v/>
      </c>
    </row>
    <row r="376" spans="1:10" ht="20.100000000000001" customHeight="1">
      <c r="A376" s="64"/>
      <c r="B376" s="48"/>
      <c r="C376" s="48"/>
      <c r="D376" s="585"/>
      <c r="E376" s="60" t="str">
        <f>IFERROR(VLOOKUP(F376,設定メニュー!$B$5:$C$30,2,0),"")</f>
        <v/>
      </c>
      <c r="F376" s="65" t="str">
        <f>IFERROR(VLOOKUP(B376,設定メニュー!$U$5:$W$30,2,0),"")</f>
        <v/>
      </c>
      <c r="G376" s="66"/>
      <c r="H376" s="60" t="str">
        <f>IFERROR(VLOOKUP(I376,設定メニュー!$B$5:$C$30,2,0),"")</f>
        <v/>
      </c>
      <c r="I376" s="55" t="str">
        <f>IFERROR(VLOOKUP(B376,設定メニュー!$U$5:$W$30,3,0),"")</f>
        <v/>
      </c>
      <c r="J376" s="809" t="str">
        <f t="shared" si="7"/>
        <v/>
      </c>
    </row>
    <row r="377" spans="1:10" ht="20.100000000000001" customHeight="1">
      <c r="A377" s="64"/>
      <c r="B377" s="48"/>
      <c r="C377" s="48"/>
      <c r="D377" s="585"/>
      <c r="E377" s="60" t="str">
        <f>IFERROR(VLOOKUP(F377,設定メニュー!$B$5:$C$30,2,0),"")</f>
        <v/>
      </c>
      <c r="F377" s="65" t="str">
        <f>IFERROR(VLOOKUP(B377,設定メニュー!$U$5:$W$30,2,0),"")</f>
        <v/>
      </c>
      <c r="G377" s="66"/>
      <c r="H377" s="60" t="str">
        <f>IFERROR(VLOOKUP(I377,設定メニュー!$B$5:$C$30,2,0),"")</f>
        <v/>
      </c>
      <c r="I377" s="55" t="str">
        <f>IFERROR(VLOOKUP(B377,設定メニュー!$U$5:$W$30,3,0),"")</f>
        <v/>
      </c>
      <c r="J377" s="809" t="str">
        <f t="shared" si="7"/>
        <v/>
      </c>
    </row>
    <row r="378" spans="1:10" ht="20.100000000000001" customHeight="1">
      <c r="A378" s="64"/>
      <c r="B378" s="48"/>
      <c r="C378" s="48"/>
      <c r="D378" s="585"/>
      <c r="E378" s="60" t="str">
        <f>IFERROR(VLOOKUP(F378,設定メニュー!$B$5:$C$30,2,0),"")</f>
        <v/>
      </c>
      <c r="F378" s="65" t="str">
        <f>IFERROR(VLOOKUP(B378,設定メニュー!$U$5:$W$30,2,0),"")</f>
        <v/>
      </c>
      <c r="G378" s="66"/>
      <c r="H378" s="60" t="str">
        <f>IFERROR(VLOOKUP(I378,設定メニュー!$B$5:$C$30,2,0),"")</f>
        <v/>
      </c>
      <c r="I378" s="55" t="str">
        <f>IFERROR(VLOOKUP(B378,設定メニュー!$U$5:$W$30,3,0),"")</f>
        <v/>
      </c>
      <c r="J378" s="809" t="str">
        <f t="shared" si="7"/>
        <v/>
      </c>
    </row>
    <row r="379" spans="1:10" ht="20.100000000000001" customHeight="1">
      <c r="A379" s="64"/>
      <c r="B379" s="48"/>
      <c r="C379" s="48"/>
      <c r="D379" s="585"/>
      <c r="E379" s="60" t="str">
        <f>IFERROR(VLOOKUP(F379,設定メニュー!$B$5:$C$30,2,0),"")</f>
        <v/>
      </c>
      <c r="F379" s="65" t="str">
        <f>IFERROR(VLOOKUP(B379,設定メニュー!$U$5:$W$30,2,0),"")</f>
        <v/>
      </c>
      <c r="G379" s="66"/>
      <c r="H379" s="60" t="str">
        <f>IFERROR(VLOOKUP(I379,設定メニュー!$B$5:$C$30,2,0),"")</f>
        <v/>
      </c>
      <c r="I379" s="55" t="str">
        <f>IFERROR(VLOOKUP(B379,設定メニュー!$U$5:$W$30,3,0),"")</f>
        <v/>
      </c>
      <c r="J379" s="809" t="str">
        <f t="shared" si="7"/>
        <v/>
      </c>
    </row>
    <row r="380" spans="1:10" ht="20.100000000000001" customHeight="1">
      <c r="A380" s="64"/>
      <c r="B380" s="48"/>
      <c r="C380" s="48"/>
      <c r="D380" s="585"/>
      <c r="E380" s="60" t="str">
        <f>IFERROR(VLOOKUP(F380,設定メニュー!$B$5:$C$30,2,0),"")</f>
        <v/>
      </c>
      <c r="F380" s="65" t="str">
        <f>IFERROR(VLOOKUP(B380,設定メニュー!$U$5:$W$30,2,0),"")</f>
        <v/>
      </c>
      <c r="G380" s="66"/>
      <c r="H380" s="60" t="str">
        <f>IFERROR(VLOOKUP(I380,設定メニュー!$B$5:$C$30,2,0),"")</f>
        <v/>
      </c>
      <c r="I380" s="55" t="str">
        <f>IFERROR(VLOOKUP(B380,設定メニュー!$U$5:$W$30,3,0),"")</f>
        <v/>
      </c>
      <c r="J380" s="809" t="str">
        <f t="shared" si="7"/>
        <v/>
      </c>
    </row>
    <row r="381" spans="1:10" ht="20.100000000000001" customHeight="1">
      <c r="A381" s="64"/>
      <c r="B381" s="48"/>
      <c r="C381" s="48"/>
      <c r="D381" s="585"/>
      <c r="E381" s="60" t="str">
        <f>IFERROR(VLOOKUP(F381,設定メニュー!$B$5:$C$30,2,0),"")</f>
        <v/>
      </c>
      <c r="F381" s="65" t="str">
        <f>IFERROR(VLOOKUP(B381,設定メニュー!$U$5:$W$30,2,0),"")</f>
        <v/>
      </c>
      <c r="G381" s="66"/>
      <c r="H381" s="60" t="str">
        <f>IFERROR(VLOOKUP(I381,設定メニュー!$B$5:$C$30,2,0),"")</f>
        <v/>
      </c>
      <c r="I381" s="55" t="str">
        <f>IFERROR(VLOOKUP(B381,設定メニュー!$U$5:$W$30,3,0),"")</f>
        <v/>
      </c>
      <c r="J381" s="809" t="str">
        <f t="shared" si="7"/>
        <v/>
      </c>
    </row>
    <row r="382" spans="1:10" ht="20.100000000000001" customHeight="1">
      <c r="A382" s="64"/>
      <c r="B382" s="48"/>
      <c r="C382" s="48"/>
      <c r="D382" s="585"/>
      <c r="E382" s="60" t="str">
        <f>IFERROR(VLOOKUP(F382,設定メニュー!$B$5:$C$30,2,0),"")</f>
        <v/>
      </c>
      <c r="F382" s="65" t="str">
        <f>IFERROR(VLOOKUP(B382,設定メニュー!$U$5:$W$30,2,0),"")</f>
        <v/>
      </c>
      <c r="G382" s="66"/>
      <c r="H382" s="60" t="str">
        <f>IFERROR(VLOOKUP(I382,設定メニュー!$B$5:$C$30,2,0),"")</f>
        <v/>
      </c>
      <c r="I382" s="55" t="str">
        <f>IFERROR(VLOOKUP(B382,設定メニュー!$U$5:$W$30,3,0),"")</f>
        <v/>
      </c>
      <c r="J382" s="809" t="str">
        <f t="shared" si="7"/>
        <v/>
      </c>
    </row>
    <row r="383" spans="1:10" ht="20.100000000000001" customHeight="1">
      <c r="A383" s="64"/>
      <c r="B383" s="48"/>
      <c r="C383" s="48"/>
      <c r="D383" s="585"/>
      <c r="E383" s="60" t="str">
        <f>IFERROR(VLOOKUP(F383,設定メニュー!$B$5:$C$30,2,0),"")</f>
        <v/>
      </c>
      <c r="F383" s="65" t="str">
        <f>IFERROR(VLOOKUP(B383,設定メニュー!$U$5:$W$30,2,0),"")</f>
        <v/>
      </c>
      <c r="G383" s="66"/>
      <c r="H383" s="60" t="str">
        <f>IFERROR(VLOOKUP(I383,設定メニュー!$B$5:$C$30,2,0),"")</f>
        <v/>
      </c>
      <c r="I383" s="55" t="str">
        <f>IFERROR(VLOOKUP(B383,設定メニュー!$U$5:$W$30,3,0),"")</f>
        <v/>
      </c>
      <c r="J383" s="809" t="str">
        <f t="shared" si="7"/>
        <v/>
      </c>
    </row>
    <row r="384" spans="1:10" ht="20.100000000000001" customHeight="1">
      <c r="A384" s="64"/>
      <c r="B384" s="48"/>
      <c r="C384" s="48"/>
      <c r="D384" s="585"/>
      <c r="E384" s="60" t="str">
        <f>IFERROR(VLOOKUP(F384,設定メニュー!$B$5:$C$30,2,0),"")</f>
        <v/>
      </c>
      <c r="F384" s="65" t="str">
        <f>IFERROR(VLOOKUP(B384,設定メニュー!$U$5:$W$30,2,0),"")</f>
        <v/>
      </c>
      <c r="G384" s="66"/>
      <c r="H384" s="60" t="str">
        <f>IFERROR(VLOOKUP(I384,設定メニュー!$B$5:$C$30,2,0),"")</f>
        <v/>
      </c>
      <c r="I384" s="55" t="str">
        <f>IFERROR(VLOOKUP(B384,設定メニュー!$U$5:$W$30,3,0),"")</f>
        <v/>
      </c>
      <c r="J384" s="809" t="str">
        <f t="shared" si="7"/>
        <v/>
      </c>
    </row>
    <row r="385" spans="1:10" ht="20.100000000000001" customHeight="1">
      <c r="A385" s="64"/>
      <c r="B385" s="48"/>
      <c r="C385" s="48"/>
      <c r="D385" s="585"/>
      <c r="E385" s="60" t="str">
        <f>IFERROR(VLOOKUP(F385,設定メニュー!$B$5:$C$30,2,0),"")</f>
        <v/>
      </c>
      <c r="F385" s="65" t="str">
        <f>IFERROR(VLOOKUP(B385,設定メニュー!$U$5:$W$30,2,0),"")</f>
        <v/>
      </c>
      <c r="G385" s="66"/>
      <c r="H385" s="60" t="str">
        <f>IFERROR(VLOOKUP(I385,設定メニュー!$B$5:$C$30,2,0),"")</f>
        <v/>
      </c>
      <c r="I385" s="55" t="str">
        <f>IFERROR(VLOOKUP(B385,設定メニュー!$U$5:$W$30,3,0),"")</f>
        <v/>
      </c>
      <c r="J385" s="809" t="str">
        <f t="shared" si="7"/>
        <v/>
      </c>
    </row>
    <row r="386" spans="1:10" ht="20.100000000000001" customHeight="1">
      <c r="A386" s="64"/>
      <c r="B386" s="48"/>
      <c r="C386" s="48"/>
      <c r="D386" s="585"/>
      <c r="E386" s="60" t="str">
        <f>IFERROR(VLOOKUP(F386,設定メニュー!$B$5:$C$30,2,0),"")</f>
        <v/>
      </c>
      <c r="F386" s="65" t="str">
        <f>IFERROR(VLOOKUP(B386,設定メニュー!$U$5:$W$30,2,0),"")</f>
        <v/>
      </c>
      <c r="G386" s="66"/>
      <c r="H386" s="60" t="str">
        <f>IFERROR(VLOOKUP(I386,設定メニュー!$B$5:$C$30,2,0),"")</f>
        <v/>
      </c>
      <c r="I386" s="55" t="str">
        <f>IFERROR(VLOOKUP(B386,設定メニュー!$U$5:$W$30,3,0),"")</f>
        <v/>
      </c>
      <c r="J386" s="809" t="str">
        <f t="shared" si="7"/>
        <v/>
      </c>
    </row>
    <row r="387" spans="1:10" ht="20.100000000000001" customHeight="1">
      <c r="A387" s="64"/>
      <c r="B387" s="48"/>
      <c r="C387" s="48"/>
      <c r="D387" s="585"/>
      <c r="E387" s="60" t="str">
        <f>IFERROR(VLOOKUP(F387,設定メニュー!$B$5:$C$30,2,0),"")</f>
        <v/>
      </c>
      <c r="F387" s="65" t="str">
        <f>IFERROR(VLOOKUP(B387,設定メニュー!$U$5:$W$30,2,0),"")</f>
        <v/>
      </c>
      <c r="G387" s="66"/>
      <c r="H387" s="60" t="str">
        <f>IFERROR(VLOOKUP(I387,設定メニュー!$B$5:$C$30,2,0),"")</f>
        <v/>
      </c>
      <c r="I387" s="55" t="str">
        <f>IFERROR(VLOOKUP(B387,設定メニュー!$U$5:$W$30,3,0),"")</f>
        <v/>
      </c>
      <c r="J387" s="809" t="str">
        <f t="shared" si="7"/>
        <v/>
      </c>
    </row>
    <row r="388" spans="1:10" ht="20.100000000000001" customHeight="1">
      <c r="A388" s="64"/>
      <c r="B388" s="48"/>
      <c r="C388" s="48"/>
      <c r="D388" s="585"/>
      <c r="E388" s="60" t="str">
        <f>IFERROR(VLOOKUP(F388,設定メニュー!$B$5:$C$30,2,0),"")</f>
        <v/>
      </c>
      <c r="F388" s="65" t="str">
        <f>IFERROR(VLOOKUP(B388,設定メニュー!$U$5:$W$30,2,0),"")</f>
        <v/>
      </c>
      <c r="G388" s="66"/>
      <c r="H388" s="60" t="str">
        <f>IFERROR(VLOOKUP(I388,設定メニュー!$B$5:$C$30,2,0),"")</f>
        <v/>
      </c>
      <c r="I388" s="55" t="str">
        <f>IFERROR(VLOOKUP(B388,設定メニュー!$U$5:$W$30,3,0),"")</f>
        <v/>
      </c>
      <c r="J388" s="809" t="str">
        <f t="shared" ref="J388:J451" si="8">IF(G388&lt;&gt;"",G388,"")</f>
        <v/>
      </c>
    </row>
    <row r="389" spans="1:10" ht="20.100000000000001" customHeight="1">
      <c r="A389" s="64"/>
      <c r="B389" s="48"/>
      <c r="C389" s="48"/>
      <c r="D389" s="585"/>
      <c r="E389" s="60" t="str">
        <f>IFERROR(VLOOKUP(F389,設定メニュー!$B$5:$C$30,2,0),"")</f>
        <v/>
      </c>
      <c r="F389" s="65" t="str">
        <f>IFERROR(VLOOKUP(B389,設定メニュー!$U$5:$W$30,2,0),"")</f>
        <v/>
      </c>
      <c r="G389" s="66"/>
      <c r="H389" s="60" t="str">
        <f>IFERROR(VLOOKUP(I389,設定メニュー!$B$5:$C$30,2,0),"")</f>
        <v/>
      </c>
      <c r="I389" s="55" t="str">
        <f>IFERROR(VLOOKUP(B389,設定メニュー!$U$5:$W$30,3,0),"")</f>
        <v/>
      </c>
      <c r="J389" s="809" t="str">
        <f t="shared" si="8"/>
        <v/>
      </c>
    </row>
    <row r="390" spans="1:10" ht="20.100000000000001" customHeight="1">
      <c r="A390" s="64"/>
      <c r="B390" s="48"/>
      <c r="C390" s="48"/>
      <c r="D390" s="585"/>
      <c r="E390" s="60" t="str">
        <f>IFERROR(VLOOKUP(F390,設定メニュー!$B$5:$C$30,2,0),"")</f>
        <v/>
      </c>
      <c r="F390" s="65" t="str">
        <f>IFERROR(VLOOKUP(B390,設定メニュー!$U$5:$W$30,2,0),"")</f>
        <v/>
      </c>
      <c r="G390" s="66"/>
      <c r="H390" s="60" t="str">
        <f>IFERROR(VLOOKUP(I390,設定メニュー!$B$5:$C$30,2,0),"")</f>
        <v/>
      </c>
      <c r="I390" s="55" t="str">
        <f>IFERROR(VLOOKUP(B390,設定メニュー!$U$5:$W$30,3,0),"")</f>
        <v/>
      </c>
      <c r="J390" s="809" t="str">
        <f t="shared" si="8"/>
        <v/>
      </c>
    </row>
    <row r="391" spans="1:10" ht="20.100000000000001" customHeight="1">
      <c r="A391" s="64"/>
      <c r="B391" s="48"/>
      <c r="C391" s="48"/>
      <c r="D391" s="585"/>
      <c r="E391" s="60" t="str">
        <f>IFERROR(VLOOKUP(F391,設定メニュー!$B$5:$C$30,2,0),"")</f>
        <v/>
      </c>
      <c r="F391" s="65" t="str">
        <f>IFERROR(VLOOKUP(B391,設定メニュー!$U$5:$W$30,2,0),"")</f>
        <v/>
      </c>
      <c r="G391" s="66"/>
      <c r="H391" s="60" t="str">
        <f>IFERROR(VLOOKUP(I391,設定メニュー!$B$5:$C$30,2,0),"")</f>
        <v/>
      </c>
      <c r="I391" s="55" t="str">
        <f>IFERROR(VLOOKUP(B391,設定メニュー!$U$5:$W$30,3,0),"")</f>
        <v/>
      </c>
      <c r="J391" s="809" t="str">
        <f t="shared" si="8"/>
        <v/>
      </c>
    </row>
    <row r="392" spans="1:10" ht="20.100000000000001" customHeight="1">
      <c r="A392" s="64"/>
      <c r="B392" s="48"/>
      <c r="C392" s="48"/>
      <c r="D392" s="585"/>
      <c r="E392" s="60" t="str">
        <f>IFERROR(VLOOKUP(F392,設定メニュー!$B$5:$C$30,2,0),"")</f>
        <v/>
      </c>
      <c r="F392" s="65" t="str">
        <f>IFERROR(VLOOKUP(B392,設定メニュー!$U$5:$W$30,2,0),"")</f>
        <v/>
      </c>
      <c r="G392" s="66"/>
      <c r="H392" s="60" t="str">
        <f>IFERROR(VLOOKUP(I392,設定メニュー!$B$5:$C$30,2,0),"")</f>
        <v/>
      </c>
      <c r="I392" s="55" t="str">
        <f>IFERROR(VLOOKUP(B392,設定メニュー!$U$5:$W$30,3,0),"")</f>
        <v/>
      </c>
      <c r="J392" s="809" t="str">
        <f t="shared" si="8"/>
        <v/>
      </c>
    </row>
    <row r="393" spans="1:10" ht="20.100000000000001" customHeight="1">
      <c r="A393" s="64"/>
      <c r="B393" s="48"/>
      <c r="C393" s="48"/>
      <c r="D393" s="585"/>
      <c r="E393" s="60" t="str">
        <f>IFERROR(VLOOKUP(F393,設定メニュー!$B$5:$C$30,2,0),"")</f>
        <v/>
      </c>
      <c r="F393" s="65" t="str">
        <f>IFERROR(VLOOKUP(B393,設定メニュー!$U$5:$W$30,2,0),"")</f>
        <v/>
      </c>
      <c r="G393" s="66"/>
      <c r="H393" s="60" t="str">
        <f>IFERROR(VLOOKUP(I393,設定メニュー!$B$5:$C$30,2,0),"")</f>
        <v/>
      </c>
      <c r="I393" s="55" t="str">
        <f>IFERROR(VLOOKUP(B393,設定メニュー!$U$5:$W$30,3,0),"")</f>
        <v/>
      </c>
      <c r="J393" s="809" t="str">
        <f t="shared" si="8"/>
        <v/>
      </c>
    </row>
    <row r="394" spans="1:10" ht="20.100000000000001" customHeight="1">
      <c r="A394" s="64"/>
      <c r="B394" s="48"/>
      <c r="C394" s="48"/>
      <c r="D394" s="585"/>
      <c r="E394" s="60" t="str">
        <f>IFERROR(VLOOKUP(F394,設定メニュー!$B$5:$C$30,2,0),"")</f>
        <v/>
      </c>
      <c r="F394" s="65" t="str">
        <f>IFERROR(VLOOKUP(B394,設定メニュー!$U$5:$W$30,2,0),"")</f>
        <v/>
      </c>
      <c r="G394" s="66"/>
      <c r="H394" s="60" t="str">
        <f>IFERROR(VLOOKUP(I394,設定メニュー!$B$5:$C$30,2,0),"")</f>
        <v/>
      </c>
      <c r="I394" s="55" t="str">
        <f>IFERROR(VLOOKUP(B394,設定メニュー!$U$5:$W$30,3,0),"")</f>
        <v/>
      </c>
      <c r="J394" s="809" t="str">
        <f t="shared" si="8"/>
        <v/>
      </c>
    </row>
    <row r="395" spans="1:10" ht="20.100000000000001" customHeight="1">
      <c r="A395" s="64"/>
      <c r="B395" s="48"/>
      <c r="C395" s="48"/>
      <c r="D395" s="585"/>
      <c r="E395" s="60" t="str">
        <f>IFERROR(VLOOKUP(F395,設定メニュー!$B$5:$C$30,2,0),"")</f>
        <v/>
      </c>
      <c r="F395" s="65" t="str">
        <f>IFERROR(VLOOKUP(B395,設定メニュー!$U$5:$W$30,2,0),"")</f>
        <v/>
      </c>
      <c r="G395" s="66"/>
      <c r="H395" s="60" t="str">
        <f>IFERROR(VLOOKUP(I395,設定メニュー!$B$5:$C$30,2,0),"")</f>
        <v/>
      </c>
      <c r="I395" s="55" t="str">
        <f>IFERROR(VLOOKUP(B395,設定メニュー!$U$5:$W$30,3,0),"")</f>
        <v/>
      </c>
      <c r="J395" s="809" t="str">
        <f t="shared" si="8"/>
        <v/>
      </c>
    </row>
    <row r="396" spans="1:10" ht="20.100000000000001" customHeight="1">
      <c r="A396" s="64"/>
      <c r="B396" s="48"/>
      <c r="C396" s="48"/>
      <c r="D396" s="585"/>
      <c r="E396" s="60" t="str">
        <f>IFERROR(VLOOKUP(F396,設定メニュー!$B$5:$C$30,2,0),"")</f>
        <v/>
      </c>
      <c r="F396" s="65" t="str">
        <f>IFERROR(VLOOKUP(B396,設定メニュー!$U$5:$W$30,2,0),"")</f>
        <v/>
      </c>
      <c r="G396" s="66"/>
      <c r="H396" s="60" t="str">
        <f>IFERROR(VLOOKUP(I396,設定メニュー!$B$5:$C$30,2,0),"")</f>
        <v/>
      </c>
      <c r="I396" s="55" t="str">
        <f>IFERROR(VLOOKUP(B396,設定メニュー!$U$5:$W$30,3,0),"")</f>
        <v/>
      </c>
      <c r="J396" s="809" t="str">
        <f t="shared" si="8"/>
        <v/>
      </c>
    </row>
    <row r="397" spans="1:10" ht="20.100000000000001" customHeight="1">
      <c r="A397" s="64"/>
      <c r="B397" s="48"/>
      <c r="C397" s="48"/>
      <c r="D397" s="585"/>
      <c r="E397" s="60" t="str">
        <f>IFERROR(VLOOKUP(F397,設定メニュー!$B$5:$C$30,2,0),"")</f>
        <v/>
      </c>
      <c r="F397" s="65" t="str">
        <f>IFERROR(VLOOKUP(B397,設定メニュー!$U$5:$W$30,2,0),"")</f>
        <v/>
      </c>
      <c r="G397" s="66"/>
      <c r="H397" s="60" t="str">
        <f>IFERROR(VLOOKUP(I397,設定メニュー!$B$5:$C$30,2,0),"")</f>
        <v/>
      </c>
      <c r="I397" s="55" t="str">
        <f>IFERROR(VLOOKUP(B397,設定メニュー!$U$5:$W$30,3,0),"")</f>
        <v/>
      </c>
      <c r="J397" s="809" t="str">
        <f t="shared" si="8"/>
        <v/>
      </c>
    </row>
    <row r="398" spans="1:10" ht="20.100000000000001" customHeight="1">
      <c r="A398" s="64"/>
      <c r="B398" s="48"/>
      <c r="C398" s="48"/>
      <c r="D398" s="585"/>
      <c r="E398" s="60" t="str">
        <f>IFERROR(VLOOKUP(F398,設定メニュー!$B$5:$C$30,2,0),"")</f>
        <v/>
      </c>
      <c r="F398" s="65" t="str">
        <f>IFERROR(VLOOKUP(B398,設定メニュー!$U$5:$W$30,2,0),"")</f>
        <v/>
      </c>
      <c r="G398" s="66"/>
      <c r="H398" s="60" t="str">
        <f>IFERROR(VLOOKUP(I398,設定メニュー!$B$5:$C$30,2,0),"")</f>
        <v/>
      </c>
      <c r="I398" s="55" t="str">
        <f>IFERROR(VLOOKUP(B398,設定メニュー!$U$5:$W$30,3,0),"")</f>
        <v/>
      </c>
      <c r="J398" s="809" t="str">
        <f t="shared" si="8"/>
        <v/>
      </c>
    </row>
    <row r="399" spans="1:10" ht="20.100000000000001" customHeight="1">
      <c r="A399" s="64"/>
      <c r="B399" s="48"/>
      <c r="C399" s="48"/>
      <c r="D399" s="585"/>
      <c r="E399" s="60" t="str">
        <f>IFERROR(VLOOKUP(F399,設定メニュー!$B$5:$C$30,2,0),"")</f>
        <v/>
      </c>
      <c r="F399" s="65" t="str">
        <f>IFERROR(VLOOKUP(B399,設定メニュー!$U$5:$W$30,2,0),"")</f>
        <v/>
      </c>
      <c r="G399" s="66"/>
      <c r="H399" s="60" t="str">
        <f>IFERROR(VLOOKUP(I399,設定メニュー!$B$5:$C$30,2,0),"")</f>
        <v/>
      </c>
      <c r="I399" s="55" t="str">
        <f>IFERROR(VLOOKUP(B399,設定メニュー!$U$5:$W$30,3,0),"")</f>
        <v/>
      </c>
      <c r="J399" s="809" t="str">
        <f t="shared" si="8"/>
        <v/>
      </c>
    </row>
    <row r="400" spans="1:10" ht="20.100000000000001" customHeight="1">
      <c r="A400" s="64"/>
      <c r="B400" s="48"/>
      <c r="C400" s="48"/>
      <c r="D400" s="585"/>
      <c r="E400" s="60" t="str">
        <f>IFERROR(VLOOKUP(F400,設定メニュー!$B$5:$C$30,2,0),"")</f>
        <v/>
      </c>
      <c r="F400" s="65" t="str">
        <f>IFERROR(VLOOKUP(B400,設定メニュー!$U$5:$W$30,2,0),"")</f>
        <v/>
      </c>
      <c r="G400" s="66"/>
      <c r="H400" s="60" t="str">
        <f>IFERROR(VLOOKUP(I400,設定メニュー!$B$5:$C$30,2,0),"")</f>
        <v/>
      </c>
      <c r="I400" s="55" t="str">
        <f>IFERROR(VLOOKUP(B400,設定メニュー!$U$5:$W$30,3,0),"")</f>
        <v/>
      </c>
      <c r="J400" s="809" t="str">
        <f t="shared" si="8"/>
        <v/>
      </c>
    </row>
    <row r="401" spans="1:10" ht="20.100000000000001" customHeight="1">
      <c r="A401" s="64"/>
      <c r="B401" s="48"/>
      <c r="C401" s="48"/>
      <c r="D401" s="585"/>
      <c r="E401" s="60" t="str">
        <f>IFERROR(VLOOKUP(F401,設定メニュー!$B$5:$C$30,2,0),"")</f>
        <v/>
      </c>
      <c r="F401" s="65" t="str">
        <f>IFERROR(VLOOKUP(B401,設定メニュー!$U$5:$W$30,2,0),"")</f>
        <v/>
      </c>
      <c r="G401" s="66"/>
      <c r="H401" s="60" t="str">
        <f>IFERROR(VLOOKUP(I401,設定メニュー!$B$5:$C$30,2,0),"")</f>
        <v/>
      </c>
      <c r="I401" s="55" t="str">
        <f>IFERROR(VLOOKUP(B401,設定メニュー!$U$5:$W$30,3,0),"")</f>
        <v/>
      </c>
      <c r="J401" s="809" t="str">
        <f t="shared" si="8"/>
        <v/>
      </c>
    </row>
    <row r="402" spans="1:10" ht="20.100000000000001" customHeight="1">
      <c r="A402" s="64"/>
      <c r="B402" s="48"/>
      <c r="C402" s="48"/>
      <c r="D402" s="585"/>
      <c r="E402" s="60" t="str">
        <f>IFERROR(VLOOKUP(F402,設定メニュー!$B$5:$C$30,2,0),"")</f>
        <v/>
      </c>
      <c r="F402" s="65" t="str">
        <f>IFERROR(VLOOKUP(B402,設定メニュー!$U$5:$W$30,2,0),"")</f>
        <v/>
      </c>
      <c r="G402" s="66"/>
      <c r="H402" s="60" t="str">
        <f>IFERROR(VLOOKUP(I402,設定メニュー!$B$5:$C$30,2,0),"")</f>
        <v/>
      </c>
      <c r="I402" s="55" t="str">
        <f>IFERROR(VLOOKUP(B402,設定メニュー!$U$5:$W$30,3,0),"")</f>
        <v/>
      </c>
      <c r="J402" s="809" t="str">
        <f t="shared" si="8"/>
        <v/>
      </c>
    </row>
    <row r="403" spans="1:10" ht="20.100000000000001" customHeight="1">
      <c r="A403" s="64"/>
      <c r="B403" s="48"/>
      <c r="C403" s="48"/>
      <c r="D403" s="585"/>
      <c r="E403" s="60" t="str">
        <f>IFERROR(VLOOKUP(F403,設定メニュー!$B$5:$C$30,2,0),"")</f>
        <v/>
      </c>
      <c r="F403" s="65" t="str">
        <f>IFERROR(VLOOKUP(B403,設定メニュー!$U$5:$W$30,2,0),"")</f>
        <v/>
      </c>
      <c r="G403" s="66"/>
      <c r="H403" s="60" t="str">
        <f>IFERROR(VLOOKUP(I403,設定メニュー!$B$5:$C$30,2,0),"")</f>
        <v/>
      </c>
      <c r="I403" s="55" t="str">
        <f>IFERROR(VLOOKUP(B403,設定メニュー!$U$5:$W$30,3,0),"")</f>
        <v/>
      </c>
      <c r="J403" s="809" t="str">
        <f t="shared" si="8"/>
        <v/>
      </c>
    </row>
    <row r="404" spans="1:10" ht="20.100000000000001" customHeight="1">
      <c r="A404" s="64"/>
      <c r="B404" s="48"/>
      <c r="C404" s="48"/>
      <c r="D404" s="585"/>
      <c r="E404" s="60" t="str">
        <f>IFERROR(VLOOKUP(F404,設定メニュー!$B$5:$C$30,2,0),"")</f>
        <v/>
      </c>
      <c r="F404" s="65" t="str">
        <f>IFERROR(VLOOKUP(B404,設定メニュー!$U$5:$W$30,2,0),"")</f>
        <v/>
      </c>
      <c r="G404" s="66"/>
      <c r="H404" s="60" t="str">
        <f>IFERROR(VLOOKUP(I404,設定メニュー!$B$5:$C$30,2,0),"")</f>
        <v/>
      </c>
      <c r="I404" s="55" t="str">
        <f>IFERROR(VLOOKUP(B404,設定メニュー!$U$5:$W$30,3,0),"")</f>
        <v/>
      </c>
      <c r="J404" s="809" t="str">
        <f t="shared" si="8"/>
        <v/>
      </c>
    </row>
    <row r="405" spans="1:10" ht="20.100000000000001" customHeight="1">
      <c r="A405" s="64"/>
      <c r="B405" s="48"/>
      <c r="C405" s="48"/>
      <c r="D405" s="585"/>
      <c r="E405" s="60" t="str">
        <f>IFERROR(VLOOKUP(F405,設定メニュー!$B$5:$C$30,2,0),"")</f>
        <v/>
      </c>
      <c r="F405" s="65" t="str">
        <f>IFERROR(VLOOKUP(B405,設定メニュー!$U$5:$W$30,2,0),"")</f>
        <v/>
      </c>
      <c r="G405" s="66"/>
      <c r="H405" s="60" t="str">
        <f>IFERROR(VLOOKUP(I405,設定メニュー!$B$5:$C$30,2,0),"")</f>
        <v/>
      </c>
      <c r="I405" s="55" t="str">
        <f>IFERROR(VLOOKUP(B405,設定メニュー!$U$5:$W$30,3,0),"")</f>
        <v/>
      </c>
      <c r="J405" s="809" t="str">
        <f t="shared" si="8"/>
        <v/>
      </c>
    </row>
    <row r="406" spans="1:10" ht="20.100000000000001" customHeight="1">
      <c r="A406" s="64"/>
      <c r="B406" s="48"/>
      <c r="C406" s="48"/>
      <c r="D406" s="585"/>
      <c r="E406" s="60" t="str">
        <f>IFERROR(VLOOKUP(F406,設定メニュー!$B$5:$C$30,2,0),"")</f>
        <v/>
      </c>
      <c r="F406" s="65" t="str">
        <f>IFERROR(VLOOKUP(B406,設定メニュー!$U$5:$W$30,2,0),"")</f>
        <v/>
      </c>
      <c r="G406" s="66"/>
      <c r="H406" s="60" t="str">
        <f>IFERROR(VLOOKUP(I406,設定メニュー!$B$5:$C$30,2,0),"")</f>
        <v/>
      </c>
      <c r="I406" s="55" t="str">
        <f>IFERROR(VLOOKUP(B406,設定メニュー!$U$5:$W$30,3,0),"")</f>
        <v/>
      </c>
      <c r="J406" s="809" t="str">
        <f t="shared" si="8"/>
        <v/>
      </c>
    </row>
    <row r="407" spans="1:10" ht="20.100000000000001" customHeight="1">
      <c r="A407" s="64"/>
      <c r="B407" s="48"/>
      <c r="C407" s="48"/>
      <c r="D407" s="585"/>
      <c r="E407" s="60" t="str">
        <f>IFERROR(VLOOKUP(F407,設定メニュー!$B$5:$C$30,2,0),"")</f>
        <v/>
      </c>
      <c r="F407" s="65" t="str">
        <f>IFERROR(VLOOKUP(B407,設定メニュー!$U$5:$W$30,2,0),"")</f>
        <v/>
      </c>
      <c r="G407" s="66"/>
      <c r="H407" s="60" t="str">
        <f>IFERROR(VLOOKUP(I407,設定メニュー!$B$5:$C$30,2,0),"")</f>
        <v/>
      </c>
      <c r="I407" s="55" t="str">
        <f>IFERROR(VLOOKUP(B407,設定メニュー!$U$5:$W$30,3,0),"")</f>
        <v/>
      </c>
      <c r="J407" s="809" t="str">
        <f t="shared" si="8"/>
        <v/>
      </c>
    </row>
    <row r="408" spans="1:10" ht="20.100000000000001" customHeight="1">
      <c r="A408" s="64"/>
      <c r="B408" s="48"/>
      <c r="C408" s="48"/>
      <c r="D408" s="585"/>
      <c r="E408" s="60" t="str">
        <f>IFERROR(VLOOKUP(F408,設定メニュー!$B$5:$C$30,2,0),"")</f>
        <v/>
      </c>
      <c r="F408" s="65" t="str">
        <f>IFERROR(VLOOKUP(B408,設定メニュー!$U$5:$W$30,2,0),"")</f>
        <v/>
      </c>
      <c r="G408" s="66"/>
      <c r="H408" s="60" t="str">
        <f>IFERROR(VLOOKUP(I408,設定メニュー!$B$5:$C$30,2,0),"")</f>
        <v/>
      </c>
      <c r="I408" s="55" t="str">
        <f>IFERROR(VLOOKUP(B408,設定メニュー!$U$5:$W$30,3,0),"")</f>
        <v/>
      </c>
      <c r="J408" s="809" t="str">
        <f t="shared" si="8"/>
        <v/>
      </c>
    </row>
    <row r="409" spans="1:10" ht="20.100000000000001" customHeight="1">
      <c r="A409" s="64"/>
      <c r="B409" s="48"/>
      <c r="C409" s="48"/>
      <c r="D409" s="585"/>
      <c r="E409" s="60" t="str">
        <f>IFERROR(VLOOKUP(F409,設定メニュー!$B$5:$C$30,2,0),"")</f>
        <v/>
      </c>
      <c r="F409" s="65" t="str">
        <f>IFERROR(VLOOKUP(B409,設定メニュー!$U$5:$W$30,2,0),"")</f>
        <v/>
      </c>
      <c r="G409" s="66"/>
      <c r="H409" s="60" t="str">
        <f>IFERROR(VLOOKUP(I409,設定メニュー!$B$5:$C$30,2,0),"")</f>
        <v/>
      </c>
      <c r="I409" s="55" t="str">
        <f>IFERROR(VLOOKUP(B409,設定メニュー!$U$5:$W$30,3,0),"")</f>
        <v/>
      </c>
      <c r="J409" s="809" t="str">
        <f t="shared" si="8"/>
        <v/>
      </c>
    </row>
    <row r="410" spans="1:10" ht="20.100000000000001" customHeight="1">
      <c r="A410" s="64"/>
      <c r="B410" s="48"/>
      <c r="C410" s="48"/>
      <c r="D410" s="585"/>
      <c r="E410" s="60" t="str">
        <f>IFERROR(VLOOKUP(F410,設定メニュー!$B$5:$C$30,2,0),"")</f>
        <v/>
      </c>
      <c r="F410" s="65" t="str">
        <f>IFERROR(VLOOKUP(B410,設定メニュー!$U$5:$W$30,2,0),"")</f>
        <v/>
      </c>
      <c r="G410" s="66"/>
      <c r="H410" s="60" t="str">
        <f>IFERROR(VLOOKUP(I410,設定メニュー!$B$5:$C$30,2,0),"")</f>
        <v/>
      </c>
      <c r="I410" s="55" t="str">
        <f>IFERROR(VLOOKUP(B410,設定メニュー!$U$5:$W$30,3,0),"")</f>
        <v/>
      </c>
      <c r="J410" s="809" t="str">
        <f t="shared" si="8"/>
        <v/>
      </c>
    </row>
    <row r="411" spans="1:10" ht="20.100000000000001" customHeight="1">
      <c r="A411" s="64"/>
      <c r="B411" s="48"/>
      <c r="C411" s="48"/>
      <c r="D411" s="585"/>
      <c r="E411" s="60" t="str">
        <f>IFERROR(VLOOKUP(F411,設定メニュー!$B$5:$C$30,2,0),"")</f>
        <v/>
      </c>
      <c r="F411" s="65" t="str">
        <f>IFERROR(VLOOKUP(B411,設定メニュー!$U$5:$W$30,2,0),"")</f>
        <v/>
      </c>
      <c r="G411" s="66"/>
      <c r="H411" s="60" t="str">
        <f>IFERROR(VLOOKUP(I411,設定メニュー!$B$5:$C$30,2,0),"")</f>
        <v/>
      </c>
      <c r="I411" s="55" t="str">
        <f>IFERROR(VLOOKUP(B411,設定メニュー!$U$5:$W$30,3,0),"")</f>
        <v/>
      </c>
      <c r="J411" s="809" t="str">
        <f t="shared" si="8"/>
        <v/>
      </c>
    </row>
    <row r="412" spans="1:10" ht="20.100000000000001" customHeight="1">
      <c r="A412" s="64"/>
      <c r="B412" s="48"/>
      <c r="C412" s="48"/>
      <c r="D412" s="585"/>
      <c r="E412" s="60" t="str">
        <f>IFERROR(VLOOKUP(F412,設定メニュー!$B$5:$C$30,2,0),"")</f>
        <v/>
      </c>
      <c r="F412" s="65" t="str">
        <f>IFERROR(VLOOKUP(B412,設定メニュー!$U$5:$W$30,2,0),"")</f>
        <v/>
      </c>
      <c r="G412" s="66"/>
      <c r="H412" s="60" t="str">
        <f>IFERROR(VLOOKUP(I412,設定メニュー!$B$5:$C$30,2,0),"")</f>
        <v/>
      </c>
      <c r="I412" s="55" t="str">
        <f>IFERROR(VLOOKUP(B412,設定メニュー!$U$5:$W$30,3,0),"")</f>
        <v/>
      </c>
      <c r="J412" s="809" t="str">
        <f t="shared" si="8"/>
        <v/>
      </c>
    </row>
    <row r="413" spans="1:10" ht="20.100000000000001" customHeight="1">
      <c r="A413" s="64"/>
      <c r="B413" s="48"/>
      <c r="C413" s="48"/>
      <c r="D413" s="585"/>
      <c r="E413" s="60" t="str">
        <f>IFERROR(VLOOKUP(F413,設定メニュー!$B$5:$C$30,2,0),"")</f>
        <v/>
      </c>
      <c r="F413" s="65" t="str">
        <f>IFERROR(VLOOKUP(B413,設定メニュー!$U$5:$W$30,2,0),"")</f>
        <v/>
      </c>
      <c r="G413" s="66"/>
      <c r="H413" s="60" t="str">
        <f>IFERROR(VLOOKUP(I413,設定メニュー!$B$5:$C$30,2,0),"")</f>
        <v/>
      </c>
      <c r="I413" s="55" t="str">
        <f>IFERROR(VLOOKUP(B413,設定メニュー!$U$5:$W$30,3,0),"")</f>
        <v/>
      </c>
      <c r="J413" s="809" t="str">
        <f t="shared" si="8"/>
        <v/>
      </c>
    </row>
    <row r="414" spans="1:10" ht="20.100000000000001" customHeight="1">
      <c r="A414" s="64"/>
      <c r="B414" s="48"/>
      <c r="C414" s="48"/>
      <c r="D414" s="585"/>
      <c r="E414" s="60" t="str">
        <f>IFERROR(VLOOKUP(F414,設定メニュー!$B$5:$C$30,2,0),"")</f>
        <v/>
      </c>
      <c r="F414" s="65" t="str">
        <f>IFERROR(VLOOKUP(B414,設定メニュー!$U$5:$W$30,2,0),"")</f>
        <v/>
      </c>
      <c r="G414" s="66"/>
      <c r="H414" s="60" t="str">
        <f>IFERROR(VLOOKUP(I414,設定メニュー!$B$5:$C$30,2,0),"")</f>
        <v/>
      </c>
      <c r="I414" s="55" t="str">
        <f>IFERROR(VLOOKUP(B414,設定メニュー!$U$5:$W$30,3,0),"")</f>
        <v/>
      </c>
      <c r="J414" s="809" t="str">
        <f t="shared" si="8"/>
        <v/>
      </c>
    </row>
    <row r="415" spans="1:10" ht="20.100000000000001" customHeight="1">
      <c r="A415" s="64"/>
      <c r="B415" s="48"/>
      <c r="C415" s="48"/>
      <c r="D415" s="585"/>
      <c r="E415" s="60" t="str">
        <f>IFERROR(VLOOKUP(F415,設定メニュー!$B$5:$C$30,2,0),"")</f>
        <v/>
      </c>
      <c r="F415" s="65" t="str">
        <f>IFERROR(VLOOKUP(B415,設定メニュー!$U$5:$W$30,2,0),"")</f>
        <v/>
      </c>
      <c r="G415" s="66"/>
      <c r="H415" s="60" t="str">
        <f>IFERROR(VLOOKUP(I415,設定メニュー!$B$5:$C$30,2,0),"")</f>
        <v/>
      </c>
      <c r="I415" s="55" t="str">
        <f>IFERROR(VLOOKUP(B415,設定メニュー!$U$5:$W$30,3,0),"")</f>
        <v/>
      </c>
      <c r="J415" s="809" t="str">
        <f t="shared" si="8"/>
        <v/>
      </c>
    </row>
    <row r="416" spans="1:10" ht="20.100000000000001" customHeight="1">
      <c r="A416" s="64"/>
      <c r="B416" s="48"/>
      <c r="C416" s="48"/>
      <c r="D416" s="585"/>
      <c r="E416" s="60" t="str">
        <f>IFERROR(VLOOKUP(F416,設定メニュー!$B$5:$C$30,2,0),"")</f>
        <v/>
      </c>
      <c r="F416" s="65" t="str">
        <f>IFERROR(VLOOKUP(B416,設定メニュー!$U$5:$W$30,2,0),"")</f>
        <v/>
      </c>
      <c r="G416" s="66"/>
      <c r="H416" s="60" t="str">
        <f>IFERROR(VLOOKUP(I416,設定メニュー!$B$5:$C$30,2,0),"")</f>
        <v/>
      </c>
      <c r="I416" s="55" t="str">
        <f>IFERROR(VLOOKUP(B416,設定メニュー!$U$5:$W$30,3,0),"")</f>
        <v/>
      </c>
      <c r="J416" s="809" t="str">
        <f t="shared" si="8"/>
        <v/>
      </c>
    </row>
    <row r="417" spans="1:10" ht="20.100000000000001" customHeight="1">
      <c r="A417" s="64"/>
      <c r="B417" s="48"/>
      <c r="C417" s="48"/>
      <c r="D417" s="585"/>
      <c r="E417" s="60" t="str">
        <f>IFERROR(VLOOKUP(F417,設定メニュー!$B$5:$C$30,2,0),"")</f>
        <v/>
      </c>
      <c r="F417" s="65" t="str">
        <f>IFERROR(VLOOKUP(B417,設定メニュー!$U$5:$W$30,2,0),"")</f>
        <v/>
      </c>
      <c r="G417" s="66"/>
      <c r="H417" s="60" t="str">
        <f>IFERROR(VLOOKUP(I417,設定メニュー!$B$5:$C$30,2,0),"")</f>
        <v/>
      </c>
      <c r="I417" s="55" t="str">
        <f>IFERROR(VLOOKUP(B417,設定メニュー!$U$5:$W$30,3,0),"")</f>
        <v/>
      </c>
      <c r="J417" s="809" t="str">
        <f t="shared" si="8"/>
        <v/>
      </c>
    </row>
    <row r="418" spans="1:10" ht="20.100000000000001" customHeight="1">
      <c r="A418" s="64"/>
      <c r="B418" s="48"/>
      <c r="C418" s="48"/>
      <c r="D418" s="585"/>
      <c r="E418" s="60" t="str">
        <f>IFERROR(VLOOKUP(F418,設定メニュー!$B$5:$C$30,2,0),"")</f>
        <v/>
      </c>
      <c r="F418" s="65" t="str">
        <f>IFERROR(VLOOKUP(B418,設定メニュー!$U$5:$W$30,2,0),"")</f>
        <v/>
      </c>
      <c r="G418" s="66"/>
      <c r="H418" s="60" t="str">
        <f>IFERROR(VLOOKUP(I418,設定メニュー!$B$5:$C$30,2,0),"")</f>
        <v/>
      </c>
      <c r="I418" s="55" t="str">
        <f>IFERROR(VLOOKUP(B418,設定メニュー!$U$5:$W$30,3,0),"")</f>
        <v/>
      </c>
      <c r="J418" s="809" t="str">
        <f t="shared" si="8"/>
        <v/>
      </c>
    </row>
    <row r="419" spans="1:10" ht="20.100000000000001" customHeight="1">
      <c r="A419" s="64"/>
      <c r="B419" s="48"/>
      <c r="C419" s="48"/>
      <c r="D419" s="585"/>
      <c r="E419" s="60" t="str">
        <f>IFERROR(VLOOKUP(F419,設定メニュー!$B$5:$C$30,2,0),"")</f>
        <v/>
      </c>
      <c r="F419" s="65" t="str">
        <f>IFERROR(VLOOKUP(B419,設定メニュー!$U$5:$W$30,2,0),"")</f>
        <v/>
      </c>
      <c r="G419" s="66"/>
      <c r="H419" s="60" t="str">
        <f>IFERROR(VLOOKUP(I419,設定メニュー!$B$5:$C$30,2,0),"")</f>
        <v/>
      </c>
      <c r="I419" s="55" t="str">
        <f>IFERROR(VLOOKUP(B419,設定メニュー!$U$5:$W$30,3,0),"")</f>
        <v/>
      </c>
      <c r="J419" s="809" t="str">
        <f t="shared" si="8"/>
        <v/>
      </c>
    </row>
    <row r="420" spans="1:10" ht="20.100000000000001" customHeight="1">
      <c r="A420" s="64"/>
      <c r="B420" s="48"/>
      <c r="C420" s="48"/>
      <c r="D420" s="585"/>
      <c r="E420" s="60" t="str">
        <f>IFERROR(VLOOKUP(F420,設定メニュー!$B$5:$C$30,2,0),"")</f>
        <v/>
      </c>
      <c r="F420" s="65" t="str">
        <f>IFERROR(VLOOKUP(B420,設定メニュー!$U$5:$W$30,2,0),"")</f>
        <v/>
      </c>
      <c r="G420" s="66"/>
      <c r="H420" s="60" t="str">
        <f>IFERROR(VLOOKUP(I420,設定メニュー!$B$5:$C$30,2,0),"")</f>
        <v/>
      </c>
      <c r="I420" s="55" t="str">
        <f>IFERROR(VLOOKUP(B420,設定メニュー!$U$5:$W$30,3,0),"")</f>
        <v/>
      </c>
      <c r="J420" s="809" t="str">
        <f t="shared" si="8"/>
        <v/>
      </c>
    </row>
    <row r="421" spans="1:10" ht="20.100000000000001" customHeight="1">
      <c r="A421" s="64"/>
      <c r="B421" s="48"/>
      <c r="C421" s="48"/>
      <c r="D421" s="585"/>
      <c r="E421" s="60" t="str">
        <f>IFERROR(VLOOKUP(F421,設定メニュー!$B$5:$C$30,2,0),"")</f>
        <v/>
      </c>
      <c r="F421" s="65" t="str">
        <f>IFERROR(VLOOKUP(B421,設定メニュー!$U$5:$W$30,2,0),"")</f>
        <v/>
      </c>
      <c r="G421" s="66"/>
      <c r="H421" s="60" t="str">
        <f>IFERROR(VLOOKUP(I421,設定メニュー!$B$5:$C$30,2,0),"")</f>
        <v/>
      </c>
      <c r="I421" s="55" t="str">
        <f>IFERROR(VLOOKUP(B421,設定メニュー!$U$5:$W$30,3,0),"")</f>
        <v/>
      </c>
      <c r="J421" s="809" t="str">
        <f t="shared" si="8"/>
        <v/>
      </c>
    </row>
    <row r="422" spans="1:10" ht="20.100000000000001" customHeight="1">
      <c r="A422" s="64"/>
      <c r="B422" s="48"/>
      <c r="C422" s="48"/>
      <c r="D422" s="585"/>
      <c r="E422" s="60" t="str">
        <f>IFERROR(VLOOKUP(F422,設定メニュー!$B$5:$C$30,2,0),"")</f>
        <v/>
      </c>
      <c r="F422" s="65" t="str">
        <f>IFERROR(VLOOKUP(B422,設定メニュー!$U$5:$W$30,2,0),"")</f>
        <v/>
      </c>
      <c r="G422" s="66"/>
      <c r="H422" s="60" t="str">
        <f>IFERROR(VLOOKUP(I422,設定メニュー!$B$5:$C$30,2,0),"")</f>
        <v/>
      </c>
      <c r="I422" s="55" t="str">
        <f>IFERROR(VLOOKUP(B422,設定メニュー!$U$5:$W$30,3,0),"")</f>
        <v/>
      </c>
      <c r="J422" s="809" t="str">
        <f t="shared" si="8"/>
        <v/>
      </c>
    </row>
    <row r="423" spans="1:10" ht="20.100000000000001" customHeight="1">
      <c r="A423" s="64"/>
      <c r="B423" s="48"/>
      <c r="C423" s="48"/>
      <c r="D423" s="585"/>
      <c r="E423" s="60" t="str">
        <f>IFERROR(VLOOKUP(F423,設定メニュー!$B$5:$C$30,2,0),"")</f>
        <v/>
      </c>
      <c r="F423" s="65" t="str">
        <f>IFERROR(VLOOKUP(B423,設定メニュー!$U$5:$W$30,2,0),"")</f>
        <v/>
      </c>
      <c r="G423" s="66"/>
      <c r="H423" s="60" t="str">
        <f>IFERROR(VLOOKUP(I423,設定メニュー!$B$5:$C$30,2,0),"")</f>
        <v/>
      </c>
      <c r="I423" s="55" t="str">
        <f>IFERROR(VLOOKUP(B423,設定メニュー!$U$5:$W$30,3,0),"")</f>
        <v/>
      </c>
      <c r="J423" s="809" t="str">
        <f t="shared" si="8"/>
        <v/>
      </c>
    </row>
    <row r="424" spans="1:10" ht="20.100000000000001" customHeight="1">
      <c r="A424" s="64"/>
      <c r="B424" s="48"/>
      <c r="C424" s="48"/>
      <c r="D424" s="585"/>
      <c r="E424" s="60" t="str">
        <f>IFERROR(VLOOKUP(F424,設定メニュー!$B$5:$C$30,2,0),"")</f>
        <v/>
      </c>
      <c r="F424" s="65" t="str">
        <f>IFERROR(VLOOKUP(B424,設定メニュー!$U$5:$W$30,2,0),"")</f>
        <v/>
      </c>
      <c r="G424" s="66"/>
      <c r="H424" s="60" t="str">
        <f>IFERROR(VLOOKUP(I424,設定メニュー!$B$5:$C$30,2,0),"")</f>
        <v/>
      </c>
      <c r="I424" s="55" t="str">
        <f>IFERROR(VLOOKUP(B424,設定メニュー!$U$5:$W$30,3,0),"")</f>
        <v/>
      </c>
      <c r="J424" s="809" t="str">
        <f t="shared" si="8"/>
        <v/>
      </c>
    </row>
    <row r="425" spans="1:10" ht="20.100000000000001" customHeight="1">
      <c r="A425" s="64"/>
      <c r="B425" s="48"/>
      <c r="C425" s="48"/>
      <c r="D425" s="585"/>
      <c r="E425" s="60" t="str">
        <f>IFERROR(VLOOKUP(F425,設定メニュー!$B$5:$C$30,2,0),"")</f>
        <v/>
      </c>
      <c r="F425" s="65" t="str">
        <f>IFERROR(VLOOKUP(B425,設定メニュー!$U$5:$W$30,2,0),"")</f>
        <v/>
      </c>
      <c r="G425" s="66"/>
      <c r="H425" s="60" t="str">
        <f>IFERROR(VLOOKUP(I425,設定メニュー!$B$5:$C$30,2,0),"")</f>
        <v/>
      </c>
      <c r="I425" s="55" t="str">
        <f>IFERROR(VLOOKUP(B425,設定メニュー!$U$5:$W$30,3,0),"")</f>
        <v/>
      </c>
      <c r="J425" s="809" t="str">
        <f t="shared" si="8"/>
        <v/>
      </c>
    </row>
    <row r="426" spans="1:10" ht="20.100000000000001" customHeight="1">
      <c r="A426" s="64"/>
      <c r="B426" s="48"/>
      <c r="C426" s="48"/>
      <c r="D426" s="585"/>
      <c r="E426" s="60" t="str">
        <f>IFERROR(VLOOKUP(F426,設定メニュー!$B$5:$C$30,2,0),"")</f>
        <v/>
      </c>
      <c r="F426" s="65" t="str">
        <f>IFERROR(VLOOKUP(B426,設定メニュー!$U$5:$W$30,2,0),"")</f>
        <v/>
      </c>
      <c r="G426" s="66"/>
      <c r="H426" s="60" t="str">
        <f>IFERROR(VLOOKUP(I426,設定メニュー!$B$5:$C$30,2,0),"")</f>
        <v/>
      </c>
      <c r="I426" s="55" t="str">
        <f>IFERROR(VLOOKUP(B426,設定メニュー!$U$5:$W$30,3,0),"")</f>
        <v/>
      </c>
      <c r="J426" s="809" t="str">
        <f t="shared" si="8"/>
        <v/>
      </c>
    </row>
    <row r="427" spans="1:10" ht="20.100000000000001" customHeight="1">
      <c r="A427" s="64"/>
      <c r="B427" s="48"/>
      <c r="C427" s="48"/>
      <c r="D427" s="585"/>
      <c r="E427" s="60" t="str">
        <f>IFERROR(VLOOKUP(F427,設定メニュー!$B$5:$C$30,2,0),"")</f>
        <v/>
      </c>
      <c r="F427" s="65" t="str">
        <f>IFERROR(VLOOKUP(B427,設定メニュー!$U$5:$W$30,2,0),"")</f>
        <v/>
      </c>
      <c r="G427" s="66"/>
      <c r="H427" s="60" t="str">
        <f>IFERROR(VLOOKUP(I427,設定メニュー!$B$5:$C$30,2,0),"")</f>
        <v/>
      </c>
      <c r="I427" s="55" t="str">
        <f>IFERROR(VLOOKUP(B427,設定メニュー!$U$5:$W$30,3,0),"")</f>
        <v/>
      </c>
      <c r="J427" s="809" t="str">
        <f t="shared" si="8"/>
        <v/>
      </c>
    </row>
    <row r="428" spans="1:10" ht="20.100000000000001" customHeight="1">
      <c r="A428" s="64"/>
      <c r="B428" s="48"/>
      <c r="C428" s="48"/>
      <c r="D428" s="585"/>
      <c r="E428" s="60" t="str">
        <f>IFERROR(VLOOKUP(F428,設定メニュー!$B$5:$C$30,2,0),"")</f>
        <v/>
      </c>
      <c r="F428" s="65" t="str">
        <f>IFERROR(VLOOKUP(B428,設定メニュー!$U$5:$W$30,2,0),"")</f>
        <v/>
      </c>
      <c r="G428" s="66"/>
      <c r="H428" s="60" t="str">
        <f>IFERROR(VLOOKUP(I428,設定メニュー!$B$5:$C$30,2,0),"")</f>
        <v/>
      </c>
      <c r="I428" s="55" t="str">
        <f>IFERROR(VLOOKUP(B428,設定メニュー!$U$5:$W$30,3,0),"")</f>
        <v/>
      </c>
      <c r="J428" s="809" t="str">
        <f t="shared" si="8"/>
        <v/>
      </c>
    </row>
    <row r="429" spans="1:10" ht="20.100000000000001" customHeight="1">
      <c r="A429" s="64"/>
      <c r="B429" s="48"/>
      <c r="C429" s="48"/>
      <c r="D429" s="585"/>
      <c r="E429" s="60" t="str">
        <f>IFERROR(VLOOKUP(F429,設定メニュー!$B$5:$C$30,2,0),"")</f>
        <v/>
      </c>
      <c r="F429" s="65" t="str">
        <f>IFERROR(VLOOKUP(B429,設定メニュー!$U$5:$W$30,2,0),"")</f>
        <v/>
      </c>
      <c r="G429" s="66"/>
      <c r="H429" s="60" t="str">
        <f>IFERROR(VLOOKUP(I429,設定メニュー!$B$5:$C$30,2,0),"")</f>
        <v/>
      </c>
      <c r="I429" s="55" t="str">
        <f>IFERROR(VLOOKUP(B429,設定メニュー!$U$5:$W$30,3,0),"")</f>
        <v/>
      </c>
      <c r="J429" s="809" t="str">
        <f t="shared" si="8"/>
        <v/>
      </c>
    </row>
    <row r="430" spans="1:10" ht="20.100000000000001" customHeight="1">
      <c r="A430" s="64"/>
      <c r="B430" s="48"/>
      <c r="C430" s="48"/>
      <c r="D430" s="585"/>
      <c r="E430" s="60" t="str">
        <f>IFERROR(VLOOKUP(F430,設定メニュー!$B$5:$C$30,2,0),"")</f>
        <v/>
      </c>
      <c r="F430" s="65" t="str">
        <f>IFERROR(VLOOKUP(B430,設定メニュー!$U$5:$W$30,2,0),"")</f>
        <v/>
      </c>
      <c r="G430" s="66"/>
      <c r="H430" s="60" t="str">
        <f>IFERROR(VLOOKUP(I430,設定メニュー!$B$5:$C$30,2,0),"")</f>
        <v/>
      </c>
      <c r="I430" s="55" t="str">
        <f>IFERROR(VLOOKUP(B430,設定メニュー!$U$5:$W$30,3,0),"")</f>
        <v/>
      </c>
      <c r="J430" s="809" t="str">
        <f t="shared" si="8"/>
        <v/>
      </c>
    </row>
    <row r="431" spans="1:10" ht="20.100000000000001" customHeight="1">
      <c r="A431" s="64"/>
      <c r="B431" s="48"/>
      <c r="C431" s="48"/>
      <c r="D431" s="585"/>
      <c r="E431" s="60" t="str">
        <f>IFERROR(VLOOKUP(F431,設定メニュー!$B$5:$C$30,2,0),"")</f>
        <v/>
      </c>
      <c r="F431" s="65" t="str">
        <f>IFERROR(VLOOKUP(B431,設定メニュー!$U$5:$W$30,2,0),"")</f>
        <v/>
      </c>
      <c r="G431" s="66"/>
      <c r="H431" s="60" t="str">
        <f>IFERROR(VLOOKUP(I431,設定メニュー!$B$5:$C$30,2,0),"")</f>
        <v/>
      </c>
      <c r="I431" s="55" t="str">
        <f>IFERROR(VLOOKUP(B431,設定メニュー!$U$5:$W$30,3,0),"")</f>
        <v/>
      </c>
      <c r="J431" s="809" t="str">
        <f t="shared" si="8"/>
        <v/>
      </c>
    </row>
    <row r="432" spans="1:10" ht="20.100000000000001" customHeight="1">
      <c r="A432" s="64"/>
      <c r="B432" s="48"/>
      <c r="C432" s="48"/>
      <c r="D432" s="585"/>
      <c r="E432" s="60" t="str">
        <f>IFERROR(VLOOKUP(F432,設定メニュー!$B$5:$C$30,2,0),"")</f>
        <v/>
      </c>
      <c r="F432" s="65" t="str">
        <f>IFERROR(VLOOKUP(B432,設定メニュー!$U$5:$W$30,2,0),"")</f>
        <v/>
      </c>
      <c r="G432" s="66"/>
      <c r="H432" s="60" t="str">
        <f>IFERROR(VLOOKUP(I432,設定メニュー!$B$5:$C$30,2,0),"")</f>
        <v/>
      </c>
      <c r="I432" s="55" t="str">
        <f>IFERROR(VLOOKUP(B432,設定メニュー!$U$5:$W$30,3,0),"")</f>
        <v/>
      </c>
      <c r="J432" s="809" t="str">
        <f t="shared" si="8"/>
        <v/>
      </c>
    </row>
    <row r="433" spans="1:10" ht="20.100000000000001" customHeight="1">
      <c r="A433" s="64"/>
      <c r="B433" s="48"/>
      <c r="C433" s="48"/>
      <c r="D433" s="585"/>
      <c r="E433" s="60" t="str">
        <f>IFERROR(VLOOKUP(F433,設定メニュー!$B$5:$C$30,2,0),"")</f>
        <v/>
      </c>
      <c r="F433" s="65" t="str">
        <f>IFERROR(VLOOKUP(B433,設定メニュー!$U$5:$W$30,2,0),"")</f>
        <v/>
      </c>
      <c r="G433" s="66"/>
      <c r="H433" s="60" t="str">
        <f>IFERROR(VLOOKUP(I433,設定メニュー!$B$5:$C$30,2,0),"")</f>
        <v/>
      </c>
      <c r="I433" s="55" t="str">
        <f>IFERROR(VLOOKUP(B433,設定メニュー!$U$5:$W$30,3,0),"")</f>
        <v/>
      </c>
      <c r="J433" s="809" t="str">
        <f t="shared" si="8"/>
        <v/>
      </c>
    </row>
    <row r="434" spans="1:10" ht="20.100000000000001" customHeight="1">
      <c r="A434" s="64"/>
      <c r="B434" s="48"/>
      <c r="C434" s="48"/>
      <c r="D434" s="585"/>
      <c r="E434" s="60" t="str">
        <f>IFERROR(VLOOKUP(F434,設定メニュー!$B$5:$C$30,2,0),"")</f>
        <v/>
      </c>
      <c r="F434" s="65" t="str">
        <f>IFERROR(VLOOKUP(B434,設定メニュー!$U$5:$W$30,2,0),"")</f>
        <v/>
      </c>
      <c r="G434" s="66"/>
      <c r="H434" s="60" t="str">
        <f>IFERROR(VLOOKUP(I434,設定メニュー!$B$5:$C$30,2,0),"")</f>
        <v/>
      </c>
      <c r="I434" s="55" t="str">
        <f>IFERROR(VLOOKUP(B434,設定メニュー!$U$5:$W$30,3,0),"")</f>
        <v/>
      </c>
      <c r="J434" s="809" t="str">
        <f t="shared" si="8"/>
        <v/>
      </c>
    </row>
    <row r="435" spans="1:10" ht="20.100000000000001" customHeight="1">
      <c r="A435" s="64"/>
      <c r="B435" s="48"/>
      <c r="C435" s="48"/>
      <c r="D435" s="585"/>
      <c r="E435" s="60" t="str">
        <f>IFERROR(VLOOKUP(F435,設定メニュー!$B$5:$C$30,2,0),"")</f>
        <v/>
      </c>
      <c r="F435" s="65" t="str">
        <f>IFERROR(VLOOKUP(B435,設定メニュー!$U$5:$W$30,2,0),"")</f>
        <v/>
      </c>
      <c r="G435" s="66"/>
      <c r="H435" s="60" t="str">
        <f>IFERROR(VLOOKUP(I435,設定メニュー!$B$5:$C$30,2,0),"")</f>
        <v/>
      </c>
      <c r="I435" s="55" t="str">
        <f>IFERROR(VLOOKUP(B435,設定メニュー!$U$5:$W$30,3,0),"")</f>
        <v/>
      </c>
      <c r="J435" s="809" t="str">
        <f t="shared" si="8"/>
        <v/>
      </c>
    </row>
    <row r="436" spans="1:10" ht="20.100000000000001" customHeight="1">
      <c r="A436" s="64"/>
      <c r="B436" s="48"/>
      <c r="C436" s="48"/>
      <c r="D436" s="585"/>
      <c r="E436" s="60" t="str">
        <f>IFERROR(VLOOKUP(F436,設定メニュー!$B$5:$C$30,2,0),"")</f>
        <v/>
      </c>
      <c r="F436" s="65" t="str">
        <f>IFERROR(VLOOKUP(B436,設定メニュー!$U$5:$W$30,2,0),"")</f>
        <v/>
      </c>
      <c r="G436" s="66"/>
      <c r="H436" s="60" t="str">
        <f>IFERROR(VLOOKUP(I436,設定メニュー!$B$5:$C$30,2,0),"")</f>
        <v/>
      </c>
      <c r="I436" s="55" t="str">
        <f>IFERROR(VLOOKUP(B436,設定メニュー!$U$5:$W$30,3,0),"")</f>
        <v/>
      </c>
      <c r="J436" s="809" t="str">
        <f t="shared" si="8"/>
        <v/>
      </c>
    </row>
    <row r="437" spans="1:10" ht="20.100000000000001" customHeight="1">
      <c r="A437" s="64"/>
      <c r="B437" s="48"/>
      <c r="C437" s="48"/>
      <c r="D437" s="585"/>
      <c r="E437" s="60" t="str">
        <f>IFERROR(VLOOKUP(F437,設定メニュー!$B$5:$C$30,2,0),"")</f>
        <v/>
      </c>
      <c r="F437" s="65" t="str">
        <f>IFERROR(VLOOKUP(B437,設定メニュー!$U$5:$W$30,2,0),"")</f>
        <v/>
      </c>
      <c r="G437" s="66"/>
      <c r="H437" s="60" t="str">
        <f>IFERROR(VLOOKUP(I437,設定メニュー!$B$5:$C$30,2,0),"")</f>
        <v/>
      </c>
      <c r="I437" s="55" t="str">
        <f>IFERROR(VLOOKUP(B437,設定メニュー!$U$5:$W$30,3,0),"")</f>
        <v/>
      </c>
      <c r="J437" s="809" t="str">
        <f t="shared" si="8"/>
        <v/>
      </c>
    </row>
    <row r="438" spans="1:10" ht="20.100000000000001" customHeight="1">
      <c r="A438" s="64"/>
      <c r="B438" s="48"/>
      <c r="C438" s="48"/>
      <c r="D438" s="585"/>
      <c r="E438" s="60" t="str">
        <f>IFERROR(VLOOKUP(F438,設定メニュー!$B$5:$C$30,2,0),"")</f>
        <v/>
      </c>
      <c r="F438" s="65" t="str">
        <f>IFERROR(VLOOKUP(B438,設定メニュー!$U$5:$W$30,2,0),"")</f>
        <v/>
      </c>
      <c r="G438" s="66"/>
      <c r="H438" s="60" t="str">
        <f>IFERROR(VLOOKUP(I438,設定メニュー!$B$5:$C$30,2,0),"")</f>
        <v/>
      </c>
      <c r="I438" s="55" t="str">
        <f>IFERROR(VLOOKUP(B438,設定メニュー!$U$5:$W$30,3,0),"")</f>
        <v/>
      </c>
      <c r="J438" s="809" t="str">
        <f t="shared" si="8"/>
        <v/>
      </c>
    </row>
    <row r="439" spans="1:10" ht="20.100000000000001" customHeight="1">
      <c r="A439" s="64"/>
      <c r="B439" s="48"/>
      <c r="C439" s="48"/>
      <c r="D439" s="585"/>
      <c r="E439" s="60" t="str">
        <f>IFERROR(VLOOKUP(F439,設定メニュー!$B$5:$C$30,2,0),"")</f>
        <v/>
      </c>
      <c r="F439" s="65" t="str">
        <f>IFERROR(VLOOKUP(B439,設定メニュー!$U$5:$W$30,2,0),"")</f>
        <v/>
      </c>
      <c r="G439" s="66"/>
      <c r="H439" s="60" t="str">
        <f>IFERROR(VLOOKUP(I439,設定メニュー!$B$5:$C$30,2,0),"")</f>
        <v/>
      </c>
      <c r="I439" s="55" t="str">
        <f>IFERROR(VLOOKUP(B439,設定メニュー!$U$5:$W$30,3,0),"")</f>
        <v/>
      </c>
      <c r="J439" s="809" t="str">
        <f t="shared" si="8"/>
        <v/>
      </c>
    </row>
    <row r="440" spans="1:10" ht="20.100000000000001" customHeight="1">
      <c r="A440" s="64"/>
      <c r="B440" s="48"/>
      <c r="C440" s="48"/>
      <c r="D440" s="585"/>
      <c r="E440" s="60" t="str">
        <f>IFERROR(VLOOKUP(F440,設定メニュー!$B$5:$C$30,2,0),"")</f>
        <v/>
      </c>
      <c r="F440" s="65" t="str">
        <f>IFERROR(VLOOKUP(B440,設定メニュー!$U$5:$W$30,2,0),"")</f>
        <v/>
      </c>
      <c r="G440" s="66"/>
      <c r="H440" s="60" t="str">
        <f>IFERROR(VLOOKUP(I440,設定メニュー!$B$5:$C$30,2,0),"")</f>
        <v/>
      </c>
      <c r="I440" s="55" t="str">
        <f>IFERROR(VLOOKUP(B440,設定メニュー!$U$5:$W$30,3,0),"")</f>
        <v/>
      </c>
      <c r="J440" s="809" t="str">
        <f t="shared" si="8"/>
        <v/>
      </c>
    </row>
    <row r="441" spans="1:10" ht="20.100000000000001" customHeight="1">
      <c r="A441" s="64"/>
      <c r="B441" s="48"/>
      <c r="C441" s="48"/>
      <c r="D441" s="585"/>
      <c r="E441" s="60" t="str">
        <f>IFERROR(VLOOKUP(F441,設定メニュー!$B$5:$C$30,2,0),"")</f>
        <v/>
      </c>
      <c r="F441" s="65" t="str">
        <f>IFERROR(VLOOKUP(B441,設定メニュー!$U$5:$W$30,2,0),"")</f>
        <v/>
      </c>
      <c r="G441" s="66"/>
      <c r="H441" s="60" t="str">
        <f>IFERROR(VLOOKUP(I441,設定メニュー!$B$5:$C$30,2,0),"")</f>
        <v/>
      </c>
      <c r="I441" s="55" t="str">
        <f>IFERROR(VLOOKUP(B441,設定メニュー!$U$5:$W$30,3,0),"")</f>
        <v/>
      </c>
      <c r="J441" s="809" t="str">
        <f t="shared" si="8"/>
        <v/>
      </c>
    </row>
    <row r="442" spans="1:10" ht="20.100000000000001" customHeight="1">
      <c r="A442" s="64"/>
      <c r="B442" s="48"/>
      <c r="C442" s="48"/>
      <c r="D442" s="585"/>
      <c r="E442" s="60" t="str">
        <f>IFERROR(VLOOKUP(F442,設定メニュー!$B$5:$C$30,2,0),"")</f>
        <v/>
      </c>
      <c r="F442" s="65" t="str">
        <f>IFERROR(VLOOKUP(B442,設定メニュー!$U$5:$W$30,2,0),"")</f>
        <v/>
      </c>
      <c r="G442" s="66"/>
      <c r="H442" s="60" t="str">
        <f>IFERROR(VLOOKUP(I442,設定メニュー!$B$5:$C$30,2,0),"")</f>
        <v/>
      </c>
      <c r="I442" s="55" t="str">
        <f>IFERROR(VLOOKUP(B442,設定メニュー!$U$5:$W$30,3,0),"")</f>
        <v/>
      </c>
      <c r="J442" s="809" t="str">
        <f t="shared" si="8"/>
        <v/>
      </c>
    </row>
    <row r="443" spans="1:10" ht="20.100000000000001" customHeight="1">
      <c r="A443" s="64"/>
      <c r="B443" s="48"/>
      <c r="C443" s="48"/>
      <c r="D443" s="585"/>
      <c r="E443" s="60" t="str">
        <f>IFERROR(VLOOKUP(F443,設定メニュー!$B$5:$C$30,2,0),"")</f>
        <v/>
      </c>
      <c r="F443" s="65" t="str">
        <f>IFERROR(VLOOKUP(B443,設定メニュー!$U$5:$W$30,2,0),"")</f>
        <v/>
      </c>
      <c r="G443" s="66"/>
      <c r="H443" s="60" t="str">
        <f>IFERROR(VLOOKUP(I443,設定メニュー!$B$5:$C$30,2,0),"")</f>
        <v/>
      </c>
      <c r="I443" s="55" t="str">
        <f>IFERROR(VLOOKUP(B443,設定メニュー!$U$5:$W$30,3,0),"")</f>
        <v/>
      </c>
      <c r="J443" s="809" t="str">
        <f t="shared" si="8"/>
        <v/>
      </c>
    </row>
    <row r="444" spans="1:10" ht="20.100000000000001" customHeight="1">
      <c r="A444" s="64"/>
      <c r="B444" s="48"/>
      <c r="C444" s="48"/>
      <c r="D444" s="585"/>
      <c r="E444" s="60" t="str">
        <f>IFERROR(VLOOKUP(F444,設定メニュー!$B$5:$C$30,2,0),"")</f>
        <v/>
      </c>
      <c r="F444" s="65" t="str">
        <f>IFERROR(VLOOKUP(B444,設定メニュー!$U$5:$W$30,2,0),"")</f>
        <v/>
      </c>
      <c r="G444" s="66"/>
      <c r="H444" s="60" t="str">
        <f>IFERROR(VLOOKUP(I444,設定メニュー!$B$5:$C$30,2,0),"")</f>
        <v/>
      </c>
      <c r="I444" s="55" t="str">
        <f>IFERROR(VLOOKUP(B444,設定メニュー!$U$5:$W$30,3,0),"")</f>
        <v/>
      </c>
      <c r="J444" s="809" t="str">
        <f t="shared" si="8"/>
        <v/>
      </c>
    </row>
    <row r="445" spans="1:10" ht="20.100000000000001" customHeight="1">
      <c r="A445" s="64"/>
      <c r="B445" s="48"/>
      <c r="C445" s="48"/>
      <c r="D445" s="585"/>
      <c r="E445" s="60" t="str">
        <f>IFERROR(VLOOKUP(F445,設定メニュー!$B$5:$C$30,2,0),"")</f>
        <v/>
      </c>
      <c r="F445" s="65" t="str">
        <f>IFERROR(VLOOKUP(B445,設定メニュー!$U$5:$W$30,2,0),"")</f>
        <v/>
      </c>
      <c r="G445" s="66"/>
      <c r="H445" s="60" t="str">
        <f>IFERROR(VLOOKUP(I445,設定メニュー!$B$5:$C$30,2,0),"")</f>
        <v/>
      </c>
      <c r="I445" s="55" t="str">
        <f>IFERROR(VLOOKUP(B445,設定メニュー!$U$5:$W$30,3,0),"")</f>
        <v/>
      </c>
      <c r="J445" s="809" t="str">
        <f t="shared" si="8"/>
        <v/>
      </c>
    </row>
    <row r="446" spans="1:10" ht="20.100000000000001" customHeight="1">
      <c r="A446" s="64"/>
      <c r="B446" s="48"/>
      <c r="C446" s="48"/>
      <c r="D446" s="585"/>
      <c r="E446" s="60" t="str">
        <f>IFERROR(VLOOKUP(F446,設定メニュー!$B$5:$C$30,2,0),"")</f>
        <v/>
      </c>
      <c r="F446" s="65" t="str">
        <f>IFERROR(VLOOKUP(B446,設定メニュー!$U$5:$W$30,2,0),"")</f>
        <v/>
      </c>
      <c r="G446" s="66"/>
      <c r="H446" s="60" t="str">
        <f>IFERROR(VLOOKUP(I446,設定メニュー!$B$5:$C$30,2,0),"")</f>
        <v/>
      </c>
      <c r="I446" s="55" t="str">
        <f>IFERROR(VLOOKUP(B446,設定メニュー!$U$5:$W$30,3,0),"")</f>
        <v/>
      </c>
      <c r="J446" s="809" t="str">
        <f t="shared" si="8"/>
        <v/>
      </c>
    </row>
    <row r="447" spans="1:10" ht="20.100000000000001" customHeight="1">
      <c r="A447" s="64"/>
      <c r="B447" s="48"/>
      <c r="C447" s="48"/>
      <c r="D447" s="585"/>
      <c r="E447" s="60" t="str">
        <f>IFERROR(VLOOKUP(F447,設定メニュー!$B$5:$C$30,2,0),"")</f>
        <v/>
      </c>
      <c r="F447" s="65" t="str">
        <f>IFERROR(VLOOKUP(B447,設定メニュー!$U$5:$W$30,2,0),"")</f>
        <v/>
      </c>
      <c r="G447" s="66"/>
      <c r="H447" s="60" t="str">
        <f>IFERROR(VLOOKUP(I447,設定メニュー!$B$5:$C$30,2,0),"")</f>
        <v/>
      </c>
      <c r="I447" s="55" t="str">
        <f>IFERROR(VLOOKUP(B447,設定メニュー!$U$5:$W$30,3,0),"")</f>
        <v/>
      </c>
      <c r="J447" s="809" t="str">
        <f t="shared" si="8"/>
        <v/>
      </c>
    </row>
    <row r="448" spans="1:10" ht="20.100000000000001" customHeight="1">
      <c r="A448" s="64"/>
      <c r="B448" s="48"/>
      <c r="C448" s="48"/>
      <c r="D448" s="585"/>
      <c r="E448" s="60" t="str">
        <f>IFERROR(VLOOKUP(F448,設定メニュー!$B$5:$C$30,2,0),"")</f>
        <v/>
      </c>
      <c r="F448" s="65" t="str">
        <f>IFERROR(VLOOKUP(B448,設定メニュー!$U$5:$W$30,2,0),"")</f>
        <v/>
      </c>
      <c r="G448" s="66"/>
      <c r="H448" s="60" t="str">
        <f>IFERROR(VLOOKUP(I448,設定メニュー!$B$5:$C$30,2,0),"")</f>
        <v/>
      </c>
      <c r="I448" s="55" t="str">
        <f>IFERROR(VLOOKUP(B448,設定メニュー!$U$5:$W$30,3,0),"")</f>
        <v/>
      </c>
      <c r="J448" s="809" t="str">
        <f t="shared" si="8"/>
        <v/>
      </c>
    </row>
    <row r="449" spans="1:10" ht="20.100000000000001" customHeight="1">
      <c r="A449" s="64"/>
      <c r="B449" s="48"/>
      <c r="C449" s="48"/>
      <c r="D449" s="585"/>
      <c r="E449" s="60" t="str">
        <f>IFERROR(VLOOKUP(F449,設定メニュー!$B$5:$C$30,2,0),"")</f>
        <v/>
      </c>
      <c r="F449" s="65" t="str">
        <f>IFERROR(VLOOKUP(B449,設定メニュー!$U$5:$W$30,2,0),"")</f>
        <v/>
      </c>
      <c r="G449" s="66"/>
      <c r="H449" s="60" t="str">
        <f>IFERROR(VLOOKUP(I449,設定メニュー!$B$5:$C$30,2,0),"")</f>
        <v/>
      </c>
      <c r="I449" s="55" t="str">
        <f>IFERROR(VLOOKUP(B449,設定メニュー!$U$5:$W$30,3,0),"")</f>
        <v/>
      </c>
      <c r="J449" s="809" t="str">
        <f t="shared" si="8"/>
        <v/>
      </c>
    </row>
    <row r="450" spans="1:10" ht="20.100000000000001" customHeight="1">
      <c r="A450" s="64"/>
      <c r="B450" s="48"/>
      <c r="C450" s="48"/>
      <c r="D450" s="585"/>
      <c r="E450" s="60" t="str">
        <f>IFERROR(VLOOKUP(F450,設定メニュー!$B$5:$C$30,2,0),"")</f>
        <v/>
      </c>
      <c r="F450" s="65" t="str">
        <f>IFERROR(VLOOKUP(B450,設定メニュー!$U$5:$W$30,2,0),"")</f>
        <v/>
      </c>
      <c r="G450" s="66"/>
      <c r="H450" s="60" t="str">
        <f>IFERROR(VLOOKUP(I450,設定メニュー!$B$5:$C$30,2,0),"")</f>
        <v/>
      </c>
      <c r="I450" s="55" t="str">
        <f>IFERROR(VLOOKUP(B450,設定メニュー!$U$5:$W$30,3,0),"")</f>
        <v/>
      </c>
      <c r="J450" s="809" t="str">
        <f t="shared" si="8"/>
        <v/>
      </c>
    </row>
    <row r="451" spans="1:10" ht="20.100000000000001" customHeight="1">
      <c r="A451" s="64"/>
      <c r="B451" s="48"/>
      <c r="C451" s="48"/>
      <c r="D451" s="585"/>
      <c r="E451" s="60" t="str">
        <f>IFERROR(VLOOKUP(F451,設定メニュー!$B$5:$C$30,2,0),"")</f>
        <v/>
      </c>
      <c r="F451" s="65" t="str">
        <f>IFERROR(VLOOKUP(B451,設定メニュー!$U$5:$W$30,2,0),"")</f>
        <v/>
      </c>
      <c r="G451" s="66"/>
      <c r="H451" s="60" t="str">
        <f>IFERROR(VLOOKUP(I451,設定メニュー!$B$5:$C$30,2,0),"")</f>
        <v/>
      </c>
      <c r="I451" s="55" t="str">
        <f>IFERROR(VLOOKUP(B451,設定メニュー!$U$5:$W$30,3,0),"")</f>
        <v/>
      </c>
      <c r="J451" s="809" t="str">
        <f t="shared" si="8"/>
        <v/>
      </c>
    </row>
    <row r="452" spans="1:10" ht="20.100000000000001" customHeight="1">
      <c r="A452" s="64"/>
      <c r="B452" s="48"/>
      <c r="C452" s="48"/>
      <c r="D452" s="585"/>
      <c r="E452" s="60" t="str">
        <f>IFERROR(VLOOKUP(F452,設定メニュー!$B$5:$C$30,2,0),"")</f>
        <v/>
      </c>
      <c r="F452" s="65" t="str">
        <f>IFERROR(VLOOKUP(B452,設定メニュー!$U$5:$W$30,2,0),"")</f>
        <v/>
      </c>
      <c r="G452" s="66"/>
      <c r="H452" s="60" t="str">
        <f>IFERROR(VLOOKUP(I452,設定メニュー!$B$5:$C$30,2,0),"")</f>
        <v/>
      </c>
      <c r="I452" s="55" t="str">
        <f>IFERROR(VLOOKUP(B452,設定メニュー!$U$5:$W$30,3,0),"")</f>
        <v/>
      </c>
      <c r="J452" s="809" t="str">
        <f t="shared" ref="J452:J507" si="9">IF(G452&lt;&gt;"",G452,"")</f>
        <v/>
      </c>
    </row>
    <row r="453" spans="1:10" ht="20.100000000000001" customHeight="1">
      <c r="A453" s="64"/>
      <c r="B453" s="48"/>
      <c r="C453" s="48"/>
      <c r="D453" s="585"/>
      <c r="E453" s="60" t="str">
        <f>IFERROR(VLOOKUP(F453,設定メニュー!$B$5:$C$30,2,0),"")</f>
        <v/>
      </c>
      <c r="F453" s="65" t="str">
        <f>IFERROR(VLOOKUP(B453,設定メニュー!$U$5:$W$30,2,0),"")</f>
        <v/>
      </c>
      <c r="G453" s="66"/>
      <c r="H453" s="60" t="str">
        <f>IFERROR(VLOOKUP(I453,設定メニュー!$B$5:$C$30,2,0),"")</f>
        <v/>
      </c>
      <c r="I453" s="55" t="str">
        <f>IFERROR(VLOOKUP(B453,設定メニュー!$U$5:$W$30,3,0),"")</f>
        <v/>
      </c>
      <c r="J453" s="809" t="str">
        <f t="shared" si="9"/>
        <v/>
      </c>
    </row>
    <row r="454" spans="1:10" ht="20.100000000000001" customHeight="1">
      <c r="A454" s="64"/>
      <c r="B454" s="48"/>
      <c r="C454" s="48"/>
      <c r="D454" s="585"/>
      <c r="E454" s="60" t="str">
        <f>IFERROR(VLOOKUP(F454,設定メニュー!$B$5:$C$30,2,0),"")</f>
        <v/>
      </c>
      <c r="F454" s="65" t="str">
        <f>IFERROR(VLOOKUP(B454,設定メニュー!$U$5:$W$30,2,0),"")</f>
        <v/>
      </c>
      <c r="G454" s="66"/>
      <c r="H454" s="60" t="str">
        <f>IFERROR(VLOOKUP(I454,設定メニュー!$B$5:$C$30,2,0),"")</f>
        <v/>
      </c>
      <c r="I454" s="55" t="str">
        <f>IFERROR(VLOOKUP(B454,設定メニュー!$U$5:$W$30,3,0),"")</f>
        <v/>
      </c>
      <c r="J454" s="809" t="str">
        <f t="shared" si="9"/>
        <v/>
      </c>
    </row>
    <row r="455" spans="1:10" ht="20.100000000000001" customHeight="1">
      <c r="A455" s="64"/>
      <c r="B455" s="48"/>
      <c r="C455" s="48"/>
      <c r="D455" s="585"/>
      <c r="E455" s="60" t="str">
        <f>IFERROR(VLOOKUP(F455,設定メニュー!$B$5:$C$30,2,0),"")</f>
        <v/>
      </c>
      <c r="F455" s="65" t="str">
        <f>IFERROR(VLOOKUP(B455,設定メニュー!$U$5:$W$30,2,0),"")</f>
        <v/>
      </c>
      <c r="G455" s="66"/>
      <c r="H455" s="60" t="str">
        <f>IFERROR(VLOOKUP(I455,設定メニュー!$B$5:$C$30,2,0),"")</f>
        <v/>
      </c>
      <c r="I455" s="55" t="str">
        <f>IFERROR(VLOOKUP(B455,設定メニュー!$U$5:$W$30,3,0),"")</f>
        <v/>
      </c>
      <c r="J455" s="809" t="str">
        <f t="shared" si="9"/>
        <v/>
      </c>
    </row>
    <row r="456" spans="1:10" ht="20.100000000000001" customHeight="1">
      <c r="A456" s="64"/>
      <c r="B456" s="48"/>
      <c r="C456" s="48"/>
      <c r="D456" s="585"/>
      <c r="E456" s="60" t="str">
        <f>IFERROR(VLOOKUP(F456,設定メニュー!$B$5:$C$30,2,0),"")</f>
        <v/>
      </c>
      <c r="F456" s="65" t="str">
        <f>IFERROR(VLOOKUP(B456,設定メニュー!$U$5:$W$30,2,0),"")</f>
        <v/>
      </c>
      <c r="G456" s="66"/>
      <c r="H456" s="60" t="str">
        <f>IFERROR(VLOOKUP(I456,設定メニュー!$B$5:$C$30,2,0),"")</f>
        <v/>
      </c>
      <c r="I456" s="55" t="str">
        <f>IFERROR(VLOOKUP(B456,設定メニュー!$U$5:$W$30,3,0),"")</f>
        <v/>
      </c>
      <c r="J456" s="809" t="str">
        <f t="shared" si="9"/>
        <v/>
      </c>
    </row>
    <row r="457" spans="1:10" ht="20.100000000000001" customHeight="1">
      <c r="A457" s="64"/>
      <c r="B457" s="48"/>
      <c r="C457" s="48"/>
      <c r="D457" s="585"/>
      <c r="E457" s="60" t="str">
        <f>IFERROR(VLOOKUP(F457,設定メニュー!$B$5:$C$30,2,0),"")</f>
        <v/>
      </c>
      <c r="F457" s="65" t="str">
        <f>IFERROR(VLOOKUP(B457,設定メニュー!$U$5:$W$30,2,0),"")</f>
        <v/>
      </c>
      <c r="G457" s="66"/>
      <c r="H457" s="60" t="str">
        <f>IFERROR(VLOOKUP(I457,設定メニュー!$B$5:$C$30,2,0),"")</f>
        <v/>
      </c>
      <c r="I457" s="55" t="str">
        <f>IFERROR(VLOOKUP(B457,設定メニュー!$U$5:$W$30,3,0),"")</f>
        <v/>
      </c>
      <c r="J457" s="809" t="str">
        <f t="shared" si="9"/>
        <v/>
      </c>
    </row>
    <row r="458" spans="1:10" ht="20.100000000000001" customHeight="1">
      <c r="A458" s="64"/>
      <c r="B458" s="48"/>
      <c r="C458" s="48"/>
      <c r="D458" s="585"/>
      <c r="E458" s="60" t="str">
        <f>IFERROR(VLOOKUP(F458,設定メニュー!$B$5:$C$30,2,0),"")</f>
        <v/>
      </c>
      <c r="F458" s="65" t="str">
        <f>IFERROR(VLOOKUP(B458,設定メニュー!$U$5:$W$30,2,0),"")</f>
        <v/>
      </c>
      <c r="G458" s="66"/>
      <c r="H458" s="60" t="str">
        <f>IFERROR(VLOOKUP(I458,設定メニュー!$B$5:$C$30,2,0),"")</f>
        <v/>
      </c>
      <c r="I458" s="55" t="str">
        <f>IFERROR(VLOOKUP(B458,設定メニュー!$U$5:$W$30,3,0),"")</f>
        <v/>
      </c>
      <c r="J458" s="809" t="str">
        <f t="shared" si="9"/>
        <v/>
      </c>
    </row>
    <row r="459" spans="1:10" ht="20.100000000000001" customHeight="1">
      <c r="A459" s="64"/>
      <c r="B459" s="48"/>
      <c r="C459" s="48"/>
      <c r="D459" s="585"/>
      <c r="E459" s="60" t="str">
        <f>IFERROR(VLOOKUP(F459,設定メニュー!$B$5:$C$30,2,0),"")</f>
        <v/>
      </c>
      <c r="F459" s="65" t="str">
        <f>IFERROR(VLOOKUP(B459,設定メニュー!$U$5:$W$30,2,0),"")</f>
        <v/>
      </c>
      <c r="G459" s="66"/>
      <c r="H459" s="60" t="str">
        <f>IFERROR(VLOOKUP(I459,設定メニュー!$B$5:$C$30,2,0),"")</f>
        <v/>
      </c>
      <c r="I459" s="55" t="str">
        <f>IFERROR(VLOOKUP(B459,設定メニュー!$U$5:$W$30,3,0),"")</f>
        <v/>
      </c>
      <c r="J459" s="809" t="str">
        <f t="shared" si="9"/>
        <v/>
      </c>
    </row>
    <row r="460" spans="1:10" ht="20.100000000000001" customHeight="1">
      <c r="A460" s="64"/>
      <c r="B460" s="48"/>
      <c r="C460" s="48"/>
      <c r="D460" s="585"/>
      <c r="E460" s="60" t="str">
        <f>IFERROR(VLOOKUP(F460,設定メニュー!$B$5:$C$30,2,0),"")</f>
        <v/>
      </c>
      <c r="F460" s="65" t="str">
        <f>IFERROR(VLOOKUP(B460,設定メニュー!$U$5:$W$30,2,0),"")</f>
        <v/>
      </c>
      <c r="G460" s="66"/>
      <c r="H460" s="60" t="str">
        <f>IFERROR(VLOOKUP(I460,設定メニュー!$B$5:$C$30,2,0),"")</f>
        <v/>
      </c>
      <c r="I460" s="55" t="str">
        <f>IFERROR(VLOOKUP(B460,設定メニュー!$U$5:$W$30,3,0),"")</f>
        <v/>
      </c>
      <c r="J460" s="809" t="str">
        <f t="shared" si="9"/>
        <v/>
      </c>
    </row>
    <row r="461" spans="1:10" ht="20.100000000000001" customHeight="1">
      <c r="A461" s="64"/>
      <c r="B461" s="48"/>
      <c r="C461" s="48"/>
      <c r="D461" s="585"/>
      <c r="E461" s="60" t="str">
        <f>IFERROR(VLOOKUP(F461,設定メニュー!$B$5:$C$30,2,0),"")</f>
        <v/>
      </c>
      <c r="F461" s="65" t="str">
        <f>IFERROR(VLOOKUP(B461,設定メニュー!$U$5:$W$30,2,0),"")</f>
        <v/>
      </c>
      <c r="G461" s="66"/>
      <c r="H461" s="60" t="str">
        <f>IFERROR(VLOOKUP(I461,設定メニュー!$B$5:$C$30,2,0),"")</f>
        <v/>
      </c>
      <c r="I461" s="55" t="str">
        <f>IFERROR(VLOOKUP(B461,設定メニュー!$U$5:$W$30,3,0),"")</f>
        <v/>
      </c>
      <c r="J461" s="809" t="str">
        <f t="shared" si="9"/>
        <v/>
      </c>
    </row>
    <row r="462" spans="1:10" ht="20.100000000000001" customHeight="1">
      <c r="A462" s="64"/>
      <c r="B462" s="48"/>
      <c r="C462" s="48"/>
      <c r="D462" s="585"/>
      <c r="E462" s="60" t="str">
        <f>IFERROR(VLOOKUP(F462,設定メニュー!$B$5:$C$30,2,0),"")</f>
        <v/>
      </c>
      <c r="F462" s="65" t="str">
        <f>IFERROR(VLOOKUP(B462,設定メニュー!$U$5:$W$30,2,0),"")</f>
        <v/>
      </c>
      <c r="G462" s="66"/>
      <c r="H462" s="60" t="str">
        <f>IFERROR(VLOOKUP(I462,設定メニュー!$B$5:$C$30,2,0),"")</f>
        <v/>
      </c>
      <c r="I462" s="55" t="str">
        <f>IFERROR(VLOOKUP(B462,設定メニュー!$U$5:$W$30,3,0),"")</f>
        <v/>
      </c>
      <c r="J462" s="809" t="str">
        <f t="shared" si="9"/>
        <v/>
      </c>
    </row>
    <row r="463" spans="1:10" ht="20.100000000000001" customHeight="1">
      <c r="A463" s="64"/>
      <c r="B463" s="48"/>
      <c r="C463" s="48"/>
      <c r="D463" s="585"/>
      <c r="E463" s="60" t="str">
        <f>IFERROR(VLOOKUP(F463,設定メニュー!$B$5:$C$30,2,0),"")</f>
        <v/>
      </c>
      <c r="F463" s="65" t="str">
        <f>IFERROR(VLOOKUP(B463,設定メニュー!$U$5:$W$30,2,0),"")</f>
        <v/>
      </c>
      <c r="G463" s="66"/>
      <c r="H463" s="60" t="str">
        <f>IFERROR(VLOOKUP(I463,設定メニュー!$B$5:$C$30,2,0),"")</f>
        <v/>
      </c>
      <c r="I463" s="55" t="str">
        <f>IFERROR(VLOOKUP(B463,設定メニュー!$U$5:$W$30,3,0),"")</f>
        <v/>
      </c>
      <c r="J463" s="809" t="str">
        <f t="shared" si="9"/>
        <v/>
      </c>
    </row>
    <row r="464" spans="1:10" ht="20.100000000000001" customHeight="1">
      <c r="A464" s="64"/>
      <c r="B464" s="48"/>
      <c r="C464" s="48"/>
      <c r="D464" s="585"/>
      <c r="E464" s="60" t="str">
        <f>IFERROR(VLOOKUP(F464,設定メニュー!$B$5:$C$30,2,0),"")</f>
        <v/>
      </c>
      <c r="F464" s="65" t="str">
        <f>IFERROR(VLOOKUP(B464,設定メニュー!$U$5:$W$30,2,0),"")</f>
        <v/>
      </c>
      <c r="G464" s="66"/>
      <c r="H464" s="60" t="str">
        <f>IFERROR(VLOOKUP(I464,設定メニュー!$B$5:$C$30,2,0),"")</f>
        <v/>
      </c>
      <c r="I464" s="55" t="str">
        <f>IFERROR(VLOOKUP(B464,設定メニュー!$U$5:$W$30,3,0),"")</f>
        <v/>
      </c>
      <c r="J464" s="809" t="str">
        <f t="shared" si="9"/>
        <v/>
      </c>
    </row>
    <row r="465" spans="1:10" ht="20.100000000000001" customHeight="1">
      <c r="A465" s="64"/>
      <c r="B465" s="48"/>
      <c r="C465" s="48"/>
      <c r="D465" s="585"/>
      <c r="E465" s="60" t="str">
        <f>IFERROR(VLOOKUP(F465,設定メニュー!$B$5:$C$30,2,0),"")</f>
        <v/>
      </c>
      <c r="F465" s="65" t="str">
        <f>IFERROR(VLOOKUP(B465,設定メニュー!$U$5:$W$30,2,0),"")</f>
        <v/>
      </c>
      <c r="G465" s="66"/>
      <c r="H465" s="60" t="str">
        <f>IFERROR(VLOOKUP(I465,設定メニュー!$B$5:$C$30,2,0),"")</f>
        <v/>
      </c>
      <c r="I465" s="55" t="str">
        <f>IFERROR(VLOOKUP(B465,設定メニュー!$U$5:$W$30,3,0),"")</f>
        <v/>
      </c>
      <c r="J465" s="809" t="str">
        <f t="shared" si="9"/>
        <v/>
      </c>
    </row>
    <row r="466" spans="1:10" ht="20.100000000000001" customHeight="1">
      <c r="A466" s="64"/>
      <c r="B466" s="48"/>
      <c r="C466" s="48"/>
      <c r="D466" s="585"/>
      <c r="E466" s="60" t="str">
        <f>IFERROR(VLOOKUP(F466,設定メニュー!$B$5:$C$30,2,0),"")</f>
        <v/>
      </c>
      <c r="F466" s="65" t="str">
        <f>IFERROR(VLOOKUP(B466,設定メニュー!$U$5:$W$30,2,0),"")</f>
        <v/>
      </c>
      <c r="G466" s="66"/>
      <c r="H466" s="60" t="str">
        <f>IFERROR(VLOOKUP(I466,設定メニュー!$B$5:$C$30,2,0),"")</f>
        <v/>
      </c>
      <c r="I466" s="55" t="str">
        <f>IFERROR(VLOOKUP(B466,設定メニュー!$U$5:$W$30,3,0),"")</f>
        <v/>
      </c>
      <c r="J466" s="809" t="str">
        <f t="shared" si="9"/>
        <v/>
      </c>
    </row>
    <row r="467" spans="1:10" ht="20.100000000000001" customHeight="1">
      <c r="A467" s="64"/>
      <c r="B467" s="48"/>
      <c r="C467" s="48"/>
      <c r="D467" s="585"/>
      <c r="E467" s="60" t="str">
        <f>IFERROR(VLOOKUP(F467,設定メニュー!$B$5:$C$30,2,0),"")</f>
        <v/>
      </c>
      <c r="F467" s="65" t="str">
        <f>IFERROR(VLOOKUP(B467,設定メニュー!$U$5:$W$30,2,0),"")</f>
        <v/>
      </c>
      <c r="G467" s="66"/>
      <c r="H467" s="60" t="str">
        <f>IFERROR(VLOOKUP(I467,設定メニュー!$B$5:$C$30,2,0),"")</f>
        <v/>
      </c>
      <c r="I467" s="55" t="str">
        <f>IFERROR(VLOOKUP(B467,設定メニュー!$U$5:$W$30,3,0),"")</f>
        <v/>
      </c>
      <c r="J467" s="809" t="str">
        <f t="shared" si="9"/>
        <v/>
      </c>
    </row>
    <row r="468" spans="1:10" ht="20.100000000000001" customHeight="1">
      <c r="A468" s="64"/>
      <c r="B468" s="48"/>
      <c r="C468" s="48"/>
      <c r="D468" s="585"/>
      <c r="E468" s="60" t="str">
        <f>IFERROR(VLOOKUP(F468,設定メニュー!$B$5:$C$30,2,0),"")</f>
        <v/>
      </c>
      <c r="F468" s="65" t="str">
        <f>IFERROR(VLOOKUP(B468,設定メニュー!$U$5:$W$30,2,0),"")</f>
        <v/>
      </c>
      <c r="G468" s="66"/>
      <c r="H468" s="60" t="str">
        <f>IFERROR(VLOOKUP(I468,設定メニュー!$B$5:$C$30,2,0),"")</f>
        <v/>
      </c>
      <c r="I468" s="55" t="str">
        <f>IFERROR(VLOOKUP(B468,設定メニュー!$U$5:$W$30,3,0),"")</f>
        <v/>
      </c>
      <c r="J468" s="809" t="str">
        <f t="shared" si="9"/>
        <v/>
      </c>
    </row>
    <row r="469" spans="1:10" ht="20.100000000000001" customHeight="1">
      <c r="A469" s="64"/>
      <c r="B469" s="48"/>
      <c r="C469" s="48"/>
      <c r="D469" s="585"/>
      <c r="E469" s="60" t="str">
        <f>IFERROR(VLOOKUP(F469,設定メニュー!$B$5:$C$30,2,0),"")</f>
        <v/>
      </c>
      <c r="F469" s="65" t="str">
        <f>IFERROR(VLOOKUP(B469,設定メニュー!$U$5:$W$30,2,0),"")</f>
        <v/>
      </c>
      <c r="G469" s="66"/>
      <c r="H469" s="60" t="str">
        <f>IFERROR(VLOOKUP(I469,設定メニュー!$B$5:$C$30,2,0),"")</f>
        <v/>
      </c>
      <c r="I469" s="55" t="str">
        <f>IFERROR(VLOOKUP(B469,設定メニュー!$U$5:$W$30,3,0),"")</f>
        <v/>
      </c>
      <c r="J469" s="809" t="str">
        <f t="shared" si="9"/>
        <v/>
      </c>
    </row>
    <row r="470" spans="1:10" ht="20.100000000000001" customHeight="1">
      <c r="A470" s="64"/>
      <c r="B470" s="48"/>
      <c r="C470" s="48"/>
      <c r="D470" s="585"/>
      <c r="E470" s="60" t="str">
        <f>IFERROR(VLOOKUP(F470,設定メニュー!$B$5:$C$30,2,0),"")</f>
        <v/>
      </c>
      <c r="F470" s="65" t="str">
        <f>IFERROR(VLOOKUP(B470,設定メニュー!$U$5:$W$30,2,0),"")</f>
        <v/>
      </c>
      <c r="G470" s="66"/>
      <c r="H470" s="60" t="str">
        <f>IFERROR(VLOOKUP(I470,設定メニュー!$B$5:$C$30,2,0),"")</f>
        <v/>
      </c>
      <c r="I470" s="55" t="str">
        <f>IFERROR(VLOOKUP(B470,設定メニュー!$U$5:$W$30,3,0),"")</f>
        <v/>
      </c>
      <c r="J470" s="809" t="str">
        <f t="shared" si="9"/>
        <v/>
      </c>
    </row>
    <row r="471" spans="1:10" ht="20.100000000000001" customHeight="1">
      <c r="A471" s="64"/>
      <c r="B471" s="48"/>
      <c r="C471" s="48"/>
      <c r="D471" s="585"/>
      <c r="E471" s="60" t="str">
        <f>IFERROR(VLOOKUP(F471,設定メニュー!$B$5:$C$30,2,0),"")</f>
        <v/>
      </c>
      <c r="F471" s="65" t="str">
        <f>IFERROR(VLOOKUP(B471,設定メニュー!$U$5:$W$30,2,0),"")</f>
        <v/>
      </c>
      <c r="G471" s="66"/>
      <c r="H471" s="60" t="str">
        <f>IFERROR(VLOOKUP(I471,設定メニュー!$B$5:$C$30,2,0),"")</f>
        <v/>
      </c>
      <c r="I471" s="55" t="str">
        <f>IFERROR(VLOOKUP(B471,設定メニュー!$U$5:$W$30,3,0),"")</f>
        <v/>
      </c>
      <c r="J471" s="809" t="str">
        <f t="shared" si="9"/>
        <v/>
      </c>
    </row>
    <row r="472" spans="1:10" ht="20.100000000000001" customHeight="1">
      <c r="A472" s="64"/>
      <c r="B472" s="48"/>
      <c r="C472" s="48"/>
      <c r="D472" s="585"/>
      <c r="E472" s="60" t="str">
        <f>IFERROR(VLOOKUP(F472,設定メニュー!$B$5:$C$30,2,0),"")</f>
        <v/>
      </c>
      <c r="F472" s="65" t="str">
        <f>IFERROR(VLOOKUP(B472,設定メニュー!$U$5:$W$30,2,0),"")</f>
        <v/>
      </c>
      <c r="G472" s="66"/>
      <c r="H472" s="60" t="str">
        <f>IFERROR(VLOOKUP(I472,設定メニュー!$B$5:$C$30,2,0),"")</f>
        <v/>
      </c>
      <c r="I472" s="55" t="str">
        <f>IFERROR(VLOOKUP(B472,設定メニュー!$U$5:$W$30,3,0),"")</f>
        <v/>
      </c>
      <c r="J472" s="809" t="str">
        <f t="shared" si="9"/>
        <v/>
      </c>
    </row>
    <row r="473" spans="1:10" ht="20.100000000000001" customHeight="1">
      <c r="A473" s="64"/>
      <c r="B473" s="48"/>
      <c r="C473" s="48"/>
      <c r="D473" s="585"/>
      <c r="E473" s="60" t="str">
        <f>IFERROR(VLOOKUP(F473,設定メニュー!$B$5:$C$30,2,0),"")</f>
        <v/>
      </c>
      <c r="F473" s="65" t="str">
        <f>IFERROR(VLOOKUP(B473,設定メニュー!$U$5:$W$30,2,0),"")</f>
        <v/>
      </c>
      <c r="G473" s="66"/>
      <c r="H473" s="60" t="str">
        <f>IFERROR(VLOOKUP(I473,設定メニュー!$B$5:$C$30,2,0),"")</f>
        <v/>
      </c>
      <c r="I473" s="55" t="str">
        <f>IFERROR(VLOOKUP(B473,設定メニュー!$U$5:$W$30,3,0),"")</f>
        <v/>
      </c>
      <c r="J473" s="809" t="str">
        <f t="shared" si="9"/>
        <v/>
      </c>
    </row>
    <row r="474" spans="1:10" ht="20.100000000000001" customHeight="1">
      <c r="A474" s="64"/>
      <c r="B474" s="48"/>
      <c r="C474" s="48"/>
      <c r="D474" s="585"/>
      <c r="E474" s="60" t="str">
        <f>IFERROR(VLOOKUP(F474,設定メニュー!$B$5:$C$30,2,0),"")</f>
        <v/>
      </c>
      <c r="F474" s="65" t="str">
        <f>IFERROR(VLOOKUP(B474,設定メニュー!$U$5:$W$30,2,0),"")</f>
        <v/>
      </c>
      <c r="G474" s="66"/>
      <c r="H474" s="60" t="str">
        <f>IFERROR(VLOOKUP(I474,設定メニュー!$B$5:$C$30,2,0),"")</f>
        <v/>
      </c>
      <c r="I474" s="55" t="str">
        <f>IFERROR(VLOOKUP(B474,設定メニュー!$U$5:$W$30,3,0),"")</f>
        <v/>
      </c>
      <c r="J474" s="809" t="str">
        <f t="shared" si="9"/>
        <v/>
      </c>
    </row>
    <row r="475" spans="1:10" ht="20.100000000000001" customHeight="1">
      <c r="A475" s="64"/>
      <c r="B475" s="48"/>
      <c r="C475" s="48"/>
      <c r="D475" s="585"/>
      <c r="E475" s="60" t="str">
        <f>IFERROR(VLOOKUP(F475,設定メニュー!$B$5:$C$30,2,0),"")</f>
        <v/>
      </c>
      <c r="F475" s="65" t="str">
        <f>IFERROR(VLOOKUP(B475,設定メニュー!$U$5:$W$30,2,0),"")</f>
        <v/>
      </c>
      <c r="G475" s="66"/>
      <c r="H475" s="60" t="str">
        <f>IFERROR(VLOOKUP(I475,設定メニュー!$B$5:$C$30,2,0),"")</f>
        <v/>
      </c>
      <c r="I475" s="55" t="str">
        <f>IFERROR(VLOOKUP(B475,設定メニュー!$U$5:$W$30,3,0),"")</f>
        <v/>
      </c>
      <c r="J475" s="809" t="str">
        <f t="shared" si="9"/>
        <v/>
      </c>
    </row>
    <row r="476" spans="1:10" ht="20.100000000000001" customHeight="1">
      <c r="A476" s="64"/>
      <c r="B476" s="48"/>
      <c r="C476" s="48"/>
      <c r="D476" s="585"/>
      <c r="E476" s="60" t="str">
        <f>IFERROR(VLOOKUP(F476,設定メニュー!$B$5:$C$30,2,0),"")</f>
        <v/>
      </c>
      <c r="F476" s="65" t="str">
        <f>IFERROR(VLOOKUP(B476,設定メニュー!$U$5:$W$30,2,0),"")</f>
        <v/>
      </c>
      <c r="G476" s="66"/>
      <c r="H476" s="60" t="str">
        <f>IFERROR(VLOOKUP(I476,設定メニュー!$B$5:$C$30,2,0),"")</f>
        <v/>
      </c>
      <c r="I476" s="55" t="str">
        <f>IFERROR(VLOOKUP(B476,設定メニュー!$U$5:$W$30,3,0),"")</f>
        <v/>
      </c>
      <c r="J476" s="809" t="str">
        <f t="shared" si="9"/>
        <v/>
      </c>
    </row>
    <row r="477" spans="1:10" ht="20.100000000000001" customHeight="1">
      <c r="A477" s="64"/>
      <c r="B477" s="48"/>
      <c r="C477" s="48"/>
      <c r="D477" s="585"/>
      <c r="E477" s="60" t="str">
        <f>IFERROR(VLOOKUP(F477,設定メニュー!$B$5:$C$30,2,0),"")</f>
        <v/>
      </c>
      <c r="F477" s="65" t="str">
        <f>IFERROR(VLOOKUP(B477,設定メニュー!$U$5:$W$30,2,0),"")</f>
        <v/>
      </c>
      <c r="G477" s="66"/>
      <c r="H477" s="60" t="str">
        <f>IFERROR(VLOOKUP(I477,設定メニュー!$B$5:$C$30,2,0),"")</f>
        <v/>
      </c>
      <c r="I477" s="55" t="str">
        <f>IFERROR(VLOOKUP(B477,設定メニュー!$U$5:$W$30,3,0),"")</f>
        <v/>
      </c>
      <c r="J477" s="809" t="str">
        <f t="shared" si="9"/>
        <v/>
      </c>
    </row>
    <row r="478" spans="1:10" ht="20.100000000000001" customHeight="1">
      <c r="A478" s="64"/>
      <c r="B478" s="48"/>
      <c r="C478" s="48"/>
      <c r="D478" s="585"/>
      <c r="E478" s="60" t="str">
        <f>IFERROR(VLOOKUP(F478,設定メニュー!$B$5:$C$30,2,0),"")</f>
        <v/>
      </c>
      <c r="F478" s="65" t="str">
        <f>IFERROR(VLOOKUP(B478,設定メニュー!$U$5:$W$30,2,0),"")</f>
        <v/>
      </c>
      <c r="G478" s="66"/>
      <c r="H478" s="60" t="str">
        <f>IFERROR(VLOOKUP(I478,設定メニュー!$B$5:$C$30,2,0),"")</f>
        <v/>
      </c>
      <c r="I478" s="55" t="str">
        <f>IFERROR(VLOOKUP(B478,設定メニュー!$U$5:$W$30,3,0),"")</f>
        <v/>
      </c>
      <c r="J478" s="809" t="str">
        <f t="shared" si="9"/>
        <v/>
      </c>
    </row>
    <row r="479" spans="1:10" ht="20.100000000000001" customHeight="1">
      <c r="A479" s="64"/>
      <c r="B479" s="48"/>
      <c r="C479" s="48"/>
      <c r="D479" s="585"/>
      <c r="E479" s="60" t="str">
        <f>IFERROR(VLOOKUP(F479,設定メニュー!$B$5:$C$30,2,0),"")</f>
        <v/>
      </c>
      <c r="F479" s="65" t="str">
        <f>IFERROR(VLOOKUP(B479,設定メニュー!$U$5:$W$30,2,0),"")</f>
        <v/>
      </c>
      <c r="G479" s="66"/>
      <c r="H479" s="60" t="str">
        <f>IFERROR(VLOOKUP(I479,設定メニュー!$B$5:$C$30,2,0),"")</f>
        <v/>
      </c>
      <c r="I479" s="55" t="str">
        <f>IFERROR(VLOOKUP(B479,設定メニュー!$U$5:$W$30,3,0),"")</f>
        <v/>
      </c>
      <c r="J479" s="809" t="str">
        <f t="shared" si="9"/>
        <v/>
      </c>
    </row>
    <row r="480" spans="1:10" ht="20.100000000000001" customHeight="1">
      <c r="A480" s="64"/>
      <c r="B480" s="48"/>
      <c r="C480" s="48"/>
      <c r="D480" s="585"/>
      <c r="E480" s="60" t="str">
        <f>IFERROR(VLOOKUP(F480,設定メニュー!$B$5:$C$30,2,0),"")</f>
        <v/>
      </c>
      <c r="F480" s="65" t="str">
        <f>IFERROR(VLOOKUP(B480,設定メニュー!$U$5:$W$30,2,0),"")</f>
        <v/>
      </c>
      <c r="G480" s="66"/>
      <c r="H480" s="60" t="str">
        <f>IFERROR(VLOOKUP(I480,設定メニュー!$B$5:$C$30,2,0),"")</f>
        <v/>
      </c>
      <c r="I480" s="55" t="str">
        <f>IFERROR(VLOOKUP(B480,設定メニュー!$U$5:$W$30,3,0),"")</f>
        <v/>
      </c>
      <c r="J480" s="809" t="str">
        <f t="shared" si="9"/>
        <v/>
      </c>
    </row>
    <row r="481" spans="1:10" ht="20.100000000000001" customHeight="1">
      <c r="A481" s="64"/>
      <c r="B481" s="48"/>
      <c r="C481" s="48"/>
      <c r="D481" s="585"/>
      <c r="E481" s="60" t="str">
        <f>IFERROR(VLOOKUP(F481,設定メニュー!$B$5:$C$30,2,0),"")</f>
        <v/>
      </c>
      <c r="F481" s="65" t="str">
        <f>IFERROR(VLOOKUP(B481,設定メニュー!$U$5:$W$30,2,0),"")</f>
        <v/>
      </c>
      <c r="G481" s="66"/>
      <c r="H481" s="60" t="str">
        <f>IFERROR(VLOOKUP(I481,設定メニュー!$B$5:$C$30,2,0),"")</f>
        <v/>
      </c>
      <c r="I481" s="55" t="str">
        <f>IFERROR(VLOOKUP(B481,設定メニュー!$U$5:$W$30,3,0),"")</f>
        <v/>
      </c>
      <c r="J481" s="809" t="str">
        <f t="shared" si="9"/>
        <v/>
      </c>
    </row>
    <row r="482" spans="1:10" ht="20.100000000000001" customHeight="1">
      <c r="A482" s="64"/>
      <c r="B482" s="48"/>
      <c r="C482" s="48"/>
      <c r="D482" s="585"/>
      <c r="E482" s="60" t="str">
        <f>IFERROR(VLOOKUP(F482,設定メニュー!$B$5:$C$30,2,0),"")</f>
        <v/>
      </c>
      <c r="F482" s="65" t="str">
        <f>IFERROR(VLOOKUP(B482,設定メニュー!$U$5:$W$30,2,0),"")</f>
        <v/>
      </c>
      <c r="G482" s="66"/>
      <c r="H482" s="60" t="str">
        <f>IFERROR(VLOOKUP(I482,設定メニュー!$B$5:$C$30,2,0),"")</f>
        <v/>
      </c>
      <c r="I482" s="55" t="str">
        <f>IFERROR(VLOOKUP(B482,設定メニュー!$U$5:$W$30,3,0),"")</f>
        <v/>
      </c>
      <c r="J482" s="809" t="str">
        <f t="shared" si="9"/>
        <v/>
      </c>
    </row>
    <row r="483" spans="1:10" ht="20.100000000000001" customHeight="1">
      <c r="A483" s="64"/>
      <c r="B483" s="48"/>
      <c r="C483" s="48"/>
      <c r="D483" s="585"/>
      <c r="E483" s="60" t="str">
        <f>IFERROR(VLOOKUP(F483,設定メニュー!$B$5:$C$30,2,0),"")</f>
        <v/>
      </c>
      <c r="F483" s="65" t="str">
        <f>IFERROR(VLOOKUP(B483,設定メニュー!$U$5:$W$30,2,0),"")</f>
        <v/>
      </c>
      <c r="G483" s="66"/>
      <c r="H483" s="60" t="str">
        <f>IFERROR(VLOOKUP(I483,設定メニュー!$B$5:$C$30,2,0),"")</f>
        <v/>
      </c>
      <c r="I483" s="55" t="str">
        <f>IFERROR(VLOOKUP(B483,設定メニュー!$U$5:$W$30,3,0),"")</f>
        <v/>
      </c>
      <c r="J483" s="809" t="str">
        <f t="shared" si="9"/>
        <v/>
      </c>
    </row>
    <row r="484" spans="1:10" ht="20.100000000000001" customHeight="1">
      <c r="A484" s="64"/>
      <c r="B484" s="48"/>
      <c r="C484" s="48"/>
      <c r="D484" s="585"/>
      <c r="E484" s="60" t="str">
        <f>IFERROR(VLOOKUP(F484,設定メニュー!$B$5:$C$30,2,0),"")</f>
        <v/>
      </c>
      <c r="F484" s="65" t="str">
        <f>IFERROR(VLOOKUP(B484,設定メニュー!$U$5:$W$30,2,0),"")</f>
        <v/>
      </c>
      <c r="G484" s="66"/>
      <c r="H484" s="60" t="str">
        <f>IFERROR(VLOOKUP(I484,設定メニュー!$B$5:$C$30,2,0),"")</f>
        <v/>
      </c>
      <c r="I484" s="55" t="str">
        <f>IFERROR(VLOOKUP(B484,設定メニュー!$U$5:$W$30,3,0),"")</f>
        <v/>
      </c>
      <c r="J484" s="809" t="str">
        <f t="shared" si="9"/>
        <v/>
      </c>
    </row>
    <row r="485" spans="1:10" ht="20.100000000000001" customHeight="1">
      <c r="A485" s="64"/>
      <c r="B485" s="48"/>
      <c r="C485" s="48"/>
      <c r="D485" s="585"/>
      <c r="E485" s="60" t="str">
        <f>IFERROR(VLOOKUP(F485,設定メニュー!$B$5:$C$30,2,0),"")</f>
        <v/>
      </c>
      <c r="F485" s="65" t="str">
        <f>IFERROR(VLOOKUP(B485,設定メニュー!$U$5:$W$30,2,0),"")</f>
        <v/>
      </c>
      <c r="G485" s="66"/>
      <c r="H485" s="60" t="str">
        <f>IFERROR(VLOOKUP(I485,設定メニュー!$B$5:$C$30,2,0),"")</f>
        <v/>
      </c>
      <c r="I485" s="55" t="str">
        <f>IFERROR(VLOOKUP(B485,設定メニュー!$U$5:$W$30,3,0),"")</f>
        <v/>
      </c>
      <c r="J485" s="809" t="str">
        <f t="shared" si="9"/>
        <v/>
      </c>
    </row>
    <row r="486" spans="1:10" ht="20.100000000000001" customHeight="1">
      <c r="A486" s="64"/>
      <c r="B486" s="48"/>
      <c r="C486" s="48"/>
      <c r="D486" s="585"/>
      <c r="E486" s="60" t="str">
        <f>IFERROR(VLOOKUP(F486,設定メニュー!$B$5:$C$30,2,0),"")</f>
        <v/>
      </c>
      <c r="F486" s="65" t="str">
        <f>IFERROR(VLOOKUP(B486,設定メニュー!$U$5:$W$30,2,0),"")</f>
        <v/>
      </c>
      <c r="G486" s="66"/>
      <c r="H486" s="60" t="str">
        <f>IFERROR(VLOOKUP(I486,設定メニュー!$B$5:$C$30,2,0),"")</f>
        <v/>
      </c>
      <c r="I486" s="55" t="str">
        <f>IFERROR(VLOOKUP(B486,設定メニュー!$U$5:$W$30,3,0),"")</f>
        <v/>
      </c>
      <c r="J486" s="809" t="str">
        <f t="shared" si="9"/>
        <v/>
      </c>
    </row>
    <row r="487" spans="1:10" ht="20.100000000000001" customHeight="1">
      <c r="A487" s="64"/>
      <c r="B487" s="48"/>
      <c r="C487" s="48"/>
      <c r="D487" s="585"/>
      <c r="E487" s="60" t="str">
        <f>IFERROR(VLOOKUP(F487,設定メニュー!$B$5:$C$30,2,0),"")</f>
        <v/>
      </c>
      <c r="F487" s="65" t="str">
        <f>IFERROR(VLOOKUP(B487,設定メニュー!$U$5:$W$30,2,0),"")</f>
        <v/>
      </c>
      <c r="G487" s="66"/>
      <c r="H487" s="60" t="str">
        <f>IFERROR(VLOOKUP(I487,設定メニュー!$B$5:$C$30,2,0),"")</f>
        <v/>
      </c>
      <c r="I487" s="55" t="str">
        <f>IFERROR(VLOOKUP(B487,設定メニュー!$U$5:$W$30,3,0),"")</f>
        <v/>
      </c>
      <c r="J487" s="809" t="str">
        <f t="shared" si="9"/>
        <v/>
      </c>
    </row>
    <row r="488" spans="1:10" ht="20.100000000000001" customHeight="1">
      <c r="A488" s="64"/>
      <c r="B488" s="48"/>
      <c r="C488" s="48"/>
      <c r="D488" s="585"/>
      <c r="E488" s="60" t="str">
        <f>IFERROR(VLOOKUP(F488,設定メニュー!$B$5:$C$30,2,0),"")</f>
        <v/>
      </c>
      <c r="F488" s="65" t="str">
        <f>IFERROR(VLOOKUP(B488,設定メニュー!$U$5:$W$30,2,0),"")</f>
        <v/>
      </c>
      <c r="G488" s="66"/>
      <c r="H488" s="60" t="str">
        <f>IFERROR(VLOOKUP(I488,設定メニュー!$B$5:$C$30,2,0),"")</f>
        <v/>
      </c>
      <c r="I488" s="55" t="str">
        <f>IFERROR(VLOOKUP(B488,設定メニュー!$U$5:$W$30,3,0),"")</f>
        <v/>
      </c>
      <c r="J488" s="809" t="str">
        <f t="shared" si="9"/>
        <v/>
      </c>
    </row>
    <row r="489" spans="1:10" ht="20.100000000000001" customHeight="1">
      <c r="A489" s="64"/>
      <c r="B489" s="48"/>
      <c r="C489" s="48"/>
      <c r="D489" s="585"/>
      <c r="E489" s="60" t="str">
        <f>IFERROR(VLOOKUP(F489,設定メニュー!$B$5:$C$30,2,0),"")</f>
        <v/>
      </c>
      <c r="F489" s="65" t="str">
        <f>IFERROR(VLOOKUP(B489,設定メニュー!$U$5:$W$30,2,0),"")</f>
        <v/>
      </c>
      <c r="G489" s="66"/>
      <c r="H489" s="60" t="str">
        <f>IFERROR(VLOOKUP(I489,設定メニュー!$B$5:$C$30,2,0),"")</f>
        <v/>
      </c>
      <c r="I489" s="55" t="str">
        <f>IFERROR(VLOOKUP(B489,設定メニュー!$U$5:$W$30,3,0),"")</f>
        <v/>
      </c>
      <c r="J489" s="809" t="str">
        <f t="shared" si="9"/>
        <v/>
      </c>
    </row>
    <row r="490" spans="1:10" ht="20.100000000000001" customHeight="1">
      <c r="A490" s="64"/>
      <c r="B490" s="48"/>
      <c r="C490" s="48"/>
      <c r="D490" s="585"/>
      <c r="E490" s="60" t="str">
        <f>IFERROR(VLOOKUP(F490,設定メニュー!$B$5:$C$30,2,0),"")</f>
        <v/>
      </c>
      <c r="F490" s="65" t="str">
        <f>IFERROR(VLOOKUP(B490,設定メニュー!$U$5:$W$30,2,0),"")</f>
        <v/>
      </c>
      <c r="G490" s="66"/>
      <c r="H490" s="60" t="str">
        <f>IFERROR(VLOOKUP(I490,設定メニュー!$B$5:$C$30,2,0),"")</f>
        <v/>
      </c>
      <c r="I490" s="55" t="str">
        <f>IFERROR(VLOOKUP(B490,設定メニュー!$U$5:$W$30,3,0),"")</f>
        <v/>
      </c>
      <c r="J490" s="809" t="str">
        <f t="shared" si="9"/>
        <v/>
      </c>
    </row>
    <row r="491" spans="1:10" ht="20.100000000000001" customHeight="1">
      <c r="A491" s="64"/>
      <c r="B491" s="48"/>
      <c r="C491" s="48"/>
      <c r="D491" s="585"/>
      <c r="E491" s="60" t="str">
        <f>IFERROR(VLOOKUP(F491,設定メニュー!$B$5:$C$30,2,0),"")</f>
        <v/>
      </c>
      <c r="F491" s="65" t="str">
        <f>IFERROR(VLOOKUP(B491,設定メニュー!$U$5:$W$30,2,0),"")</f>
        <v/>
      </c>
      <c r="G491" s="66"/>
      <c r="H491" s="60" t="str">
        <f>IFERROR(VLOOKUP(I491,設定メニュー!$B$5:$C$30,2,0),"")</f>
        <v/>
      </c>
      <c r="I491" s="55" t="str">
        <f>IFERROR(VLOOKUP(B491,設定メニュー!$U$5:$W$30,3,0),"")</f>
        <v/>
      </c>
      <c r="J491" s="809" t="str">
        <f t="shared" si="9"/>
        <v/>
      </c>
    </row>
    <row r="492" spans="1:10" ht="20.100000000000001" customHeight="1">
      <c r="A492" s="64"/>
      <c r="B492" s="48"/>
      <c r="C492" s="48"/>
      <c r="D492" s="585"/>
      <c r="E492" s="60" t="str">
        <f>IFERROR(VLOOKUP(F492,設定メニュー!$B$5:$C$30,2,0),"")</f>
        <v/>
      </c>
      <c r="F492" s="65" t="str">
        <f>IFERROR(VLOOKUP(B492,設定メニュー!$U$5:$W$30,2,0),"")</f>
        <v/>
      </c>
      <c r="G492" s="66"/>
      <c r="H492" s="60" t="str">
        <f>IFERROR(VLOOKUP(I492,設定メニュー!$B$5:$C$30,2,0),"")</f>
        <v/>
      </c>
      <c r="I492" s="55" t="str">
        <f>IFERROR(VLOOKUP(B492,設定メニュー!$U$5:$W$30,3,0),"")</f>
        <v/>
      </c>
      <c r="J492" s="809" t="str">
        <f t="shared" si="9"/>
        <v/>
      </c>
    </row>
    <row r="493" spans="1:10" ht="20.100000000000001" customHeight="1">
      <c r="A493" s="64"/>
      <c r="B493" s="48"/>
      <c r="C493" s="48"/>
      <c r="D493" s="585"/>
      <c r="E493" s="60" t="str">
        <f>IFERROR(VLOOKUP(F493,設定メニュー!$B$5:$C$30,2,0),"")</f>
        <v/>
      </c>
      <c r="F493" s="65" t="str">
        <f>IFERROR(VLOOKUP(B493,設定メニュー!$U$5:$W$30,2,0),"")</f>
        <v/>
      </c>
      <c r="G493" s="66"/>
      <c r="H493" s="60" t="str">
        <f>IFERROR(VLOOKUP(I493,設定メニュー!$B$5:$C$30,2,0),"")</f>
        <v/>
      </c>
      <c r="I493" s="55" t="str">
        <f>IFERROR(VLOOKUP(B493,設定メニュー!$U$5:$W$30,3,0),"")</f>
        <v/>
      </c>
      <c r="J493" s="809" t="str">
        <f t="shared" si="9"/>
        <v/>
      </c>
    </row>
    <row r="494" spans="1:10" ht="20.100000000000001" customHeight="1">
      <c r="A494" s="64"/>
      <c r="B494" s="48"/>
      <c r="C494" s="48"/>
      <c r="D494" s="585"/>
      <c r="E494" s="60" t="str">
        <f>IFERROR(VLOOKUP(F494,設定メニュー!$B$5:$C$30,2,0),"")</f>
        <v/>
      </c>
      <c r="F494" s="65" t="str">
        <f>IFERROR(VLOOKUP(B494,設定メニュー!$U$5:$W$30,2,0),"")</f>
        <v/>
      </c>
      <c r="G494" s="66"/>
      <c r="H494" s="60" t="str">
        <f>IFERROR(VLOOKUP(I494,設定メニュー!$B$5:$C$30,2,0),"")</f>
        <v/>
      </c>
      <c r="I494" s="55" t="str">
        <f>IFERROR(VLOOKUP(B494,設定メニュー!$U$5:$W$30,3,0),"")</f>
        <v/>
      </c>
      <c r="J494" s="809" t="str">
        <f t="shared" si="9"/>
        <v/>
      </c>
    </row>
    <row r="495" spans="1:10" ht="20.100000000000001" customHeight="1">
      <c r="A495" s="64"/>
      <c r="B495" s="48"/>
      <c r="C495" s="48"/>
      <c r="D495" s="585"/>
      <c r="E495" s="60" t="str">
        <f>IFERROR(VLOOKUP(F495,設定メニュー!$B$5:$C$30,2,0),"")</f>
        <v/>
      </c>
      <c r="F495" s="65" t="str">
        <f>IFERROR(VLOOKUP(B495,設定メニュー!$U$5:$W$30,2,0),"")</f>
        <v/>
      </c>
      <c r="G495" s="66"/>
      <c r="H495" s="60" t="str">
        <f>IFERROR(VLOOKUP(I495,設定メニュー!$B$5:$C$30,2,0),"")</f>
        <v/>
      </c>
      <c r="I495" s="55" t="str">
        <f>IFERROR(VLOOKUP(B495,設定メニュー!$U$5:$W$30,3,0),"")</f>
        <v/>
      </c>
      <c r="J495" s="809" t="str">
        <f t="shared" si="9"/>
        <v/>
      </c>
    </row>
    <row r="496" spans="1:10" ht="20.100000000000001" customHeight="1">
      <c r="A496" s="64"/>
      <c r="B496" s="48"/>
      <c r="C496" s="48"/>
      <c r="D496" s="585"/>
      <c r="E496" s="60" t="str">
        <f>IFERROR(VLOOKUP(F496,設定メニュー!$B$5:$C$30,2,0),"")</f>
        <v/>
      </c>
      <c r="F496" s="65" t="str">
        <f>IFERROR(VLOOKUP(B496,設定メニュー!$U$5:$W$30,2,0),"")</f>
        <v/>
      </c>
      <c r="G496" s="66"/>
      <c r="H496" s="60" t="str">
        <f>IFERROR(VLOOKUP(I496,設定メニュー!$B$5:$C$30,2,0),"")</f>
        <v/>
      </c>
      <c r="I496" s="55" t="str">
        <f>IFERROR(VLOOKUP(B496,設定メニュー!$U$5:$W$30,3,0),"")</f>
        <v/>
      </c>
      <c r="J496" s="809" t="str">
        <f t="shared" si="9"/>
        <v/>
      </c>
    </row>
    <row r="497" spans="1:11" ht="20.100000000000001" customHeight="1">
      <c r="A497" s="64"/>
      <c r="B497" s="48"/>
      <c r="C497" s="48"/>
      <c r="D497" s="585"/>
      <c r="E497" s="60" t="str">
        <f>IFERROR(VLOOKUP(F497,設定メニュー!$B$5:$C$30,2,0),"")</f>
        <v/>
      </c>
      <c r="F497" s="65" t="str">
        <f>IFERROR(VLOOKUP(B497,設定メニュー!$U$5:$W$30,2,0),"")</f>
        <v/>
      </c>
      <c r="G497" s="66"/>
      <c r="H497" s="60" t="str">
        <f>IFERROR(VLOOKUP(I497,設定メニュー!$B$5:$C$30,2,0),"")</f>
        <v/>
      </c>
      <c r="I497" s="55" t="str">
        <f>IFERROR(VLOOKUP(B497,設定メニュー!$U$5:$W$30,3,0),"")</f>
        <v/>
      </c>
      <c r="J497" s="809" t="str">
        <f t="shared" si="9"/>
        <v/>
      </c>
    </row>
    <row r="498" spans="1:11" ht="20.100000000000001" customHeight="1">
      <c r="A498" s="64"/>
      <c r="B498" s="48"/>
      <c r="C498" s="48"/>
      <c r="D498" s="585"/>
      <c r="E498" s="60" t="str">
        <f>IFERROR(VLOOKUP(F498,設定メニュー!$B$5:$C$30,2,0),"")</f>
        <v/>
      </c>
      <c r="F498" s="65" t="str">
        <f>IFERROR(VLOOKUP(B498,設定メニュー!$U$5:$W$30,2,0),"")</f>
        <v/>
      </c>
      <c r="G498" s="66"/>
      <c r="H498" s="60" t="str">
        <f>IFERROR(VLOOKUP(I498,設定メニュー!$B$5:$C$30,2,0),"")</f>
        <v/>
      </c>
      <c r="I498" s="55" t="str">
        <f>IFERROR(VLOOKUP(B498,設定メニュー!$U$5:$W$30,3,0),"")</f>
        <v/>
      </c>
      <c r="J498" s="809" t="str">
        <f t="shared" si="9"/>
        <v/>
      </c>
    </row>
    <row r="499" spans="1:11" ht="20.100000000000001" customHeight="1">
      <c r="A499" s="64"/>
      <c r="B499" s="48"/>
      <c r="C499" s="48"/>
      <c r="D499" s="585"/>
      <c r="E499" s="60" t="str">
        <f>IFERROR(VLOOKUP(F499,設定メニュー!$B$5:$C$30,2,0),"")</f>
        <v/>
      </c>
      <c r="F499" s="65" t="str">
        <f>IFERROR(VLOOKUP(B499,設定メニュー!$U$5:$W$30,2,0),"")</f>
        <v/>
      </c>
      <c r="G499" s="66"/>
      <c r="H499" s="60" t="str">
        <f>IFERROR(VLOOKUP(I499,設定メニュー!$B$5:$C$30,2,0),"")</f>
        <v/>
      </c>
      <c r="I499" s="55" t="str">
        <f>IFERROR(VLOOKUP(B499,設定メニュー!$U$5:$W$30,3,0),"")</f>
        <v/>
      </c>
      <c r="J499" s="809" t="str">
        <f t="shared" si="9"/>
        <v/>
      </c>
    </row>
    <row r="500" spans="1:11" ht="20.100000000000001" customHeight="1">
      <c r="A500" s="64"/>
      <c r="B500" s="48"/>
      <c r="C500" s="48"/>
      <c r="D500" s="585"/>
      <c r="E500" s="60" t="str">
        <f>IFERROR(VLOOKUP(F500,設定メニュー!$B$5:$C$30,2,0),"")</f>
        <v/>
      </c>
      <c r="F500" s="65" t="str">
        <f>IFERROR(VLOOKUP(B500,設定メニュー!$U$5:$W$30,2,0),"")</f>
        <v/>
      </c>
      <c r="G500" s="66"/>
      <c r="H500" s="60" t="str">
        <f>IFERROR(VLOOKUP(I500,設定メニュー!$B$5:$C$30,2,0),"")</f>
        <v/>
      </c>
      <c r="I500" s="55" t="str">
        <f>IFERROR(VLOOKUP(B500,設定メニュー!$U$5:$W$30,3,0),"")</f>
        <v/>
      </c>
      <c r="J500" s="809" t="str">
        <f t="shared" si="9"/>
        <v/>
      </c>
    </row>
    <row r="501" spans="1:11" ht="20.100000000000001" customHeight="1">
      <c r="A501" s="64"/>
      <c r="B501" s="48"/>
      <c r="C501" s="48"/>
      <c r="D501" s="585"/>
      <c r="E501" s="60" t="str">
        <f>IFERROR(VLOOKUP(F501,設定メニュー!$B$5:$C$30,2,0),"")</f>
        <v/>
      </c>
      <c r="F501" s="65" t="str">
        <f>IFERROR(VLOOKUP(B501,設定メニュー!$U$5:$W$30,2,0),"")</f>
        <v/>
      </c>
      <c r="G501" s="66"/>
      <c r="H501" s="60" t="str">
        <f>IFERROR(VLOOKUP(I501,設定メニュー!$B$5:$C$30,2,0),"")</f>
        <v/>
      </c>
      <c r="I501" s="55" t="str">
        <f>IFERROR(VLOOKUP(B501,設定メニュー!$U$5:$W$30,3,0),"")</f>
        <v/>
      </c>
      <c r="J501" s="809" t="str">
        <f t="shared" si="9"/>
        <v/>
      </c>
    </row>
    <row r="502" spans="1:11" ht="20.100000000000001" customHeight="1">
      <c r="A502" s="64"/>
      <c r="B502" s="48"/>
      <c r="C502" s="48"/>
      <c r="D502" s="585"/>
      <c r="E502" s="60" t="str">
        <f>IFERROR(VLOOKUP(F502,設定メニュー!$B$5:$C$30,2,0),"")</f>
        <v/>
      </c>
      <c r="F502" s="65" t="str">
        <f>IFERROR(VLOOKUP(B502,設定メニュー!$U$5:$W$30,2,0),"")</f>
        <v/>
      </c>
      <c r="G502" s="66"/>
      <c r="H502" s="60" t="str">
        <f>IFERROR(VLOOKUP(I502,設定メニュー!$B$5:$C$30,2,0),"")</f>
        <v/>
      </c>
      <c r="I502" s="55" t="str">
        <f>IFERROR(VLOOKUP(B502,設定メニュー!$U$5:$W$30,3,0),"")</f>
        <v/>
      </c>
      <c r="J502" s="809" t="str">
        <f t="shared" si="9"/>
        <v/>
      </c>
    </row>
    <row r="503" spans="1:11" ht="20.100000000000001" customHeight="1">
      <c r="A503" s="64"/>
      <c r="B503" s="48"/>
      <c r="C503" s="48"/>
      <c r="D503" s="585"/>
      <c r="E503" s="60" t="str">
        <f>IFERROR(VLOOKUP(F503,設定メニュー!$B$5:$C$30,2,0),"")</f>
        <v/>
      </c>
      <c r="F503" s="65" t="str">
        <f>IFERROR(VLOOKUP(B503,設定メニュー!$U$5:$W$30,2,0),"")</f>
        <v/>
      </c>
      <c r="G503" s="66"/>
      <c r="H503" s="60" t="str">
        <f>IFERROR(VLOOKUP(I503,設定メニュー!$B$5:$C$30,2,0),"")</f>
        <v/>
      </c>
      <c r="I503" s="55" t="str">
        <f>IFERROR(VLOOKUP(B503,設定メニュー!$U$5:$W$30,3,0),"")</f>
        <v/>
      </c>
      <c r="J503" s="809" t="str">
        <f t="shared" si="9"/>
        <v/>
      </c>
    </row>
    <row r="504" spans="1:11" ht="20.100000000000001" customHeight="1">
      <c r="A504" s="64"/>
      <c r="B504" s="48"/>
      <c r="C504" s="48"/>
      <c r="D504" s="585"/>
      <c r="E504" s="60" t="str">
        <f>IFERROR(VLOOKUP(F504,設定メニュー!$B$5:$C$30,2,0),"")</f>
        <v/>
      </c>
      <c r="F504" s="65" t="str">
        <f>IFERROR(VLOOKUP(B504,設定メニュー!$U$5:$W$30,2,0),"")</f>
        <v/>
      </c>
      <c r="G504" s="66"/>
      <c r="H504" s="60" t="str">
        <f>IFERROR(VLOOKUP(I504,設定メニュー!$B$5:$C$30,2,0),"")</f>
        <v/>
      </c>
      <c r="I504" s="55" t="str">
        <f>IFERROR(VLOOKUP(B504,設定メニュー!$U$5:$W$30,3,0),"")</f>
        <v/>
      </c>
      <c r="J504" s="809" t="str">
        <f t="shared" si="9"/>
        <v/>
      </c>
    </row>
    <row r="505" spans="1:11" ht="20.100000000000001" customHeight="1">
      <c r="A505" s="64"/>
      <c r="B505" s="48"/>
      <c r="C505" s="48"/>
      <c r="D505" s="585"/>
      <c r="E505" s="60" t="str">
        <f>IFERROR(VLOOKUP(F505,設定メニュー!$B$5:$C$30,2,0),"")</f>
        <v/>
      </c>
      <c r="F505" s="65" t="str">
        <f>IFERROR(VLOOKUP(B505,設定メニュー!$U$5:$W$30,2,0),"")</f>
        <v/>
      </c>
      <c r="G505" s="66"/>
      <c r="H505" s="60" t="str">
        <f>IFERROR(VLOOKUP(I505,設定メニュー!$B$5:$C$30,2,0),"")</f>
        <v/>
      </c>
      <c r="I505" s="55" t="str">
        <f>IFERROR(VLOOKUP(B505,設定メニュー!$U$5:$W$30,3,0),"")</f>
        <v/>
      </c>
      <c r="J505" s="809" t="str">
        <f t="shared" si="9"/>
        <v/>
      </c>
    </row>
    <row r="506" spans="1:11" ht="20.100000000000001" customHeight="1">
      <c r="A506" s="64"/>
      <c r="B506" s="48"/>
      <c r="C506" s="48"/>
      <c r="D506" s="585"/>
      <c r="E506" s="60" t="str">
        <f>IFERROR(VLOOKUP(F506,設定メニュー!$B$5:$C$30,2,0),"")</f>
        <v/>
      </c>
      <c r="F506" s="65" t="str">
        <f>IFERROR(VLOOKUP(B506,設定メニュー!$U$5:$W$30,2,0),"")</f>
        <v/>
      </c>
      <c r="G506" s="66"/>
      <c r="H506" s="60" t="str">
        <f>IFERROR(VLOOKUP(I506,設定メニュー!$B$5:$C$30,2,0),"")</f>
        <v/>
      </c>
      <c r="I506" s="55" t="str">
        <f>IFERROR(VLOOKUP(B506,設定メニュー!$U$5:$W$30,3,0),"")</f>
        <v/>
      </c>
      <c r="J506" s="809" t="str">
        <f t="shared" si="9"/>
        <v/>
      </c>
    </row>
    <row r="507" spans="1:11" ht="20.100000000000001" customHeight="1">
      <c r="A507" s="64"/>
      <c r="B507" s="48"/>
      <c r="C507" s="48"/>
      <c r="D507" s="585"/>
      <c r="E507" s="60" t="str">
        <f>IFERROR(VLOOKUP(F507,設定メニュー!$B$5:$C$30,2,0),"")</f>
        <v/>
      </c>
      <c r="F507" s="810" t="str">
        <f>IFERROR(VLOOKUP(B507,設定メニュー!$U$5:$W$30,2,0),"")</f>
        <v/>
      </c>
      <c r="G507" s="811"/>
      <c r="H507" s="812" t="str">
        <f>IFERROR(VLOOKUP(I507,設定メニュー!$B$5:$C$30,2,0),"")</f>
        <v/>
      </c>
      <c r="I507" s="813" t="str">
        <f>IFERROR(VLOOKUP(B507,設定メニュー!$U$5:$W$30,3,0),"")</f>
        <v/>
      </c>
      <c r="J507" s="814" t="str">
        <f t="shared" si="9"/>
        <v/>
      </c>
    </row>
    <row r="508" spans="1:11" s="9" customFormat="1" ht="20.100000000000001" customHeight="1" thickBot="1">
      <c r="A508" s="68"/>
      <c r="B508" s="864" t="s">
        <v>281</v>
      </c>
      <c r="C508" s="865"/>
      <c r="D508" s="866"/>
      <c r="E508" s="67"/>
      <c r="F508" s="815"/>
      <c r="G508" s="816">
        <f>SUM(G4:G507)</f>
        <v>0</v>
      </c>
      <c r="H508" s="817"/>
      <c r="I508" s="815"/>
      <c r="J508" s="818">
        <f>SUM(J4:J507)</f>
        <v>0</v>
      </c>
      <c r="K508" s="220"/>
    </row>
    <row r="509" spans="1:11" ht="20.100000000000001" customHeight="1" thickTop="1"/>
  </sheetData>
  <sortState ref="A5:K304">
    <sortCondition ref="A5:A304"/>
  </sortState>
  <mergeCells count="4">
    <mergeCell ref="B508:D508"/>
    <mergeCell ref="A1:J1"/>
    <mergeCell ref="B3:D3"/>
    <mergeCell ref="B4:D4"/>
  </mergeCells>
  <phoneticPr fontId="2"/>
  <dataValidations count="3">
    <dataValidation allowBlank="1" showInputMessage="1" sqref="B1:C4 C509:C1048576 B508:B1048576"/>
    <dataValidation type="list" allowBlank="1" showInputMessage="1" sqref="B5:B507">
      <formula1>仕訳摘要1列目</formula1>
    </dataValidation>
    <dataValidation type="list" allowBlank="1" showInputMessage="1" sqref="C5:C507">
      <formula1>INDIRECT(B5)</formula1>
    </dataValidation>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extLst>
    <ext xmlns:x14="http://schemas.microsoft.com/office/spreadsheetml/2009/9/main" uri="{CCE6A557-97BC-4b89-ADB6-D9C93CAAB3DF}">
      <x14:dataValidations xmlns:xm="http://schemas.microsoft.com/office/excel/2006/main" count="2">
        <x14:dataValidation type="list" allowBlank="1" showInputMessage="1">
          <x14:formula1>
            <xm:f>設定メニュー!$B$5:$B$30</xm:f>
          </x14:formula1>
          <xm:sqref>F5:F507</xm:sqref>
        </x14:dataValidation>
        <x14:dataValidation type="list" allowBlank="1" showInputMessage="1">
          <x14:formula1>
            <xm:f>設定メニュー!$B$5:$B$15</xm:f>
          </x14:formula1>
          <xm:sqref>I5:I507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BCDEB"/>
  </sheetPr>
  <dimension ref="A1:Q32"/>
  <sheetViews>
    <sheetView showZeros="0" zoomScaleNormal="100" workbookViewId="0">
      <selection activeCell="C3" sqref="C3"/>
    </sheetView>
  </sheetViews>
  <sheetFormatPr defaultColWidth="9" defaultRowHeight="20.100000000000001" customHeight="1"/>
  <cols>
    <col min="1" max="1" width="3.625" style="40" customWidth="1"/>
    <col min="2" max="2" width="16.625" style="40" customWidth="1"/>
    <col min="3" max="14" width="9.375" style="40" customWidth="1"/>
    <col min="15" max="15" width="11.625" style="40" customWidth="1"/>
    <col min="16" max="16" width="9" style="40"/>
    <col min="17" max="17" width="44" style="40" customWidth="1"/>
    <col min="18" max="16384" width="9" style="40"/>
  </cols>
  <sheetData>
    <row r="1" spans="1:17" ht="31.5" customHeight="1">
      <c r="A1" s="873" t="str">
        <f>CONCATENATE(YEAR(設定メニュー!$B$2),"年度　月刊総括集計表")</f>
        <v>2017年度　月刊総括集計表</v>
      </c>
      <c r="B1" s="873"/>
      <c r="C1" s="873"/>
      <c r="D1" s="873"/>
      <c r="E1" s="873"/>
      <c r="F1" s="873"/>
      <c r="G1" s="873"/>
      <c r="H1" s="873"/>
      <c r="I1" s="873"/>
      <c r="J1" s="873"/>
      <c r="K1" s="873"/>
      <c r="L1" s="873"/>
      <c r="M1" s="873"/>
      <c r="N1" s="873"/>
      <c r="O1" s="873"/>
    </row>
    <row r="2" spans="1:17" ht="12.95" customHeight="1" thickBot="1">
      <c r="K2" s="195"/>
      <c r="L2" s="196"/>
      <c r="M2" s="197"/>
      <c r="N2" s="118"/>
      <c r="O2" s="53" t="str">
        <f>CONCATENATE(YEAR(設定メニュー!B2),"年",MONTH(設定メニュー!B2),"月",DAY(設定メニュー!B2),"日～12月31日")</f>
        <v>2017年1月1日～12月31日</v>
      </c>
    </row>
    <row r="3" spans="1:17" s="42" customFormat="1" ht="24.95" customHeight="1" thickTop="1" thickBot="1">
      <c r="A3" s="874" t="s">
        <v>65</v>
      </c>
      <c r="B3" s="875"/>
      <c r="C3" s="210">
        <f>DATE(YEAR(設定メニュー!$B$2),1,31)</f>
        <v>42766</v>
      </c>
      <c r="D3" s="549">
        <f>DATE(YEAR(設定メニュー!$B$2),2,28)</f>
        <v>42794</v>
      </c>
      <c r="E3" s="549">
        <f>DATE(YEAR(設定メニュー!$B$2),3,31)</f>
        <v>42825</v>
      </c>
      <c r="F3" s="549">
        <f>DATE(YEAR(設定メニュー!$B$2),4,30)</f>
        <v>42855</v>
      </c>
      <c r="G3" s="549">
        <f>DATE(YEAR(設定メニュー!$B$2),5,31)</f>
        <v>42886</v>
      </c>
      <c r="H3" s="549">
        <f>DATE(YEAR(設定メニュー!$B$2),6,30)</f>
        <v>42916</v>
      </c>
      <c r="I3" s="549">
        <f>DATE(YEAR(設定メニュー!$B$2),7,31)</f>
        <v>42947</v>
      </c>
      <c r="J3" s="549">
        <f>DATE(YEAR(設定メニュー!$B$2),8,31)</f>
        <v>42978</v>
      </c>
      <c r="K3" s="549">
        <f>DATE(YEAR(設定メニュー!$B$2),9,30)</f>
        <v>43008</v>
      </c>
      <c r="L3" s="549">
        <f>DATE(YEAR(設定メニュー!$B$2),10,31)</f>
        <v>43039</v>
      </c>
      <c r="M3" s="549">
        <f>DATE(YEAR(設定メニュー!$B$2),11,30)</f>
        <v>43069</v>
      </c>
      <c r="N3" s="550">
        <f>DATE(YEAR(設定メニュー!$B$2),12,31)</f>
        <v>43100</v>
      </c>
      <c r="O3" s="50" t="s">
        <v>66</v>
      </c>
    </row>
    <row r="4" spans="1:17" ht="18" customHeight="1">
      <c r="A4" s="876" t="s">
        <v>67</v>
      </c>
      <c r="B4" s="80" t="str">
        <f>設定メニュー!E5</f>
        <v>Googleアドセンス</v>
      </c>
      <c r="C4" s="551"/>
      <c r="D4" s="43"/>
      <c r="E4" s="43"/>
      <c r="F4" s="43"/>
      <c r="G4" s="43"/>
      <c r="H4" s="43"/>
      <c r="I4" s="43"/>
      <c r="J4" s="43"/>
      <c r="K4" s="43"/>
      <c r="L4" s="43"/>
      <c r="M4" s="43"/>
      <c r="N4" s="552"/>
      <c r="O4" s="44">
        <f>SUM(C4:N4)</f>
        <v>0</v>
      </c>
    </row>
    <row r="5" spans="1:17" ht="18" customHeight="1">
      <c r="A5" s="877"/>
      <c r="B5" s="80" t="str">
        <f>設定メニュー!E6</f>
        <v>Amazonアソシエイト</v>
      </c>
      <c r="C5" s="235"/>
      <c r="D5" s="45"/>
      <c r="E5" s="45"/>
      <c r="F5" s="45"/>
      <c r="G5" s="45"/>
      <c r="H5" s="45"/>
      <c r="I5" s="45"/>
      <c r="J5" s="45"/>
      <c r="K5" s="45"/>
      <c r="L5" s="45"/>
      <c r="M5" s="45"/>
      <c r="N5" s="234"/>
      <c r="O5" s="44">
        <f t="shared" ref="O5:O13" si="0">SUM(C5:N5)</f>
        <v>0</v>
      </c>
    </row>
    <row r="6" spans="1:17" ht="18" customHeight="1">
      <c r="A6" s="877"/>
      <c r="B6" s="80" t="str">
        <f>設定メニュー!E7</f>
        <v>A8.net</v>
      </c>
      <c r="C6" s="235"/>
      <c r="D6" s="45"/>
      <c r="E6" s="45"/>
      <c r="F6" s="45"/>
      <c r="G6" s="45"/>
      <c r="H6" s="45"/>
      <c r="I6" s="45"/>
      <c r="J6" s="45"/>
      <c r="K6" s="45"/>
      <c r="L6" s="45"/>
      <c r="M6" s="45"/>
      <c r="N6" s="234"/>
      <c r="O6" s="44">
        <f t="shared" si="0"/>
        <v>0</v>
      </c>
    </row>
    <row r="7" spans="1:17" ht="18" customHeight="1">
      <c r="A7" s="877"/>
      <c r="B7" s="80" t="str">
        <f>設定メニュー!E8</f>
        <v>アクセストレード</v>
      </c>
      <c r="C7" s="235"/>
      <c r="D7" s="45"/>
      <c r="E7" s="45"/>
      <c r="F7" s="45"/>
      <c r="G7" s="45"/>
      <c r="H7" s="45"/>
      <c r="I7" s="45"/>
      <c r="J7" s="45"/>
      <c r="K7" s="45"/>
      <c r="L7" s="45"/>
      <c r="M7" s="45"/>
      <c r="N7" s="234"/>
      <c r="O7" s="44">
        <f t="shared" si="0"/>
        <v>0</v>
      </c>
    </row>
    <row r="8" spans="1:17" ht="18" customHeight="1">
      <c r="A8" s="877"/>
      <c r="B8" s="80" t="str">
        <f>設定メニュー!E9</f>
        <v>もしも</v>
      </c>
      <c r="C8" s="235"/>
      <c r="D8" s="45"/>
      <c r="E8" s="45"/>
      <c r="F8" s="45"/>
      <c r="G8" s="45"/>
      <c r="H8" s="45"/>
      <c r="I8" s="45"/>
      <c r="J8" s="45"/>
      <c r="K8" s="45"/>
      <c r="L8" s="45"/>
      <c r="M8" s="45"/>
      <c r="N8" s="234"/>
      <c r="O8" s="44">
        <f t="shared" si="0"/>
        <v>0</v>
      </c>
    </row>
    <row r="9" spans="1:17" ht="18" customHeight="1">
      <c r="A9" s="877"/>
      <c r="B9" s="80" t="str">
        <f>設定メニュー!E10</f>
        <v>楽天</v>
      </c>
      <c r="C9" s="235"/>
      <c r="D9" s="45"/>
      <c r="E9" s="45"/>
      <c r="F9" s="45"/>
      <c r="G9" s="45"/>
      <c r="H9" s="45"/>
      <c r="I9" s="45"/>
      <c r="J9" s="45"/>
      <c r="K9" s="45"/>
      <c r="L9" s="45"/>
      <c r="M9" s="45"/>
      <c r="N9" s="234"/>
      <c r="O9" s="44">
        <f t="shared" si="0"/>
        <v>0</v>
      </c>
      <c r="Q9" s="194"/>
    </row>
    <row r="10" spans="1:17" ht="18" customHeight="1">
      <c r="A10" s="877"/>
      <c r="B10" s="80" t="str">
        <f>設定メニュー!E11</f>
        <v>バリューコマース</v>
      </c>
      <c r="C10" s="235"/>
      <c r="D10" s="45"/>
      <c r="E10" s="45"/>
      <c r="F10" s="45"/>
      <c r="G10" s="45"/>
      <c r="H10" s="45"/>
      <c r="I10" s="45"/>
      <c r="J10" s="45"/>
      <c r="K10" s="45"/>
      <c r="L10" s="45"/>
      <c r="M10" s="45"/>
      <c r="N10" s="234"/>
      <c r="O10" s="44">
        <f t="shared" si="0"/>
        <v>0</v>
      </c>
    </row>
    <row r="11" spans="1:17" ht="18" customHeight="1">
      <c r="A11" s="877"/>
      <c r="B11" s="80" t="str">
        <f>設定メニュー!E12</f>
        <v>Moba8.net</v>
      </c>
      <c r="C11" s="235"/>
      <c r="D11" s="45"/>
      <c r="E11" s="45"/>
      <c r="F11" s="45"/>
      <c r="G11" s="45"/>
      <c r="H11" s="45"/>
      <c r="I11" s="45"/>
      <c r="J11" s="45"/>
      <c r="K11" s="45"/>
      <c r="L11" s="45"/>
      <c r="M11" s="45"/>
      <c r="N11" s="234"/>
      <c r="O11" s="46">
        <f t="shared" si="0"/>
        <v>0</v>
      </c>
    </row>
    <row r="12" spans="1:17" ht="18" customHeight="1">
      <c r="A12" s="877"/>
      <c r="B12" s="80" t="str">
        <f>設定メニュー!E13</f>
        <v>nend</v>
      </c>
      <c r="C12" s="235"/>
      <c r="D12" s="45"/>
      <c r="E12" s="45"/>
      <c r="F12" s="45"/>
      <c r="G12" s="45"/>
      <c r="H12" s="45"/>
      <c r="I12" s="45"/>
      <c r="J12" s="45"/>
      <c r="K12" s="45"/>
      <c r="L12" s="45"/>
      <c r="M12" s="45"/>
      <c r="N12" s="234"/>
      <c r="O12" s="44">
        <f t="shared" si="0"/>
        <v>0</v>
      </c>
    </row>
    <row r="13" spans="1:17" ht="18" customHeight="1">
      <c r="A13" s="877"/>
      <c r="B13" s="80" t="str">
        <f>設定メニュー!E14</f>
        <v>売上先予備1</v>
      </c>
      <c r="C13" s="553"/>
      <c r="D13" s="47"/>
      <c r="E13" s="47"/>
      <c r="F13" s="47"/>
      <c r="G13" s="47"/>
      <c r="H13" s="47"/>
      <c r="I13" s="47"/>
      <c r="J13" s="47"/>
      <c r="K13" s="47"/>
      <c r="L13" s="47"/>
      <c r="M13" s="47"/>
      <c r="N13" s="554"/>
      <c r="O13" s="44">
        <f t="shared" si="0"/>
        <v>0</v>
      </c>
    </row>
    <row r="14" spans="1:17" ht="24.95" customHeight="1" thickBot="1">
      <c r="A14" s="878"/>
      <c r="B14" s="69" t="s">
        <v>68</v>
      </c>
      <c r="C14" s="555">
        <f>SUM(C4:C13)</f>
        <v>0</v>
      </c>
      <c r="D14" s="556">
        <f t="shared" ref="D14:N14" si="1">SUM(D4:D13)</f>
        <v>0</v>
      </c>
      <c r="E14" s="556">
        <f t="shared" si="1"/>
        <v>0</v>
      </c>
      <c r="F14" s="556">
        <f t="shared" si="1"/>
        <v>0</v>
      </c>
      <c r="G14" s="556">
        <f t="shared" si="1"/>
        <v>0</v>
      </c>
      <c r="H14" s="556">
        <f t="shared" si="1"/>
        <v>0</v>
      </c>
      <c r="I14" s="556">
        <f t="shared" si="1"/>
        <v>0</v>
      </c>
      <c r="J14" s="556">
        <f t="shared" si="1"/>
        <v>0</v>
      </c>
      <c r="K14" s="556">
        <f t="shared" si="1"/>
        <v>0</v>
      </c>
      <c r="L14" s="556">
        <f t="shared" si="1"/>
        <v>0</v>
      </c>
      <c r="M14" s="556">
        <f t="shared" si="1"/>
        <v>0</v>
      </c>
      <c r="N14" s="223">
        <f t="shared" si="1"/>
        <v>0</v>
      </c>
      <c r="O14" s="222">
        <f>SUM(O4:O13)</f>
        <v>0</v>
      </c>
    </row>
    <row r="15" spans="1:17" ht="18" customHeight="1">
      <c r="A15" s="876" t="s">
        <v>69</v>
      </c>
      <c r="B15" s="80" t="str">
        <f>設定メニュー!B16</f>
        <v>旅費交通費</v>
      </c>
      <c r="C15" s="551"/>
      <c r="D15" s="43"/>
      <c r="E15" s="43"/>
      <c r="F15" s="43"/>
      <c r="G15" s="43"/>
      <c r="H15" s="43"/>
      <c r="I15" s="43"/>
      <c r="J15" s="43"/>
      <c r="K15" s="43"/>
      <c r="L15" s="43"/>
      <c r="M15" s="43"/>
      <c r="N15" s="552"/>
      <c r="O15" s="44">
        <f>SUM(C15:N15)</f>
        <v>0</v>
      </c>
    </row>
    <row r="16" spans="1:17" ht="18" customHeight="1">
      <c r="A16" s="877"/>
      <c r="B16" s="80" t="str">
        <f>設定メニュー!B17</f>
        <v>通信費</v>
      </c>
      <c r="C16" s="235"/>
      <c r="D16" s="45"/>
      <c r="E16" s="45"/>
      <c r="F16" s="45"/>
      <c r="G16" s="45"/>
      <c r="H16" s="45"/>
      <c r="I16" s="45"/>
      <c r="J16" s="45"/>
      <c r="K16" s="45"/>
      <c r="L16" s="45"/>
      <c r="M16" s="45"/>
      <c r="N16" s="234"/>
      <c r="O16" s="44">
        <f t="shared" ref="O16:O29" si="2">SUM(C16:N16)</f>
        <v>0</v>
      </c>
    </row>
    <row r="17" spans="1:15" ht="18" customHeight="1">
      <c r="A17" s="877"/>
      <c r="B17" s="80" t="str">
        <f>設定メニュー!B18</f>
        <v>接待交際費</v>
      </c>
      <c r="C17" s="235"/>
      <c r="D17" s="45"/>
      <c r="E17" s="45"/>
      <c r="F17" s="45"/>
      <c r="G17" s="45"/>
      <c r="H17" s="45"/>
      <c r="I17" s="45"/>
      <c r="J17" s="45"/>
      <c r="K17" s="45"/>
      <c r="L17" s="45"/>
      <c r="M17" s="45"/>
      <c r="N17" s="234"/>
      <c r="O17" s="44">
        <f t="shared" si="2"/>
        <v>0</v>
      </c>
    </row>
    <row r="18" spans="1:15" ht="18" customHeight="1">
      <c r="A18" s="877"/>
      <c r="B18" s="80" t="str">
        <f>設定メニュー!B19</f>
        <v>消耗品費</v>
      </c>
      <c r="C18" s="235"/>
      <c r="D18" s="45"/>
      <c r="E18" s="45"/>
      <c r="F18" s="45"/>
      <c r="G18" s="45"/>
      <c r="H18" s="45"/>
      <c r="I18" s="45"/>
      <c r="J18" s="45"/>
      <c r="K18" s="45"/>
      <c r="L18" s="45"/>
      <c r="M18" s="45"/>
      <c r="N18" s="234"/>
      <c r="O18" s="44">
        <f t="shared" si="2"/>
        <v>0</v>
      </c>
    </row>
    <row r="19" spans="1:15" ht="18" customHeight="1">
      <c r="A19" s="877"/>
      <c r="B19" s="80" t="str">
        <f>設定メニュー!B20</f>
        <v>外注工賃</v>
      </c>
      <c r="C19" s="235"/>
      <c r="D19" s="45"/>
      <c r="E19" s="45"/>
      <c r="F19" s="45"/>
      <c r="G19" s="45"/>
      <c r="H19" s="45"/>
      <c r="I19" s="45"/>
      <c r="J19" s="45"/>
      <c r="K19" s="45"/>
      <c r="L19" s="45"/>
      <c r="M19" s="45"/>
      <c r="N19" s="234"/>
      <c r="O19" s="44">
        <f t="shared" si="2"/>
        <v>0</v>
      </c>
    </row>
    <row r="20" spans="1:15" ht="18" customHeight="1">
      <c r="A20" s="877"/>
      <c r="B20" s="80" t="str">
        <f>設定メニュー!B21</f>
        <v>支払手数料</v>
      </c>
      <c r="C20" s="235"/>
      <c r="D20" s="45"/>
      <c r="E20" s="45"/>
      <c r="F20" s="45"/>
      <c r="G20" s="45"/>
      <c r="H20" s="45"/>
      <c r="I20" s="45"/>
      <c r="J20" s="45"/>
      <c r="K20" s="45"/>
      <c r="L20" s="45"/>
      <c r="M20" s="45"/>
      <c r="N20" s="234"/>
      <c r="O20" s="44">
        <f t="shared" si="2"/>
        <v>0</v>
      </c>
    </row>
    <row r="21" spans="1:15" ht="18" customHeight="1">
      <c r="A21" s="877"/>
      <c r="B21" s="80" t="str">
        <f>設定メニュー!B22</f>
        <v>新聞図書費</v>
      </c>
      <c r="C21" s="235"/>
      <c r="D21" s="45"/>
      <c r="E21" s="45"/>
      <c r="F21" s="45"/>
      <c r="G21" s="45"/>
      <c r="H21" s="45"/>
      <c r="I21" s="45"/>
      <c r="J21" s="45"/>
      <c r="K21" s="45"/>
      <c r="L21" s="45"/>
      <c r="M21" s="45"/>
      <c r="N21" s="234"/>
      <c r="O21" s="44">
        <f t="shared" si="2"/>
        <v>0</v>
      </c>
    </row>
    <row r="22" spans="1:15" ht="18" customHeight="1">
      <c r="A22" s="877"/>
      <c r="B22" s="80" t="str">
        <f>設定メニュー!B23</f>
        <v>事務用品費</v>
      </c>
      <c r="C22" s="235"/>
      <c r="D22" s="45"/>
      <c r="E22" s="45"/>
      <c r="F22" s="45"/>
      <c r="G22" s="45"/>
      <c r="H22" s="45"/>
      <c r="I22" s="45"/>
      <c r="J22" s="45"/>
      <c r="K22" s="45"/>
      <c r="L22" s="45"/>
      <c r="M22" s="45"/>
      <c r="N22" s="234"/>
      <c r="O22" s="44">
        <f t="shared" si="2"/>
        <v>0</v>
      </c>
    </row>
    <row r="23" spans="1:15" ht="18" customHeight="1">
      <c r="A23" s="877"/>
      <c r="B23" s="80" t="str">
        <f>設定メニュー!B24</f>
        <v>研修費</v>
      </c>
      <c r="C23" s="235"/>
      <c r="D23" s="45"/>
      <c r="E23" s="45"/>
      <c r="F23" s="45"/>
      <c r="G23" s="45"/>
      <c r="H23" s="45"/>
      <c r="I23" s="45"/>
      <c r="J23" s="45"/>
      <c r="K23" s="45"/>
      <c r="L23" s="45"/>
      <c r="M23" s="45"/>
      <c r="N23" s="234"/>
      <c r="O23" s="44">
        <f t="shared" si="2"/>
        <v>0</v>
      </c>
    </row>
    <row r="24" spans="1:15" ht="18" customHeight="1">
      <c r="A24" s="877"/>
      <c r="B24" s="80" t="str">
        <f>設定メニュー!B25</f>
        <v>雑費</v>
      </c>
      <c r="C24" s="235"/>
      <c r="D24" s="45"/>
      <c r="E24" s="45"/>
      <c r="F24" s="45"/>
      <c r="G24" s="45"/>
      <c r="H24" s="45"/>
      <c r="I24" s="45"/>
      <c r="J24" s="45"/>
      <c r="K24" s="45"/>
      <c r="L24" s="45"/>
      <c r="M24" s="45"/>
      <c r="N24" s="234"/>
      <c r="O24" s="44">
        <f t="shared" si="2"/>
        <v>0</v>
      </c>
    </row>
    <row r="25" spans="1:15" ht="18" customHeight="1">
      <c r="A25" s="877"/>
      <c r="B25" s="80" t="str">
        <f>設定メニュー!B26</f>
        <v>租税公課</v>
      </c>
      <c r="C25" s="235"/>
      <c r="D25" s="45"/>
      <c r="E25" s="45"/>
      <c r="F25" s="45"/>
      <c r="G25" s="45"/>
      <c r="H25" s="45"/>
      <c r="I25" s="45"/>
      <c r="J25" s="45"/>
      <c r="K25" s="45"/>
      <c r="L25" s="45"/>
      <c r="M25" s="45"/>
      <c r="N25" s="234"/>
      <c r="O25" s="44">
        <f t="shared" si="2"/>
        <v>0</v>
      </c>
    </row>
    <row r="26" spans="1:15" ht="18" customHeight="1">
      <c r="A26" s="877"/>
      <c r="B26" s="80" t="str">
        <f>設定メニュー!B27</f>
        <v>予備.1</v>
      </c>
      <c r="C26" s="235"/>
      <c r="D26" s="45"/>
      <c r="E26" s="45"/>
      <c r="F26" s="45"/>
      <c r="G26" s="45"/>
      <c r="H26" s="45"/>
      <c r="I26" s="45"/>
      <c r="J26" s="45"/>
      <c r="K26" s="45"/>
      <c r="L26" s="45"/>
      <c r="M26" s="45"/>
      <c r="N26" s="234"/>
      <c r="O26" s="44">
        <f t="shared" si="2"/>
        <v>0</v>
      </c>
    </row>
    <row r="27" spans="1:15" ht="18" customHeight="1">
      <c r="A27" s="877"/>
      <c r="B27" s="80" t="str">
        <f>設定メニュー!B28</f>
        <v>予備.2</v>
      </c>
      <c r="C27" s="235"/>
      <c r="D27" s="45"/>
      <c r="E27" s="45"/>
      <c r="F27" s="45"/>
      <c r="G27" s="45"/>
      <c r="H27" s="45"/>
      <c r="I27" s="45"/>
      <c r="J27" s="45"/>
      <c r="K27" s="45"/>
      <c r="L27" s="45"/>
      <c r="M27" s="45"/>
      <c r="N27" s="234"/>
      <c r="O27" s="44">
        <f t="shared" si="2"/>
        <v>0</v>
      </c>
    </row>
    <row r="28" spans="1:15" ht="18" customHeight="1">
      <c r="A28" s="877"/>
      <c r="B28" s="80" t="str">
        <f>設定メニュー!B29</f>
        <v>予備.3</v>
      </c>
      <c r="C28" s="235"/>
      <c r="D28" s="45"/>
      <c r="E28" s="45"/>
      <c r="F28" s="45"/>
      <c r="G28" s="45"/>
      <c r="H28" s="45"/>
      <c r="I28" s="45"/>
      <c r="J28" s="45"/>
      <c r="K28" s="45"/>
      <c r="L28" s="45"/>
      <c r="M28" s="45"/>
      <c r="N28" s="234"/>
      <c r="O28" s="44">
        <f t="shared" si="2"/>
        <v>0</v>
      </c>
    </row>
    <row r="29" spans="1:15" ht="18" customHeight="1">
      <c r="A29" s="877"/>
      <c r="B29" s="80" t="str">
        <f>設定メニュー!B30</f>
        <v>減価償却費</v>
      </c>
      <c r="C29" s="557"/>
      <c r="D29" s="558"/>
      <c r="E29" s="558"/>
      <c r="F29" s="558"/>
      <c r="G29" s="558"/>
      <c r="H29" s="558"/>
      <c r="I29" s="558"/>
      <c r="J29" s="558"/>
      <c r="K29" s="558"/>
      <c r="L29" s="558"/>
      <c r="M29" s="558"/>
      <c r="N29" s="233"/>
      <c r="O29" s="44">
        <f t="shared" si="2"/>
        <v>0</v>
      </c>
    </row>
    <row r="30" spans="1:15" ht="24.95" customHeight="1" thickBot="1">
      <c r="A30" s="877"/>
      <c r="B30" s="70" t="s">
        <v>70</v>
      </c>
      <c r="C30" s="692">
        <f>SUM(C15:C29)</f>
        <v>0</v>
      </c>
      <c r="D30" s="694">
        <f t="shared" ref="D30:N30" si="3">SUM(D15:D29)</f>
        <v>0</v>
      </c>
      <c r="E30" s="694">
        <f t="shared" si="3"/>
        <v>0</v>
      </c>
      <c r="F30" s="693">
        <f t="shared" si="3"/>
        <v>0</v>
      </c>
      <c r="G30" s="694">
        <f t="shared" si="3"/>
        <v>0</v>
      </c>
      <c r="H30" s="694">
        <f t="shared" si="3"/>
        <v>0</v>
      </c>
      <c r="I30" s="694">
        <f t="shared" si="3"/>
        <v>0</v>
      </c>
      <c r="J30" s="694">
        <f t="shared" si="3"/>
        <v>0</v>
      </c>
      <c r="K30" s="694">
        <f t="shared" si="3"/>
        <v>0</v>
      </c>
      <c r="L30" s="694">
        <f t="shared" si="3"/>
        <v>0</v>
      </c>
      <c r="M30" s="694">
        <f t="shared" si="3"/>
        <v>0</v>
      </c>
      <c r="N30" s="694">
        <f t="shared" si="3"/>
        <v>0</v>
      </c>
      <c r="O30" s="695">
        <f>SUM(O15:O29)</f>
        <v>0</v>
      </c>
    </row>
    <row r="31" spans="1:15" ht="30" customHeight="1" thickTop="1" thickBot="1">
      <c r="A31" s="879" t="s">
        <v>71</v>
      </c>
      <c r="B31" s="880"/>
      <c r="C31" s="559">
        <f>C14-C30</f>
        <v>0</v>
      </c>
      <c r="D31" s="689">
        <f t="shared" ref="D31:M31" si="4">D14-D30</f>
        <v>0</v>
      </c>
      <c r="E31" s="689">
        <f t="shared" si="4"/>
        <v>0</v>
      </c>
      <c r="F31" s="689">
        <f t="shared" si="4"/>
        <v>0</v>
      </c>
      <c r="G31" s="689">
        <f t="shared" si="4"/>
        <v>0</v>
      </c>
      <c r="H31" s="689">
        <f t="shared" si="4"/>
        <v>0</v>
      </c>
      <c r="I31" s="689">
        <f t="shared" si="4"/>
        <v>0</v>
      </c>
      <c r="J31" s="689">
        <f t="shared" si="4"/>
        <v>0</v>
      </c>
      <c r="K31" s="689">
        <f t="shared" si="4"/>
        <v>0</v>
      </c>
      <c r="L31" s="689">
        <f t="shared" si="4"/>
        <v>0</v>
      </c>
      <c r="M31" s="689">
        <f t="shared" si="4"/>
        <v>0</v>
      </c>
      <c r="N31" s="690">
        <f>N14-N30</f>
        <v>0</v>
      </c>
      <c r="O31" s="696">
        <f>O14-O30</f>
        <v>0</v>
      </c>
    </row>
    <row r="32" spans="1:15" ht="20.100000000000001" customHeight="1" thickTop="1"/>
  </sheetData>
  <mergeCells count="5">
    <mergeCell ref="A1:O1"/>
    <mergeCell ref="A3:B3"/>
    <mergeCell ref="A4:A14"/>
    <mergeCell ref="A15:A30"/>
    <mergeCell ref="A31:B31"/>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CDEB"/>
  </sheetPr>
  <dimension ref="A1:I65"/>
  <sheetViews>
    <sheetView showWhiteSpace="0" zoomScale="120" zoomScaleNormal="120" workbookViewId="0">
      <selection activeCell="A2" sqref="A2"/>
    </sheetView>
  </sheetViews>
  <sheetFormatPr defaultColWidth="8.875" defaultRowHeight="20.100000000000001" customHeight="1"/>
  <cols>
    <col min="1" max="1" width="20.375" style="258" customWidth="1"/>
    <col min="2" max="7" width="12.625" style="258" customWidth="1"/>
    <col min="8" max="8" width="8.875" style="258"/>
    <col min="9" max="10" width="9.125" style="258" bestFit="1" customWidth="1"/>
    <col min="11" max="16384" width="8.875" style="258"/>
  </cols>
  <sheetData>
    <row r="1" spans="1:9" ht="36" customHeight="1">
      <c r="A1" s="881" t="str">
        <f>CONCATENATE(YEAR(設定メニュー!$B$2),"年度　合計残高試算表")</f>
        <v>2017年度　合計残高試算表</v>
      </c>
      <c r="B1" s="881"/>
      <c r="C1" s="881"/>
      <c r="D1" s="881"/>
      <c r="E1" s="881"/>
      <c r="F1" s="881"/>
      <c r="G1" s="881"/>
    </row>
    <row r="2" spans="1:9" ht="12.95" customHeight="1" thickBot="1">
      <c r="G2" s="259" t="str">
        <f>CONCATENATE(YEAR(設定メニュー!B2),"年",MONTH(設定メニュー!B2),"月",DAY(設定メニュー!B2),"日～12月31日")</f>
        <v>2017年1月1日～12月31日</v>
      </c>
    </row>
    <row r="3" spans="1:9" s="260" customFormat="1" ht="20.100000000000001" customHeight="1" thickTop="1">
      <c r="A3" s="882" t="s">
        <v>27</v>
      </c>
      <c r="B3" s="884" t="s">
        <v>301</v>
      </c>
      <c r="C3" s="885"/>
      <c r="D3" s="886" t="s">
        <v>302</v>
      </c>
      <c r="E3" s="887"/>
      <c r="F3" s="884" t="s">
        <v>73</v>
      </c>
      <c r="G3" s="888"/>
    </row>
    <row r="4" spans="1:9" ht="20.100000000000001" customHeight="1" thickBot="1">
      <c r="A4" s="883"/>
      <c r="B4" s="564" t="s">
        <v>4</v>
      </c>
      <c r="C4" s="561" t="s">
        <v>3</v>
      </c>
      <c r="D4" s="562" t="s">
        <v>4</v>
      </c>
      <c r="E4" s="563" t="s">
        <v>3</v>
      </c>
      <c r="F4" s="564" t="s">
        <v>4</v>
      </c>
      <c r="G4" s="565" t="s">
        <v>3</v>
      </c>
    </row>
    <row r="5" spans="1:9" ht="18" customHeight="1">
      <c r="A5" s="566" t="str">
        <f>設定メニュー!B5</f>
        <v>現金</v>
      </c>
      <c r="B5" s="261">
        <f>IFERROR(VLOOKUP(A5,前期繰越!$A$4:$C$28,2,0),"")</f>
        <v>0</v>
      </c>
      <c r="C5" s="262">
        <f>IFERROR(VLOOKUP(A5,前期繰越!$A$4:$C$28,3,0),"")</f>
        <v>0</v>
      </c>
      <c r="D5" s="263">
        <f ca="1">IFERROR(INDIRECT(A5&amp;"!G99"),"")</f>
        <v>0</v>
      </c>
      <c r="E5" s="264">
        <f ca="1">IFERROR(INDIRECT(A5&amp;"!H99"),"")</f>
        <v>0</v>
      </c>
      <c r="F5" s="261" t="str">
        <f t="shared" ref="F5:F40" ca="1" si="0">IFERROR(IF((D5-E5)&gt;0,D5-E5,""),"")</f>
        <v/>
      </c>
      <c r="G5" s="265" t="str">
        <f ca="1">IFERROR(IF((D5-E5)&lt;0,(D5-E5)*-1,""),"")</f>
        <v/>
      </c>
    </row>
    <row r="6" spans="1:9" ht="18" customHeight="1">
      <c r="A6" s="567" t="str">
        <f>設定メニュー!B6</f>
        <v>普通預金</v>
      </c>
      <c r="B6" s="266">
        <f>IFERROR(VLOOKUP(A6,前期繰越!$A$4:$C$28,2,0),"")</f>
        <v>0</v>
      </c>
      <c r="C6" s="267">
        <f>IFERROR(VLOOKUP(A6,前期繰越!$A$4:$C$28,3,0),"")</f>
        <v>0</v>
      </c>
      <c r="D6" s="268">
        <f ca="1">IFERROR(INDIRECT(A6&amp;"!G99"),"")</f>
        <v>0</v>
      </c>
      <c r="E6" s="269">
        <f ca="1">IFERROR(INDIRECT(A6&amp;"!H99"),"")</f>
        <v>0</v>
      </c>
      <c r="F6" s="266" t="str">
        <f t="shared" ca="1" si="0"/>
        <v/>
      </c>
      <c r="G6" s="270" t="str">
        <f ca="1">IFERROR(IF((D6-E6)&lt;0,(D6-E6)*-1,""),"")</f>
        <v/>
      </c>
    </row>
    <row r="7" spans="1:9" ht="18" customHeight="1">
      <c r="A7" s="567" t="str">
        <f>設定メニュー!B7</f>
        <v>売掛金</v>
      </c>
      <c r="B7" s="271">
        <f>IFERROR(VLOOKUP(A7,前期繰越!$A$4:$C$28,2,0),"")</f>
        <v>0</v>
      </c>
      <c r="C7" s="272">
        <f>IFERROR(VLOOKUP(A7,前期繰越!$A$4:$C$28,3,0),"")</f>
        <v>0</v>
      </c>
      <c r="D7" s="273">
        <f ca="1">IFERROR(INDIRECT(A7&amp;"!G305"),"")</f>
        <v>0</v>
      </c>
      <c r="E7" s="269">
        <f ca="1">IFERROR(INDIRECT(A7&amp;"!H305"),"")</f>
        <v>0</v>
      </c>
      <c r="F7" s="271" t="str">
        <f t="shared" ca="1" si="0"/>
        <v/>
      </c>
      <c r="G7" s="274" t="str">
        <f t="shared" ref="G7:G40" ca="1" si="1">IFERROR(IF((D7-E7)&lt;0,(D7-E7)*-1,""),"")</f>
        <v/>
      </c>
      <c r="H7" s="275" t="str">
        <f ca="1">IF(SUM(D8:D17)=D7,"","売掛金の貸方が合っていません")</f>
        <v/>
      </c>
    </row>
    <row r="8" spans="1:9" ht="18" customHeight="1">
      <c r="A8" s="574" t="str">
        <f>設定メニュー!E5</f>
        <v>Googleアドセンス</v>
      </c>
      <c r="B8" s="276">
        <f>IFERROR(VLOOKUP(A8,前期繰越!$A$4:$C$28,2,0),"")</f>
        <v>0</v>
      </c>
      <c r="C8" s="277">
        <f>IFERROR(VLOOKUP(A8,前期繰越!$A$4:$C$28,3,0),"")</f>
        <v>0</v>
      </c>
      <c r="D8" s="278">
        <f t="shared" ref="D8:D17" ca="1" si="2">IFERROR(INDIRECT(A8&amp;"!F99"),"")</f>
        <v>0</v>
      </c>
      <c r="E8" s="279">
        <f t="shared" ref="E8:E17" ca="1" si="3">IFERROR(INDIRECT(A8&amp;"!G99"),"")</f>
        <v>0</v>
      </c>
      <c r="F8" s="276" t="str">
        <f t="shared" ca="1" si="0"/>
        <v/>
      </c>
      <c r="G8" s="280" t="str">
        <f ca="1">IFERROR(IF((D8-E8)&lt;0,(D8-E8)*-1,""),"")</f>
        <v/>
      </c>
      <c r="H8" s="275"/>
    </row>
    <row r="9" spans="1:9" ht="18" customHeight="1">
      <c r="A9" s="574" t="str">
        <f>設定メニュー!E6</f>
        <v>Amazonアソシエイト</v>
      </c>
      <c r="B9" s="276">
        <f>IFERROR(VLOOKUP(A9,前期繰越!$A$4:$C$28,2,0),"")</f>
        <v>0</v>
      </c>
      <c r="C9" s="277">
        <f>IFERROR(VLOOKUP(A9,前期繰越!$A$4:$C$28,3,0),"")</f>
        <v>0</v>
      </c>
      <c r="D9" s="278">
        <f t="shared" ca="1" si="2"/>
        <v>0</v>
      </c>
      <c r="E9" s="279">
        <f t="shared" ca="1" si="3"/>
        <v>0</v>
      </c>
      <c r="F9" s="276" t="str">
        <f t="shared" ca="1" si="0"/>
        <v/>
      </c>
      <c r="G9" s="281" t="str">
        <f ca="1">IFERROR(IF((D9-E9)&lt;0,(D9-E9)*-1,""),"")</f>
        <v/>
      </c>
    </row>
    <row r="10" spans="1:9" ht="18" customHeight="1">
      <c r="A10" s="574" t="str">
        <f>設定メニュー!E7</f>
        <v>A8.net</v>
      </c>
      <c r="B10" s="276">
        <f>IFERROR(VLOOKUP(A10,前期繰越!$A$4:$C$28,2,0),"")</f>
        <v>0</v>
      </c>
      <c r="C10" s="277">
        <f>IFERROR(VLOOKUP(A10,前期繰越!$A$4:$C$28,3,0),"")</f>
        <v>0</v>
      </c>
      <c r="D10" s="278">
        <f t="shared" ca="1" si="2"/>
        <v>0</v>
      </c>
      <c r="E10" s="279">
        <f t="shared" ca="1" si="3"/>
        <v>0</v>
      </c>
      <c r="F10" s="276" t="str">
        <f t="shared" ca="1" si="0"/>
        <v/>
      </c>
      <c r="G10" s="281" t="str">
        <f ca="1">IFERROR(IF((D10-E10)&lt;0,(D10-E10)*-1,""),"")</f>
        <v/>
      </c>
    </row>
    <row r="11" spans="1:9" ht="18" customHeight="1">
      <c r="A11" s="574" t="str">
        <f>設定メニュー!E8</f>
        <v>アクセストレード</v>
      </c>
      <c r="B11" s="276">
        <f>IFERROR(VLOOKUP(A11,前期繰越!$A$4:$C$28,2,0),"")</f>
        <v>0</v>
      </c>
      <c r="C11" s="277">
        <f>IFERROR(VLOOKUP(A11,前期繰越!$A$4:$C$28,3,0),"")</f>
        <v>0</v>
      </c>
      <c r="D11" s="278">
        <f t="shared" ca="1" si="2"/>
        <v>0</v>
      </c>
      <c r="E11" s="279">
        <f t="shared" ca="1" si="3"/>
        <v>0</v>
      </c>
      <c r="F11" s="276" t="str">
        <f t="shared" ca="1" si="0"/>
        <v/>
      </c>
      <c r="G11" s="281" t="str">
        <f ca="1">IFERROR(IF((D11-E11)&lt;0,(D11-E11)*-1,""),"")</f>
        <v/>
      </c>
    </row>
    <row r="12" spans="1:9" ht="18" customHeight="1">
      <c r="A12" s="574" t="str">
        <f>設定メニュー!E9</f>
        <v>もしも</v>
      </c>
      <c r="B12" s="276">
        <f>IFERROR(VLOOKUP(A12,前期繰越!$A$4:$C$28,2,0),"")</f>
        <v>0</v>
      </c>
      <c r="C12" s="277">
        <f>IFERROR(VLOOKUP(A12,前期繰越!$A$4:$C$28,3,0),"")</f>
        <v>0</v>
      </c>
      <c r="D12" s="278">
        <f t="shared" ca="1" si="2"/>
        <v>0</v>
      </c>
      <c r="E12" s="279">
        <f t="shared" ca="1" si="3"/>
        <v>0</v>
      </c>
      <c r="F12" s="276" t="str">
        <f t="shared" ca="1" si="0"/>
        <v/>
      </c>
      <c r="G12" s="281" t="str">
        <f t="shared" ca="1" si="1"/>
        <v/>
      </c>
      <c r="I12" s="258">
        <f ca="1">E24-月間総括集計表!O14</f>
        <v>0</v>
      </c>
    </row>
    <row r="13" spans="1:9" ht="18" customHeight="1">
      <c r="A13" s="574" t="str">
        <f>設定メニュー!E10</f>
        <v>楽天</v>
      </c>
      <c r="B13" s="276">
        <f>IFERROR(VLOOKUP(A13,前期繰越!$A$4:$C$28,2,0),"")</f>
        <v>0</v>
      </c>
      <c r="C13" s="277">
        <f>IFERROR(VLOOKUP(A13,前期繰越!$A$4:$C$28,3,0),"")</f>
        <v>0</v>
      </c>
      <c r="D13" s="278">
        <f t="shared" ca="1" si="2"/>
        <v>0</v>
      </c>
      <c r="E13" s="279">
        <f t="shared" ca="1" si="3"/>
        <v>0</v>
      </c>
      <c r="F13" s="276" t="str">
        <f t="shared" ca="1" si="0"/>
        <v/>
      </c>
      <c r="G13" s="281" t="str">
        <f t="shared" ca="1" si="1"/>
        <v/>
      </c>
    </row>
    <row r="14" spans="1:9" ht="18" customHeight="1">
      <c r="A14" s="574" t="str">
        <f>設定メニュー!E11</f>
        <v>バリューコマース</v>
      </c>
      <c r="B14" s="276">
        <f>IFERROR(VLOOKUP(A14,前期繰越!$A$4:$C$28,2,0),"")</f>
        <v>0</v>
      </c>
      <c r="C14" s="277">
        <f>IFERROR(VLOOKUP(A14,前期繰越!$A$4:$C$28,3,0),"")</f>
        <v>0</v>
      </c>
      <c r="D14" s="278">
        <f t="shared" ca="1" si="2"/>
        <v>0</v>
      </c>
      <c r="E14" s="279">
        <f t="shared" ca="1" si="3"/>
        <v>0</v>
      </c>
      <c r="F14" s="276" t="str">
        <f t="shared" ca="1" si="0"/>
        <v/>
      </c>
      <c r="G14" s="281" t="str">
        <f t="shared" ca="1" si="1"/>
        <v/>
      </c>
    </row>
    <row r="15" spans="1:9" ht="18" customHeight="1">
      <c r="A15" s="574" t="str">
        <f>設定メニュー!E12</f>
        <v>Moba8.net</v>
      </c>
      <c r="B15" s="276">
        <f>IFERROR(VLOOKUP(A15,前期繰越!$A$4:$C$28,2,0),"")</f>
        <v>0</v>
      </c>
      <c r="C15" s="277">
        <f>IFERROR(VLOOKUP(A15,前期繰越!$A$4:$C$28,3,0),"")</f>
        <v>0</v>
      </c>
      <c r="D15" s="278">
        <f t="shared" ca="1" si="2"/>
        <v>0</v>
      </c>
      <c r="E15" s="279">
        <f t="shared" ca="1" si="3"/>
        <v>0</v>
      </c>
      <c r="F15" s="276" t="str">
        <f t="shared" ca="1" si="0"/>
        <v/>
      </c>
      <c r="G15" s="281" t="str">
        <f t="shared" ca="1" si="1"/>
        <v/>
      </c>
    </row>
    <row r="16" spans="1:9" ht="18" customHeight="1">
      <c r="A16" s="574" t="str">
        <f>設定メニュー!E13</f>
        <v>nend</v>
      </c>
      <c r="B16" s="276">
        <f>IFERROR(VLOOKUP(A16,前期繰越!$A$4:$C$28,2,0),"")</f>
        <v>0</v>
      </c>
      <c r="C16" s="277">
        <f>IFERROR(VLOOKUP(A16,前期繰越!$A$4:$C$28,3,0),"")</f>
        <v>0</v>
      </c>
      <c r="D16" s="278">
        <f t="shared" ca="1" si="2"/>
        <v>0</v>
      </c>
      <c r="E16" s="279">
        <f t="shared" ca="1" si="3"/>
        <v>0</v>
      </c>
      <c r="F16" s="276" t="str">
        <f t="shared" ca="1" si="0"/>
        <v/>
      </c>
      <c r="G16" s="281" t="str">
        <f t="shared" ca="1" si="1"/>
        <v/>
      </c>
    </row>
    <row r="17" spans="1:7" ht="18" customHeight="1">
      <c r="A17" s="574" t="str">
        <f>設定メニュー!E14</f>
        <v>売上先予備1</v>
      </c>
      <c r="B17" s="276">
        <f>IFERROR(VLOOKUP(A17,前期繰越!$A$4:$C$28,2,0),"")</f>
        <v>0</v>
      </c>
      <c r="C17" s="277">
        <f>IFERROR(VLOOKUP(A17,前期繰越!$A$4:$C$28,3,0),"")</f>
        <v>0</v>
      </c>
      <c r="D17" s="278">
        <f t="shared" ca="1" si="2"/>
        <v>0</v>
      </c>
      <c r="E17" s="279">
        <f t="shared" ca="1" si="3"/>
        <v>0</v>
      </c>
      <c r="F17" s="276" t="str">
        <f t="shared" ca="1" si="0"/>
        <v/>
      </c>
      <c r="G17" s="281" t="str">
        <f t="shared" ca="1" si="1"/>
        <v/>
      </c>
    </row>
    <row r="18" spans="1:7" ht="18" customHeight="1">
      <c r="A18" s="567" t="str">
        <f>設定メニュー!B8</f>
        <v>前払費用</v>
      </c>
      <c r="B18" s="282">
        <f>IFERROR(VLOOKUP(A18,前期繰越!$A$4:$C$28,2,0),"")</f>
        <v>0</v>
      </c>
      <c r="C18" s="283">
        <f>IFERROR(VLOOKUP(A18,前期繰越!$A$4:$C$28,3,0),"")</f>
        <v>0</v>
      </c>
      <c r="D18" s="284">
        <f t="shared" ref="D18:D40" ca="1" si="4">IFERROR(INDIRECT(A18&amp;"!G99"),"")</f>
        <v>0</v>
      </c>
      <c r="E18" s="269">
        <f t="shared" ref="E18:E41" ca="1" si="5">IFERROR(INDIRECT(A18&amp;"!H99"),"")</f>
        <v>0</v>
      </c>
      <c r="F18" s="282" t="str">
        <f t="shared" ca="1" si="0"/>
        <v/>
      </c>
      <c r="G18" s="270" t="str">
        <f t="shared" ca="1" si="1"/>
        <v/>
      </c>
    </row>
    <row r="19" spans="1:7" ht="18" customHeight="1">
      <c r="A19" s="567" t="str">
        <f>設定メニュー!B9</f>
        <v>長期前払費用</v>
      </c>
      <c r="B19" s="266">
        <f>IFERROR(VLOOKUP(A19,前期繰越!$A$4:$C$28,2,0),"")</f>
        <v>0</v>
      </c>
      <c r="C19" s="267">
        <f>IFERROR(VLOOKUP(A19,前期繰越!$A$4:$C$28,3,0),"")</f>
        <v>0</v>
      </c>
      <c r="D19" s="268">
        <f t="shared" ca="1" si="4"/>
        <v>0</v>
      </c>
      <c r="E19" s="269">
        <f t="shared" ca="1" si="5"/>
        <v>0</v>
      </c>
      <c r="F19" s="266" t="str">
        <f t="shared" ca="1" si="0"/>
        <v/>
      </c>
      <c r="G19" s="270" t="str">
        <f t="shared" ca="1" si="1"/>
        <v/>
      </c>
    </row>
    <row r="20" spans="1:7" ht="18" customHeight="1">
      <c r="A20" s="567" t="str">
        <f>設定メニュー!B10</f>
        <v>工具器具備品</v>
      </c>
      <c r="B20" s="271">
        <f>IFERROR(VLOOKUP(A20,前期繰越!$A$4:$C$28,2,0),"")</f>
        <v>0</v>
      </c>
      <c r="C20" s="272">
        <f>IFERROR(VLOOKUP(A20,前期繰越!$A$4:$C$28,3,0),"")</f>
        <v>0</v>
      </c>
      <c r="D20" s="273">
        <f t="shared" ca="1" si="4"/>
        <v>0</v>
      </c>
      <c r="E20" s="285">
        <f t="shared" ca="1" si="5"/>
        <v>0</v>
      </c>
      <c r="F20" s="271" t="str">
        <f t="shared" ca="1" si="0"/>
        <v/>
      </c>
      <c r="G20" s="274" t="str">
        <f t="shared" ca="1" si="1"/>
        <v/>
      </c>
    </row>
    <row r="21" spans="1:7" ht="18" customHeight="1">
      <c r="A21" s="571" t="str">
        <f>設定メニュー!B11</f>
        <v>事業主貸</v>
      </c>
      <c r="B21" s="286">
        <f>IFERROR(VLOOKUP(A21,前期繰越!$A$4:$C$28,2,0),"")</f>
        <v>0</v>
      </c>
      <c r="C21" s="287">
        <f>IFERROR(VLOOKUP(A21,前期繰越!$A$4:$C$28,3,0),"")</f>
        <v>0</v>
      </c>
      <c r="D21" s="288">
        <f t="shared" ca="1" si="4"/>
        <v>0</v>
      </c>
      <c r="E21" s="289">
        <f t="shared" ca="1" si="5"/>
        <v>0</v>
      </c>
      <c r="F21" s="286" t="str">
        <f t="shared" ca="1" si="0"/>
        <v/>
      </c>
      <c r="G21" s="290" t="str">
        <f t="shared" ca="1" si="1"/>
        <v/>
      </c>
    </row>
    <row r="22" spans="1:7" ht="18" customHeight="1">
      <c r="A22" s="569" t="str">
        <f>設定メニュー!B12</f>
        <v>事業主借</v>
      </c>
      <c r="B22" s="291">
        <f>IFERROR(VLOOKUP(A22,前期繰越!$A$4:$C$28,2,0),"")</f>
        <v>0</v>
      </c>
      <c r="C22" s="292">
        <f>IFERROR(VLOOKUP(A22,前期繰越!$A$4:$C$28,3,0),"")</f>
        <v>0</v>
      </c>
      <c r="D22" s="293">
        <f t="shared" ca="1" si="4"/>
        <v>0</v>
      </c>
      <c r="E22" s="294">
        <f t="shared" ca="1" si="5"/>
        <v>0</v>
      </c>
      <c r="F22" s="291" t="str">
        <f t="shared" ca="1" si="0"/>
        <v/>
      </c>
      <c r="G22" s="295" t="str">
        <f t="shared" ca="1" si="1"/>
        <v/>
      </c>
    </row>
    <row r="23" spans="1:7" ht="18" customHeight="1">
      <c r="A23" s="568" t="str">
        <f>設定メニュー!B13</f>
        <v>未払金</v>
      </c>
      <c r="B23" s="286">
        <f>IFERROR(VLOOKUP(A23,前期繰越!$A$4:$C$28,2,0),"")</f>
        <v>0</v>
      </c>
      <c r="C23" s="289">
        <f>IFERROR(VLOOKUP(A23,前期繰越!$A$4:$C$28,3,0),"")</f>
        <v>0</v>
      </c>
      <c r="D23" s="288">
        <f t="shared" ca="1" si="4"/>
        <v>0</v>
      </c>
      <c r="E23" s="289">
        <f t="shared" ca="1" si="5"/>
        <v>0</v>
      </c>
      <c r="F23" s="286" t="str">
        <f t="shared" ca="1" si="0"/>
        <v/>
      </c>
      <c r="G23" s="290" t="str">
        <f t="shared" ca="1" si="1"/>
        <v/>
      </c>
    </row>
    <row r="24" spans="1:7" ht="18" customHeight="1">
      <c r="A24" s="569" t="str">
        <f>設定メニュー!B14</f>
        <v>売上高</v>
      </c>
      <c r="B24" s="296"/>
      <c r="C24" s="294"/>
      <c r="D24" s="293">
        <f ca="1">IFERROR(INDIRECT(A24&amp;"!G206"),"")</f>
        <v>0</v>
      </c>
      <c r="E24" s="289">
        <f ca="1">IFERROR(INDIRECT(A24&amp;"!H206"),"")</f>
        <v>0</v>
      </c>
      <c r="F24" s="291" t="str">
        <f t="shared" ca="1" si="0"/>
        <v/>
      </c>
      <c r="G24" s="295" t="str">
        <f t="shared" ca="1" si="1"/>
        <v/>
      </c>
    </row>
    <row r="25" spans="1:7" ht="18" customHeight="1">
      <c r="A25" s="568" t="str">
        <f>設定メニュー!B15</f>
        <v>雑収入</v>
      </c>
      <c r="B25" s="297"/>
      <c r="C25" s="289"/>
      <c r="D25" s="288">
        <f t="shared" ca="1" si="4"/>
        <v>0</v>
      </c>
      <c r="E25" s="289">
        <f t="shared" ca="1" si="5"/>
        <v>0</v>
      </c>
      <c r="F25" s="286" t="str">
        <f t="shared" ca="1" si="0"/>
        <v/>
      </c>
      <c r="G25" s="290" t="str">
        <f t="shared" ca="1" si="1"/>
        <v/>
      </c>
    </row>
    <row r="26" spans="1:7" ht="18" customHeight="1">
      <c r="A26" s="570" t="str">
        <f>設定メニュー!B16</f>
        <v>旅費交通費</v>
      </c>
      <c r="B26" s="296"/>
      <c r="C26" s="294"/>
      <c r="D26" s="298">
        <f t="shared" ca="1" si="4"/>
        <v>0</v>
      </c>
      <c r="E26" s="299">
        <f t="shared" ca="1" si="5"/>
        <v>0</v>
      </c>
      <c r="F26" s="300" t="str">
        <f t="shared" ca="1" si="0"/>
        <v/>
      </c>
      <c r="G26" s="295" t="str">
        <f t="shared" ca="1" si="1"/>
        <v/>
      </c>
    </row>
    <row r="27" spans="1:7" ht="18" customHeight="1">
      <c r="A27" s="567" t="str">
        <f>設定メニュー!B17</f>
        <v>通信費</v>
      </c>
      <c r="B27" s="301"/>
      <c r="C27" s="269"/>
      <c r="D27" s="268">
        <f t="shared" ca="1" si="4"/>
        <v>0</v>
      </c>
      <c r="E27" s="269">
        <f t="shared" ca="1" si="5"/>
        <v>0</v>
      </c>
      <c r="F27" s="271" t="str">
        <f t="shared" ca="1" si="0"/>
        <v/>
      </c>
      <c r="G27" s="302" t="str">
        <f t="shared" ca="1" si="1"/>
        <v/>
      </c>
    </row>
    <row r="28" spans="1:7" ht="18" customHeight="1">
      <c r="A28" s="567" t="str">
        <f>設定メニュー!B18</f>
        <v>接待交際費</v>
      </c>
      <c r="B28" s="301"/>
      <c r="C28" s="269"/>
      <c r="D28" s="268">
        <f t="shared" ca="1" si="4"/>
        <v>0</v>
      </c>
      <c r="E28" s="269">
        <f t="shared" ca="1" si="5"/>
        <v>0</v>
      </c>
      <c r="F28" s="271" t="str">
        <f t="shared" ca="1" si="0"/>
        <v/>
      </c>
      <c r="G28" s="302" t="str">
        <f t="shared" ca="1" si="1"/>
        <v/>
      </c>
    </row>
    <row r="29" spans="1:7" ht="18" customHeight="1">
      <c r="A29" s="567" t="str">
        <f>設定メニュー!B19</f>
        <v>消耗品費</v>
      </c>
      <c r="B29" s="301"/>
      <c r="C29" s="269"/>
      <c r="D29" s="268">
        <f t="shared" ca="1" si="4"/>
        <v>0</v>
      </c>
      <c r="E29" s="269">
        <f t="shared" ca="1" si="5"/>
        <v>0</v>
      </c>
      <c r="F29" s="271" t="str">
        <f t="shared" ca="1" si="0"/>
        <v/>
      </c>
      <c r="G29" s="302" t="str">
        <f t="shared" ca="1" si="1"/>
        <v/>
      </c>
    </row>
    <row r="30" spans="1:7" ht="18" customHeight="1">
      <c r="A30" s="567" t="str">
        <f>設定メニュー!B20</f>
        <v>外注工賃</v>
      </c>
      <c r="B30" s="301"/>
      <c r="C30" s="269"/>
      <c r="D30" s="268">
        <f t="shared" ca="1" si="4"/>
        <v>0</v>
      </c>
      <c r="E30" s="269">
        <f t="shared" ca="1" si="5"/>
        <v>0</v>
      </c>
      <c r="F30" s="271" t="str">
        <f t="shared" ca="1" si="0"/>
        <v/>
      </c>
      <c r="G30" s="302" t="str">
        <f t="shared" ca="1" si="1"/>
        <v/>
      </c>
    </row>
    <row r="31" spans="1:7" ht="18" customHeight="1">
      <c r="A31" s="567" t="str">
        <f>設定メニュー!B21</f>
        <v>支払手数料</v>
      </c>
      <c r="B31" s="301"/>
      <c r="C31" s="269"/>
      <c r="D31" s="268">
        <f t="shared" ca="1" si="4"/>
        <v>0</v>
      </c>
      <c r="E31" s="269">
        <f t="shared" ca="1" si="5"/>
        <v>0</v>
      </c>
      <c r="F31" s="271" t="str">
        <f t="shared" ca="1" si="0"/>
        <v/>
      </c>
      <c r="G31" s="302" t="str">
        <f t="shared" ca="1" si="1"/>
        <v/>
      </c>
    </row>
    <row r="32" spans="1:7" ht="18" customHeight="1">
      <c r="A32" s="567" t="str">
        <f>設定メニュー!B22</f>
        <v>新聞図書費</v>
      </c>
      <c r="B32" s="301"/>
      <c r="C32" s="269"/>
      <c r="D32" s="268">
        <f t="shared" ca="1" si="4"/>
        <v>0</v>
      </c>
      <c r="E32" s="269">
        <f t="shared" ca="1" si="5"/>
        <v>0</v>
      </c>
      <c r="F32" s="271" t="str">
        <f t="shared" ca="1" si="0"/>
        <v/>
      </c>
      <c r="G32" s="302" t="str">
        <f t="shared" ca="1" si="1"/>
        <v/>
      </c>
    </row>
    <row r="33" spans="1:8" ht="18" customHeight="1">
      <c r="A33" s="567" t="str">
        <f>設定メニュー!B23</f>
        <v>事務用品費</v>
      </c>
      <c r="B33" s="301"/>
      <c r="C33" s="269"/>
      <c r="D33" s="268">
        <f t="shared" ca="1" si="4"/>
        <v>0</v>
      </c>
      <c r="E33" s="269">
        <f t="shared" ca="1" si="5"/>
        <v>0</v>
      </c>
      <c r="F33" s="271" t="str">
        <f t="shared" ca="1" si="0"/>
        <v/>
      </c>
      <c r="G33" s="302" t="str">
        <f t="shared" ca="1" si="1"/>
        <v/>
      </c>
    </row>
    <row r="34" spans="1:8" ht="18" customHeight="1">
      <c r="A34" s="567" t="str">
        <f>設定メニュー!B24</f>
        <v>研修費</v>
      </c>
      <c r="B34" s="303"/>
      <c r="C34" s="285"/>
      <c r="D34" s="268">
        <f t="shared" ca="1" si="4"/>
        <v>0</v>
      </c>
      <c r="E34" s="269">
        <f t="shared" ca="1" si="5"/>
        <v>0</v>
      </c>
      <c r="F34" s="271" t="str">
        <f t="shared" ca="1" si="0"/>
        <v/>
      </c>
      <c r="G34" s="302" t="str">
        <f t="shared" ca="1" si="1"/>
        <v/>
      </c>
    </row>
    <row r="35" spans="1:8" ht="18" customHeight="1">
      <c r="A35" s="567" t="str">
        <f>設定メニュー!B25</f>
        <v>雑費</v>
      </c>
      <c r="B35" s="301"/>
      <c r="C35" s="269"/>
      <c r="D35" s="284">
        <f t="shared" ca="1" si="4"/>
        <v>0</v>
      </c>
      <c r="E35" s="304">
        <f t="shared" ca="1" si="5"/>
        <v>0</v>
      </c>
      <c r="F35" s="271" t="str">
        <f t="shared" ca="1" si="0"/>
        <v/>
      </c>
      <c r="G35" s="274" t="str">
        <f t="shared" ca="1" si="1"/>
        <v/>
      </c>
    </row>
    <row r="36" spans="1:8" ht="18" customHeight="1">
      <c r="A36" s="567" t="str">
        <f>設定メニュー!B26</f>
        <v>租税公課</v>
      </c>
      <c r="B36" s="271"/>
      <c r="C36" s="272"/>
      <c r="D36" s="273">
        <f t="shared" ca="1" si="4"/>
        <v>0</v>
      </c>
      <c r="E36" s="285">
        <f t="shared" ca="1" si="5"/>
        <v>0</v>
      </c>
      <c r="F36" s="271" t="str">
        <f t="shared" ca="1" si="0"/>
        <v/>
      </c>
      <c r="G36" s="305" t="str">
        <f t="shared" ca="1" si="1"/>
        <v/>
      </c>
    </row>
    <row r="37" spans="1:8" ht="18" customHeight="1">
      <c r="A37" s="567" t="str">
        <f>設定メニュー!B27</f>
        <v>予備.1</v>
      </c>
      <c r="B37" s="271"/>
      <c r="C37" s="272"/>
      <c r="D37" s="273">
        <f t="shared" ca="1" si="4"/>
        <v>0</v>
      </c>
      <c r="E37" s="285">
        <f t="shared" ca="1" si="5"/>
        <v>0</v>
      </c>
      <c r="F37" s="271" t="str">
        <f t="shared" ca="1" si="0"/>
        <v/>
      </c>
      <c r="G37" s="305" t="str">
        <f t="shared" ca="1" si="1"/>
        <v/>
      </c>
    </row>
    <row r="38" spans="1:8" ht="18" customHeight="1">
      <c r="A38" s="567" t="str">
        <f>設定メニュー!B28</f>
        <v>予備.2</v>
      </c>
      <c r="B38" s="271"/>
      <c r="C38" s="272"/>
      <c r="D38" s="273">
        <f t="shared" ca="1" si="4"/>
        <v>0</v>
      </c>
      <c r="E38" s="285">
        <f t="shared" ca="1" si="5"/>
        <v>0</v>
      </c>
      <c r="F38" s="271" t="str">
        <f t="shared" ca="1" si="0"/>
        <v/>
      </c>
      <c r="G38" s="305" t="str">
        <f t="shared" ca="1" si="1"/>
        <v/>
      </c>
    </row>
    <row r="39" spans="1:8" ht="18" customHeight="1">
      <c r="A39" s="567" t="str">
        <f>設定メニュー!B29</f>
        <v>予備.3</v>
      </c>
      <c r="B39" s="271"/>
      <c r="C39" s="272"/>
      <c r="D39" s="273">
        <f t="shared" ca="1" si="4"/>
        <v>0</v>
      </c>
      <c r="E39" s="285">
        <f t="shared" ca="1" si="5"/>
        <v>0</v>
      </c>
      <c r="F39" s="271" t="str">
        <f t="shared" ca="1" si="0"/>
        <v/>
      </c>
      <c r="G39" s="305" t="str">
        <f t="shared" ca="1" si="1"/>
        <v/>
      </c>
    </row>
    <row r="40" spans="1:8" ht="18" customHeight="1">
      <c r="A40" s="567" t="str">
        <f>設定メニュー!B30</f>
        <v>減価償却費</v>
      </c>
      <c r="B40" s="271"/>
      <c r="C40" s="272"/>
      <c r="D40" s="273">
        <f t="shared" ca="1" si="4"/>
        <v>0</v>
      </c>
      <c r="E40" s="285">
        <f t="shared" ca="1" si="5"/>
        <v>0</v>
      </c>
      <c r="F40" s="271" t="str">
        <f t="shared" ca="1" si="0"/>
        <v/>
      </c>
      <c r="G40" s="305" t="str">
        <f t="shared" ca="1" si="1"/>
        <v/>
      </c>
    </row>
    <row r="41" spans="1:8" ht="18" customHeight="1">
      <c r="A41" s="571"/>
      <c r="B41" s="271"/>
      <c r="C41" s="272"/>
      <c r="D41" s="273" t="str">
        <f ca="1">IFERROR(INDIRECT(A41&amp;"!G99"),"")</f>
        <v/>
      </c>
      <c r="E41" s="285" t="str">
        <f t="shared" ca="1" si="5"/>
        <v/>
      </c>
      <c r="F41" s="271" t="str">
        <f t="shared" ref="F41:F43" ca="1" si="6">IFERROR(IF((D41-E41)&gt;0,D41-E41,""),"")</f>
        <v/>
      </c>
      <c r="G41" s="305" t="str">
        <f t="shared" ref="G41:G43" ca="1" si="7">IFERROR(IF((D41-E41)&lt;0,(D41-E41)*-1,""),"")</f>
        <v/>
      </c>
    </row>
    <row r="42" spans="1:8" ht="18" customHeight="1">
      <c r="A42" s="567"/>
      <c r="B42" s="266"/>
      <c r="C42" s="267"/>
      <c r="D42" s="268"/>
      <c r="E42" s="269"/>
      <c r="F42" s="271" t="str">
        <f t="shared" si="6"/>
        <v/>
      </c>
      <c r="G42" s="305" t="str">
        <f t="shared" si="7"/>
        <v/>
      </c>
    </row>
    <row r="43" spans="1:8" ht="18" customHeight="1">
      <c r="A43" s="567" t="s">
        <v>303</v>
      </c>
      <c r="B43" s="266">
        <f>IFERROR(VLOOKUP(A43,前期繰越!$A$4:$C$28,2,0),"")</f>
        <v>0</v>
      </c>
      <c r="C43" s="267">
        <f>IFERROR(VLOOKUP(A43,前期繰越!$A$4:$C$28,3,0),"")</f>
        <v>0</v>
      </c>
      <c r="D43" s="273">
        <f ca="1">IFERROR(INDIRECT(A43&amp;"!G10"),"")</f>
        <v>0</v>
      </c>
      <c r="E43" s="285">
        <f ca="1">IFERROR(INDIRECT(A43&amp;"!H10"),"")</f>
        <v>0</v>
      </c>
      <c r="F43" s="306" t="str">
        <f t="shared" ca="1" si="6"/>
        <v/>
      </c>
      <c r="G43" s="302" t="str">
        <f t="shared" ca="1" si="7"/>
        <v/>
      </c>
    </row>
    <row r="44" spans="1:8" ht="18" customHeight="1" thickBot="1">
      <c r="A44" s="575"/>
      <c r="B44" s="307"/>
      <c r="C44" s="308"/>
      <c r="D44" s="824"/>
      <c r="E44" s="825"/>
      <c r="F44" s="307"/>
      <c r="G44" s="309"/>
    </row>
    <row r="45" spans="1:8" ht="30" customHeight="1" thickTop="1" thickBot="1">
      <c r="B45" s="310">
        <f t="shared" ref="B45:G45" si="8">SUM(B5:B7,B18:B44)</f>
        <v>0</v>
      </c>
      <c r="C45" s="310">
        <f t="shared" si="8"/>
        <v>0</v>
      </c>
      <c r="D45" s="310">
        <f ca="1">SUM(D5:D7,D18:D44)</f>
        <v>0</v>
      </c>
      <c r="E45" s="310">
        <f t="shared" ca="1" si="8"/>
        <v>0</v>
      </c>
      <c r="F45" s="310">
        <f t="shared" ca="1" si="8"/>
        <v>0</v>
      </c>
      <c r="G45" s="310">
        <f t="shared" ca="1" si="8"/>
        <v>0</v>
      </c>
      <c r="H45" s="311" t="str">
        <f ca="1">IF(D45="","",IF(D45-E45=0,"","合計が合っていません。"))</f>
        <v/>
      </c>
    </row>
    <row r="46" spans="1:8" ht="20.100000000000001" customHeight="1" thickTop="1">
      <c r="G46" s="312"/>
    </row>
    <row r="48" spans="1:8" ht="18.75" customHeight="1">
      <c r="E48" s="258">
        <f ca="1">D45-E45</f>
        <v>0</v>
      </c>
      <c r="G48" s="258">
        <f ca="1">F45-G45</f>
        <v>0</v>
      </c>
    </row>
    <row r="65" s="260" customFormat="1" ht="20.100000000000001" customHeight="1"/>
  </sheetData>
  <mergeCells count="5">
    <mergeCell ref="A1:G1"/>
    <mergeCell ref="A3:A4"/>
    <mergeCell ref="B3:C3"/>
    <mergeCell ref="D3:E3"/>
    <mergeCell ref="F3:G3"/>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D24:E24"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BCDEB"/>
  </sheetPr>
  <dimension ref="A1:I54"/>
  <sheetViews>
    <sheetView zoomScaleNormal="100" workbookViewId="0">
      <selection activeCell="A2" sqref="A2"/>
    </sheetView>
  </sheetViews>
  <sheetFormatPr defaultColWidth="8.875" defaultRowHeight="20.100000000000001" customHeight="1"/>
  <cols>
    <col min="1" max="1" width="20.625" style="258" customWidth="1"/>
    <col min="2" max="9" width="15.125" style="258" customWidth="1"/>
    <col min="10" max="16384" width="8.875" style="258"/>
  </cols>
  <sheetData>
    <row r="1" spans="1:9" ht="36" customHeight="1">
      <c r="A1" s="889" t="str">
        <f>CONCATENATE(YEAR(設定メニュー!$B$2),"年度　精算表")</f>
        <v>2017年度　精算表</v>
      </c>
      <c r="B1" s="889"/>
      <c r="C1" s="889"/>
      <c r="D1" s="889"/>
      <c r="E1" s="889"/>
      <c r="F1" s="889"/>
      <c r="G1" s="889"/>
      <c r="H1" s="889"/>
      <c r="I1" s="889"/>
    </row>
    <row r="2" spans="1:9" ht="12.95" customHeight="1" thickBot="1">
      <c r="I2" s="259" t="str">
        <f>CONCATENATE(YEAR(設定メニュー!B2),"年",MONTH(設定メニュー!B2),"月",DAY(設定メニュー!B2),"日～12月31日")</f>
        <v>2017年1月1日～12月31日</v>
      </c>
    </row>
    <row r="3" spans="1:9" s="260" customFormat="1" ht="18" customHeight="1" thickTop="1">
      <c r="A3" s="890" t="s">
        <v>27</v>
      </c>
      <c r="B3" s="892" t="s">
        <v>304</v>
      </c>
      <c r="C3" s="893"/>
      <c r="D3" s="894" t="s">
        <v>305</v>
      </c>
      <c r="E3" s="895"/>
      <c r="F3" s="892" t="s">
        <v>306</v>
      </c>
      <c r="G3" s="893"/>
      <c r="H3" s="894" t="s">
        <v>307</v>
      </c>
      <c r="I3" s="896"/>
    </row>
    <row r="4" spans="1:9" ht="18" customHeight="1" thickBot="1">
      <c r="A4" s="891"/>
      <c r="B4" s="560" t="s">
        <v>4</v>
      </c>
      <c r="C4" s="561" t="s">
        <v>3</v>
      </c>
      <c r="D4" s="562" t="s">
        <v>4</v>
      </c>
      <c r="E4" s="563" t="s">
        <v>3</v>
      </c>
      <c r="F4" s="564" t="s">
        <v>4</v>
      </c>
      <c r="G4" s="561" t="s">
        <v>3</v>
      </c>
      <c r="H4" s="562" t="s">
        <v>4</v>
      </c>
      <c r="I4" s="565" t="s">
        <v>3</v>
      </c>
    </row>
    <row r="5" spans="1:9" ht="17.100000000000001" customHeight="1">
      <c r="A5" s="566" t="str">
        <f>設定メニュー!B5</f>
        <v>現金</v>
      </c>
      <c r="B5" s="313" t="str">
        <f ca="1">VLOOKUP(A5,合計残高試算表!$A$5:$G$44,6,0)</f>
        <v/>
      </c>
      <c r="C5" s="314" t="str">
        <f ca="1">VLOOKUP(A5,合計残高試算表!$A$5:$G$44,7,0)</f>
        <v/>
      </c>
      <c r="D5" s="315"/>
      <c r="E5" s="316"/>
      <c r="F5" s="313"/>
      <c r="G5" s="314"/>
      <c r="H5" s="317" t="str">
        <f ca="1">IF(AND(D5=0,E5=0),B5,B5-C5+D5-E5)</f>
        <v/>
      </c>
      <c r="I5" s="318" t="str">
        <f ca="1">IF(AND(D5=0,E5=0),C5,B5-C5+D5-E5)</f>
        <v/>
      </c>
    </row>
    <row r="6" spans="1:9" ht="17.100000000000001" customHeight="1">
      <c r="A6" s="567" t="str">
        <f>設定メニュー!B6</f>
        <v>普通預金</v>
      </c>
      <c r="B6" s="319" t="str">
        <f ca="1">VLOOKUP(A6,合計残高試算表!$A$5:$G$44,6,0)</f>
        <v/>
      </c>
      <c r="C6" s="320" t="str">
        <f ca="1">VLOOKUP(A6,合計残高試算表!$A$5:$G$44,7,0)</f>
        <v/>
      </c>
      <c r="D6" s="321"/>
      <c r="E6" s="322"/>
      <c r="F6" s="323"/>
      <c r="G6" s="320"/>
      <c r="H6" s="324" t="str">
        <f ca="1">IF(AND(D6=0,E6=0),B6,B6-C6+D6-E6)</f>
        <v/>
      </c>
      <c r="I6" s="325" t="str">
        <f ca="1">IF(AND(D6=0,E6=0),C6,B6-C6+D6-E6)</f>
        <v/>
      </c>
    </row>
    <row r="7" spans="1:9" ht="17.100000000000001" customHeight="1">
      <c r="A7" s="567" t="str">
        <f>設定メニュー!B7</f>
        <v>売掛金</v>
      </c>
      <c r="B7" s="323" t="str">
        <f ca="1">VLOOKUP(A7,合計残高試算表!$A$5:$G$44,6,0)</f>
        <v/>
      </c>
      <c r="C7" s="320" t="str">
        <f ca="1">VLOOKUP(A7,合計残高試算表!$A$5:$G$44,7,0)</f>
        <v/>
      </c>
      <c r="D7" s="321"/>
      <c r="E7" s="322"/>
      <c r="F7" s="323"/>
      <c r="G7" s="320"/>
      <c r="H7" s="324" t="str">
        <f t="shared" ref="H7:H13" ca="1" si="0">IF(AND(D7=0,E7=0),B7,B7-C7+D7-E7)</f>
        <v/>
      </c>
      <c r="I7" s="325" t="str">
        <f t="shared" ref="I7:I12" ca="1" si="1">IF(AND(D7=0,E7=0),C7,B7-C7+D7-E7)</f>
        <v/>
      </c>
    </row>
    <row r="8" spans="1:9" ht="17.100000000000001" customHeight="1">
      <c r="A8" s="567" t="str">
        <f>設定メニュー!B8</f>
        <v>前払費用</v>
      </c>
      <c r="B8" s="323" t="str">
        <f ca="1">VLOOKUP(A8,合計残高試算表!$A$5:$G$44,6,0)</f>
        <v/>
      </c>
      <c r="C8" s="320" t="str">
        <f ca="1">VLOOKUP(A8,合計残高試算表!$A$5:$G$44,7,0)</f>
        <v/>
      </c>
      <c r="D8" s="321"/>
      <c r="E8" s="322"/>
      <c r="F8" s="323"/>
      <c r="G8" s="320"/>
      <c r="H8" s="324" t="str">
        <f t="shared" ca="1" si="0"/>
        <v/>
      </c>
      <c r="I8" s="325" t="str">
        <f t="shared" ca="1" si="1"/>
        <v/>
      </c>
    </row>
    <row r="9" spans="1:9" ht="17.100000000000001" customHeight="1">
      <c r="A9" s="567" t="str">
        <f>設定メニュー!B9</f>
        <v>長期前払費用</v>
      </c>
      <c r="B9" s="323" t="str">
        <f ca="1">VLOOKUP(A9,合計残高試算表!$A$5:$G$44,6,0)</f>
        <v/>
      </c>
      <c r="C9" s="320" t="str">
        <f ca="1">VLOOKUP(A9,合計残高試算表!$A$5:$G$44,7,0)</f>
        <v/>
      </c>
      <c r="D9" s="321"/>
      <c r="E9" s="322"/>
      <c r="F9" s="323"/>
      <c r="G9" s="320"/>
      <c r="H9" s="324" t="str">
        <f t="shared" ca="1" si="0"/>
        <v/>
      </c>
      <c r="I9" s="325" t="str">
        <f t="shared" ca="1" si="1"/>
        <v/>
      </c>
    </row>
    <row r="10" spans="1:9" ht="17.100000000000001" customHeight="1">
      <c r="A10" s="567" t="str">
        <f>設定メニュー!B10</f>
        <v>工具器具備品</v>
      </c>
      <c r="B10" s="323" t="str">
        <f ca="1">VLOOKUP(A10,合計残高試算表!$A$5:$G$44,6,0)</f>
        <v/>
      </c>
      <c r="C10" s="320" t="str">
        <f ca="1">VLOOKUP(A10,合計残高試算表!$A$5:$G$44,7,0)</f>
        <v/>
      </c>
      <c r="D10" s="321"/>
      <c r="E10" s="322"/>
      <c r="F10" s="323"/>
      <c r="G10" s="320"/>
      <c r="H10" s="324" t="str">
        <f t="shared" ca="1" si="0"/>
        <v/>
      </c>
      <c r="I10" s="325" t="str">
        <f t="shared" ca="1" si="1"/>
        <v/>
      </c>
    </row>
    <row r="11" spans="1:9" ht="17.100000000000001" customHeight="1">
      <c r="A11" s="568" t="str">
        <f>設定メニュー!B11</f>
        <v>事業主貸</v>
      </c>
      <c r="B11" s="326" t="str">
        <f ca="1">VLOOKUP(A11,合計残高試算表!$A$5:$G$44,6,0)</f>
        <v/>
      </c>
      <c r="C11" s="327" t="str">
        <f ca="1">VLOOKUP(A11,合計残高試算表!$A$5:$G$44,7,0)</f>
        <v/>
      </c>
      <c r="D11" s="328"/>
      <c r="E11" s="329"/>
      <c r="F11" s="326"/>
      <c r="G11" s="327"/>
      <c r="H11" s="330" t="str">
        <f t="shared" ca="1" si="0"/>
        <v/>
      </c>
      <c r="I11" s="331" t="str">
        <f t="shared" ca="1" si="1"/>
        <v/>
      </c>
    </row>
    <row r="12" spans="1:9" ht="17.100000000000001" customHeight="1">
      <c r="A12" s="569" t="str">
        <f>設定メニュー!B12</f>
        <v>事業主借</v>
      </c>
      <c r="B12" s="332" t="str">
        <f ca="1">VLOOKUP(A12,合計残高試算表!$A$5:$G$44,6,0)</f>
        <v/>
      </c>
      <c r="C12" s="333" t="str">
        <f ca="1">VLOOKUP(A12,合計残高試算表!$A$5:$G$44,7,0)</f>
        <v/>
      </c>
      <c r="D12" s="334"/>
      <c r="E12" s="335"/>
      <c r="F12" s="332"/>
      <c r="G12" s="333"/>
      <c r="H12" s="334" t="str">
        <f t="shared" ca="1" si="0"/>
        <v/>
      </c>
      <c r="I12" s="336" t="str">
        <f t="shared" ca="1" si="1"/>
        <v/>
      </c>
    </row>
    <row r="13" spans="1:9" ht="17.100000000000001" customHeight="1">
      <c r="A13" s="568" t="str">
        <f>設定メニュー!B13</f>
        <v>未払金</v>
      </c>
      <c r="B13" s="326" t="str">
        <f ca="1">VLOOKUP(A13,合計残高試算表!$A$5:$G$44,6,0)</f>
        <v/>
      </c>
      <c r="C13" s="327" t="str">
        <f ca="1">VLOOKUP(A13,合計残高試算表!$A$5:$G$44,7,0)</f>
        <v/>
      </c>
      <c r="D13" s="328"/>
      <c r="E13" s="329"/>
      <c r="F13" s="326"/>
      <c r="G13" s="327"/>
      <c r="H13" s="328" t="str">
        <f t="shared" ca="1" si="0"/>
        <v/>
      </c>
      <c r="I13" s="337" t="str">
        <f ca="1">IF(AND(D13=0,E13=0),C13,B13-C13+D13-E13)</f>
        <v/>
      </c>
    </row>
    <row r="14" spans="1:9" ht="17.100000000000001" customHeight="1">
      <c r="A14" s="569" t="str">
        <f>設定メニュー!B14</f>
        <v>売上高</v>
      </c>
      <c r="B14" s="332" t="str">
        <f ca="1">VLOOKUP(A14,合計残高試算表!$A$5:$G$44,6,0)</f>
        <v/>
      </c>
      <c r="C14" s="333" t="str">
        <f ca="1">VLOOKUP(A14,合計残高試算表!$A$5:$G$44,7,0)</f>
        <v/>
      </c>
      <c r="D14" s="334"/>
      <c r="E14" s="335"/>
      <c r="F14" s="332" t="s">
        <v>308</v>
      </c>
      <c r="G14" s="338" t="str">
        <f ca="1">IF(AND(D14=0,E14=0),C14,B14-C14+D14-E14)</f>
        <v/>
      </c>
      <c r="H14" s="334"/>
      <c r="I14" s="339"/>
    </row>
    <row r="15" spans="1:9" ht="17.100000000000001" customHeight="1">
      <c r="A15" s="568" t="str">
        <f>設定メニュー!B15</f>
        <v>雑収入</v>
      </c>
      <c r="B15" s="326" t="str">
        <f ca="1">VLOOKUP(A15,合計残高試算表!$A$5:$G$44,6,0)</f>
        <v/>
      </c>
      <c r="C15" s="327" t="str">
        <f ca="1">VLOOKUP(A15,合計残高試算表!$A$5:$G$44,7,0)</f>
        <v/>
      </c>
      <c r="D15" s="328"/>
      <c r="E15" s="329"/>
      <c r="F15" s="326" t="s">
        <v>308</v>
      </c>
      <c r="G15" s="340" t="str">
        <f ca="1">IF(AND(D15=0,E15=0),C15,B15-C15+D15-E15)</f>
        <v/>
      </c>
      <c r="H15" s="328"/>
      <c r="I15" s="331"/>
    </row>
    <row r="16" spans="1:9" ht="17.100000000000001" customHeight="1">
      <c r="A16" s="570" t="str">
        <f>設定メニュー!B16</f>
        <v>旅費交通費</v>
      </c>
      <c r="B16" s="341" t="str">
        <f ca="1">VLOOKUP(A16,合計残高試算表!$A$5:$G$44,6,0)</f>
        <v/>
      </c>
      <c r="C16" s="342" t="str">
        <f ca="1">VLOOKUP(A16,合計残高試算表!$A$5:$G$44,7,0)</f>
        <v/>
      </c>
      <c r="D16" s="343"/>
      <c r="E16" s="344"/>
      <c r="F16" s="345" t="str">
        <f ca="1">IF(AND(D16=0,E16=0),B16,B16-C16+D16-E16)</f>
        <v/>
      </c>
      <c r="G16" s="691"/>
      <c r="H16" s="346"/>
      <c r="I16" s="347"/>
    </row>
    <row r="17" spans="1:9" ht="17.100000000000001" customHeight="1">
      <c r="A17" s="567" t="str">
        <f>設定メニュー!B17</f>
        <v>通信費</v>
      </c>
      <c r="B17" s="323" t="str">
        <f ca="1">VLOOKUP(A17,合計残高試算表!$A$5:$G$44,6,0)</f>
        <v/>
      </c>
      <c r="C17" s="320" t="str">
        <f ca="1">VLOOKUP(A17,合計残高試算表!$A$5:$G$44,7,0)</f>
        <v/>
      </c>
      <c r="D17" s="321"/>
      <c r="E17" s="322"/>
      <c r="F17" s="348" t="str">
        <f ca="1">IF(AND(D17=0,E17=0),B17,B17-C17+D17-E17)</f>
        <v/>
      </c>
      <c r="G17" s="320" t="str">
        <f ca="1">IF(AND(D17=0,E17=0),C17,B17-C17+D17-E17)</f>
        <v/>
      </c>
      <c r="H17" s="349"/>
      <c r="I17" s="325"/>
    </row>
    <row r="18" spans="1:9" ht="17.100000000000001" customHeight="1">
      <c r="A18" s="567" t="str">
        <f>設定メニュー!B18</f>
        <v>接待交際費</v>
      </c>
      <c r="B18" s="323" t="str">
        <f ca="1">VLOOKUP(A18,合計残高試算表!$A$5:$G$44,6,0)</f>
        <v/>
      </c>
      <c r="C18" s="320" t="str">
        <f ca="1">VLOOKUP(A18,合計残高試算表!$A$5:$G$44,7,0)</f>
        <v/>
      </c>
      <c r="D18" s="321"/>
      <c r="E18" s="322"/>
      <c r="F18" s="348" t="str">
        <f t="shared" ref="F18:F28" ca="1" si="2">IF(AND(D18=0,E18=0),B18,B18-C18+D18-E18)</f>
        <v/>
      </c>
      <c r="G18" s="320" t="str">
        <f t="shared" ref="G18:G28" ca="1" si="3">IF(AND(D18=0,E18=0),C18,B18-C18+D18-E18)</f>
        <v/>
      </c>
      <c r="H18" s="349"/>
      <c r="I18" s="325"/>
    </row>
    <row r="19" spans="1:9" ht="17.100000000000001" customHeight="1">
      <c r="A19" s="567" t="str">
        <f>設定メニュー!B19</f>
        <v>消耗品費</v>
      </c>
      <c r="B19" s="323" t="str">
        <f ca="1">VLOOKUP(A19,合計残高試算表!$A$5:$G$44,6,0)</f>
        <v/>
      </c>
      <c r="C19" s="320" t="str">
        <f ca="1">VLOOKUP(A19,合計残高試算表!$A$5:$G$44,7,0)</f>
        <v/>
      </c>
      <c r="D19" s="321"/>
      <c r="E19" s="322"/>
      <c r="F19" s="348" t="str">
        <f t="shared" ca="1" si="2"/>
        <v/>
      </c>
      <c r="G19" s="320" t="str">
        <f t="shared" ca="1" si="3"/>
        <v/>
      </c>
      <c r="H19" s="349"/>
      <c r="I19" s="325"/>
    </row>
    <row r="20" spans="1:9" ht="17.100000000000001" customHeight="1">
      <c r="A20" s="567" t="str">
        <f>設定メニュー!B20</f>
        <v>外注工賃</v>
      </c>
      <c r="B20" s="323" t="str">
        <f ca="1">VLOOKUP(A20,合計残高試算表!$A$5:$G$44,6,0)</f>
        <v/>
      </c>
      <c r="C20" s="320" t="str">
        <f ca="1">VLOOKUP(A20,合計残高試算表!$A$5:$G$44,7,0)</f>
        <v/>
      </c>
      <c r="D20" s="321"/>
      <c r="E20" s="322"/>
      <c r="F20" s="348" t="str">
        <f t="shared" ca="1" si="2"/>
        <v/>
      </c>
      <c r="G20" s="320" t="str">
        <f t="shared" ca="1" si="3"/>
        <v/>
      </c>
      <c r="H20" s="349"/>
      <c r="I20" s="325"/>
    </row>
    <row r="21" spans="1:9" ht="17.100000000000001" customHeight="1">
      <c r="A21" s="567" t="str">
        <f>設定メニュー!B21</f>
        <v>支払手数料</v>
      </c>
      <c r="B21" s="323" t="str">
        <f ca="1">VLOOKUP(A21,合計残高試算表!$A$5:$G$44,6,0)</f>
        <v/>
      </c>
      <c r="C21" s="320" t="str">
        <f ca="1">VLOOKUP(A21,合計残高試算表!$A$5:$G$44,7,0)</f>
        <v/>
      </c>
      <c r="D21" s="321"/>
      <c r="E21" s="322"/>
      <c r="F21" s="348" t="str">
        <f t="shared" ca="1" si="2"/>
        <v/>
      </c>
      <c r="G21" s="320" t="str">
        <f t="shared" ca="1" si="3"/>
        <v/>
      </c>
      <c r="H21" s="349"/>
      <c r="I21" s="325"/>
    </row>
    <row r="22" spans="1:9" ht="17.100000000000001" customHeight="1">
      <c r="A22" s="567" t="str">
        <f>設定メニュー!B22</f>
        <v>新聞図書費</v>
      </c>
      <c r="B22" s="323" t="str">
        <f ca="1">VLOOKUP(A22,合計残高試算表!$A$5:$G$44,6,0)</f>
        <v/>
      </c>
      <c r="C22" s="320" t="str">
        <f ca="1">VLOOKUP(A22,合計残高試算表!$A$5:$G$44,7,0)</f>
        <v/>
      </c>
      <c r="D22" s="321"/>
      <c r="E22" s="322"/>
      <c r="F22" s="348" t="str">
        <f t="shared" ca="1" si="2"/>
        <v/>
      </c>
      <c r="G22" s="320" t="str">
        <f t="shared" ca="1" si="3"/>
        <v/>
      </c>
      <c r="H22" s="349"/>
      <c r="I22" s="325"/>
    </row>
    <row r="23" spans="1:9" ht="17.100000000000001" customHeight="1">
      <c r="A23" s="567" t="str">
        <f>設定メニュー!B23</f>
        <v>事務用品費</v>
      </c>
      <c r="B23" s="350" t="str">
        <f ca="1">VLOOKUP(A23,合計残高試算表!$A$5:$G$44,6,0)</f>
        <v/>
      </c>
      <c r="C23" s="351" t="str">
        <f ca="1">VLOOKUP(A23,合計残高試算表!$A$5:$G$44,7,0)</f>
        <v/>
      </c>
      <c r="D23" s="321"/>
      <c r="E23" s="322"/>
      <c r="F23" s="348" t="str">
        <f t="shared" ca="1" si="2"/>
        <v/>
      </c>
      <c r="G23" s="320" t="str">
        <f t="shared" ca="1" si="3"/>
        <v/>
      </c>
      <c r="H23" s="349"/>
      <c r="I23" s="325"/>
    </row>
    <row r="24" spans="1:9" ht="17.100000000000001" customHeight="1">
      <c r="A24" s="567" t="str">
        <f>設定メニュー!B24</f>
        <v>研修費</v>
      </c>
      <c r="B24" s="350" t="str">
        <f ca="1">VLOOKUP(A24,合計残高試算表!$A$5:$G$44,6,0)</f>
        <v/>
      </c>
      <c r="C24" s="351" t="str">
        <f ca="1">VLOOKUP(A24,合計残高試算表!$A$5:$G$44,7,0)</f>
        <v/>
      </c>
      <c r="D24" s="343"/>
      <c r="E24" s="344"/>
      <c r="F24" s="348" t="str">
        <f t="shared" ca="1" si="2"/>
        <v/>
      </c>
      <c r="G24" s="352" t="str">
        <f t="shared" ca="1" si="3"/>
        <v/>
      </c>
      <c r="H24" s="349"/>
      <c r="I24" s="353"/>
    </row>
    <row r="25" spans="1:9" ht="17.100000000000001" customHeight="1">
      <c r="A25" s="567" t="str">
        <f>設定メニュー!B25</f>
        <v>雑費</v>
      </c>
      <c r="B25" s="350" t="str">
        <f ca="1">VLOOKUP(A25,合計残高試算表!$A$5:$G$44,6,0)</f>
        <v/>
      </c>
      <c r="C25" s="351" t="str">
        <f ca="1">VLOOKUP(A25,合計残高試算表!$A$5:$G$44,7,0)</f>
        <v/>
      </c>
      <c r="D25" s="349"/>
      <c r="E25" s="354"/>
      <c r="F25" s="348" t="str">
        <f t="shared" ca="1" si="2"/>
        <v/>
      </c>
      <c r="G25" s="351" t="str">
        <f t="shared" ca="1" si="3"/>
        <v/>
      </c>
      <c r="H25" s="349"/>
      <c r="I25" s="355"/>
    </row>
    <row r="26" spans="1:9" ht="17.100000000000001" customHeight="1">
      <c r="A26" s="567" t="str">
        <f>設定メニュー!B26</f>
        <v>租税公課</v>
      </c>
      <c r="B26" s="350" t="str">
        <f ca="1">VLOOKUP(A26,合計残高試算表!$A$5:$G$44,6,0)</f>
        <v/>
      </c>
      <c r="C26" s="351" t="str">
        <f ca="1">VLOOKUP(A26,合計残高試算表!$A$5:$G$44,7,0)</f>
        <v/>
      </c>
      <c r="D26" s="349"/>
      <c r="E26" s="354"/>
      <c r="F26" s="348" t="str">
        <f t="shared" ca="1" si="2"/>
        <v/>
      </c>
      <c r="G26" s="351" t="str">
        <f t="shared" ca="1" si="3"/>
        <v/>
      </c>
      <c r="H26" s="349"/>
      <c r="I26" s="355"/>
    </row>
    <row r="27" spans="1:9" ht="17.100000000000001" customHeight="1">
      <c r="A27" s="567" t="str">
        <f>設定メニュー!B27</f>
        <v>予備.1</v>
      </c>
      <c r="B27" s="350" t="str">
        <f ca="1">VLOOKUP(A27,合計残高試算表!$A$5:$G$44,6,0)</f>
        <v/>
      </c>
      <c r="C27" s="351" t="str">
        <f ca="1">VLOOKUP(A27,合計残高試算表!$A$5:$G$44,7,0)</f>
        <v/>
      </c>
      <c r="D27" s="349"/>
      <c r="E27" s="354"/>
      <c r="F27" s="348" t="str">
        <f t="shared" ca="1" si="2"/>
        <v/>
      </c>
      <c r="G27" s="351" t="str">
        <f t="shared" ca="1" si="3"/>
        <v/>
      </c>
      <c r="H27" s="349"/>
      <c r="I27" s="355"/>
    </row>
    <row r="28" spans="1:9" ht="17.100000000000001" customHeight="1">
      <c r="A28" s="571" t="str">
        <f>設定メニュー!B28</f>
        <v>予備.2</v>
      </c>
      <c r="B28" s="350" t="str">
        <f ca="1">VLOOKUP(A28,合計残高試算表!$A$5:$G$44,6,0)</f>
        <v/>
      </c>
      <c r="C28" s="351" t="str">
        <f ca="1">VLOOKUP(A28,合計残高試算表!$A$5:$G$44,7,0)</f>
        <v/>
      </c>
      <c r="D28" s="349"/>
      <c r="E28" s="354"/>
      <c r="F28" s="348" t="str">
        <f t="shared" ca="1" si="2"/>
        <v/>
      </c>
      <c r="G28" s="351" t="str">
        <f t="shared" ca="1" si="3"/>
        <v/>
      </c>
      <c r="H28" s="349"/>
      <c r="I28" s="355"/>
    </row>
    <row r="29" spans="1:9" ht="17.100000000000001" customHeight="1">
      <c r="A29" s="571" t="str">
        <f>設定メニュー!B29</f>
        <v>予備.3</v>
      </c>
      <c r="B29" s="350" t="str">
        <f ca="1">VLOOKUP(A29,合計残高試算表!$A$5:$G$44,6,0)</f>
        <v/>
      </c>
      <c r="C29" s="351" t="str">
        <f ca="1">VLOOKUP(A29,合計残高試算表!$A$5:$G$44,7,0)</f>
        <v/>
      </c>
      <c r="D29" s="349"/>
      <c r="E29" s="354"/>
      <c r="F29" s="348"/>
      <c r="G29" s="351"/>
      <c r="H29" s="349"/>
      <c r="I29" s="355"/>
    </row>
    <row r="30" spans="1:9" ht="17.100000000000001" customHeight="1">
      <c r="A30" s="571" t="str">
        <f>設定メニュー!B30</f>
        <v>減価償却費</v>
      </c>
      <c r="B30" s="350" t="str">
        <f ca="1">VLOOKUP(A30,合計残高試算表!$A$5:$G$44,6,0)</f>
        <v/>
      </c>
      <c r="C30" s="351" t="str">
        <f ca="1">VLOOKUP(A30,合計残高試算表!$A$5:$G$44,7,0)</f>
        <v/>
      </c>
      <c r="D30" s="349"/>
      <c r="E30" s="354"/>
      <c r="F30" s="348"/>
      <c r="G30" s="351"/>
      <c r="H30" s="349"/>
      <c r="I30" s="355"/>
    </row>
    <row r="31" spans="1:9" ht="17.100000000000001" customHeight="1">
      <c r="A31" s="569"/>
      <c r="B31" s="332"/>
      <c r="C31" s="333"/>
      <c r="D31" s="334"/>
      <c r="E31" s="335"/>
      <c r="F31" s="332"/>
      <c r="G31" s="333"/>
      <c r="H31" s="334"/>
      <c r="I31" s="339"/>
    </row>
    <row r="32" spans="1:9" ht="17.100000000000001" customHeight="1">
      <c r="A32" s="572" t="s">
        <v>303</v>
      </c>
      <c r="B32" s="350"/>
      <c r="C32" s="351" t="str">
        <f ca="1">VLOOKUP(A32,合計残高試算表!$A$5:$G$44,7,0)</f>
        <v/>
      </c>
      <c r="D32" s="349"/>
      <c r="E32" s="354"/>
      <c r="F32" s="350"/>
      <c r="G32" s="351"/>
      <c r="H32" s="349"/>
      <c r="I32" s="547" t="str">
        <f ca="1">IF(AND(D32=0,E32=0),C32,B32-C32+D32-E32)</f>
        <v/>
      </c>
    </row>
    <row r="33" spans="1:9" ht="17.100000000000001" customHeight="1" thickBot="1">
      <c r="A33" s="573" t="s">
        <v>309</v>
      </c>
      <c r="B33" s="356"/>
      <c r="C33" s="357"/>
      <c r="D33" s="358"/>
      <c r="E33" s="359"/>
      <c r="F33" s="356">
        <f ca="1">SUM(G14:G16)-SUM(F16:F30)</f>
        <v>0</v>
      </c>
      <c r="G33" s="357"/>
      <c r="H33" s="358"/>
      <c r="I33" s="360">
        <f ca="1">SUM(H5:H11)-SUM(I12:I13,I32)</f>
        <v>0</v>
      </c>
    </row>
    <row r="34" spans="1:9" ht="20.100000000000001" customHeight="1" thickTop="1" thickBot="1">
      <c r="A34" s="361"/>
      <c r="B34" s="362">
        <f ca="1">SUM(B5:B33)</f>
        <v>0</v>
      </c>
      <c r="C34" s="362">
        <f t="shared" ref="C34:I34" ca="1" si="4">SUM(C5:C33)</f>
        <v>0</v>
      </c>
      <c r="D34" s="362">
        <f t="shared" si="4"/>
        <v>0</v>
      </c>
      <c r="E34" s="362">
        <f t="shared" si="4"/>
        <v>0</v>
      </c>
      <c r="F34" s="362">
        <f t="shared" ca="1" si="4"/>
        <v>0</v>
      </c>
      <c r="G34" s="362">
        <f t="shared" ca="1" si="4"/>
        <v>0</v>
      </c>
      <c r="H34" s="362">
        <f t="shared" ca="1" si="4"/>
        <v>0</v>
      </c>
      <c r="I34" s="362">
        <f t="shared" ca="1" si="4"/>
        <v>0</v>
      </c>
    </row>
    <row r="35" spans="1:9" ht="20.100000000000001" customHeight="1" thickTop="1">
      <c r="B35" s="363"/>
      <c r="C35" s="364" t="str">
        <f ca="1">IF(B34-C34=0,"","要確認！！")</f>
        <v/>
      </c>
      <c r="D35" s="363"/>
      <c r="E35" s="364"/>
      <c r="F35" s="363"/>
      <c r="G35" s="363"/>
      <c r="H35" s="363"/>
      <c r="I35" s="363"/>
    </row>
    <row r="37" spans="1:9" ht="18.75" customHeight="1"/>
    <row r="39" spans="1:9" ht="20.100000000000001" customHeight="1">
      <c r="C39" s="258">
        <f ca="1">B34-C34</f>
        <v>0</v>
      </c>
    </row>
    <row r="54" s="260" customFormat="1" ht="20.100000000000001" customHeight="1"/>
  </sheetData>
  <mergeCells count="6">
    <mergeCell ref="A1:I1"/>
    <mergeCell ref="A3:A4"/>
    <mergeCell ref="B3:C3"/>
    <mergeCell ref="D3:E3"/>
    <mergeCell ref="F3:G3"/>
    <mergeCell ref="H3:I3"/>
  </mergeCells>
  <phoneticPr fontId="2"/>
  <printOptions horizontalCentered="1"/>
  <pageMargins left="0.47244094488188981" right="0.19685039370078741" top="0.39370078740157483" bottom="0.23622047244094491" header="0" footer="0"/>
  <pageSetup paperSize="9" pageOrder="overThenDown" orientation="portrait" blackAndWhite="1" r:id="rId1"/>
  <headerFooter>
    <oddFooter>&amp;C&amp;"メイリオ,レギュラー"&amp;6&amp;A  &amp;P /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0"/>
  <sheetViews>
    <sheetView workbookViewId="0">
      <selection activeCell="G19" sqref="G19"/>
    </sheetView>
  </sheetViews>
  <sheetFormatPr defaultColWidth="9" defaultRowHeight="18.75"/>
  <cols>
    <col min="1" max="1" width="30.625" style="168" customWidth="1"/>
    <col min="2" max="3" width="25.625" style="168" customWidth="1"/>
    <col min="4" max="16384" width="9" style="168"/>
  </cols>
  <sheetData>
    <row r="1" spans="1:6" ht="33">
      <c r="A1" s="881" t="str">
        <f>CONCATENATE(YEAR(設定メニュー!$B$2)-1,"年度　繰越試算表")</f>
        <v>2016年度　繰越試算表</v>
      </c>
      <c r="B1" s="881"/>
      <c r="C1" s="881"/>
      <c r="D1" s="705"/>
      <c r="E1" s="705"/>
      <c r="F1" s="705"/>
    </row>
    <row r="2" spans="1:6" ht="19.5" thickBot="1">
      <c r="C2" s="706" t="str">
        <f>CONCATENATE(YEAR(設定メニュー!B2)-1,"年",MONTH(設定メニュー!B2),"月",DAY(設定メニュー!B2),"日～12月31日分")</f>
        <v>2016年1月1日～12月31日分</v>
      </c>
      <c r="D2" s="258"/>
      <c r="E2" s="258"/>
    </row>
    <row r="3" spans="1:6" ht="24.95" customHeight="1" thickTop="1" thickBot="1">
      <c r="A3" s="707" t="s">
        <v>424</v>
      </c>
      <c r="B3" s="708" t="s">
        <v>4</v>
      </c>
      <c r="C3" s="709" t="s">
        <v>3</v>
      </c>
      <c r="D3" s="258"/>
      <c r="E3" s="258"/>
    </row>
    <row r="4" spans="1:6" ht="24.95" customHeight="1">
      <c r="A4" s="710" t="str">
        <f>設定メニュー!B5</f>
        <v>現金</v>
      </c>
      <c r="B4" s="711"/>
      <c r="C4" s="712"/>
    </row>
    <row r="5" spans="1:6" ht="24.95" customHeight="1">
      <c r="A5" s="713" t="str">
        <f>設定メニュー!B6</f>
        <v>普通預金</v>
      </c>
      <c r="B5" s="714"/>
      <c r="C5" s="715"/>
    </row>
    <row r="6" spans="1:6" ht="24.95" customHeight="1">
      <c r="A6" s="713" t="str">
        <f>設定メニュー!B7</f>
        <v>売掛金</v>
      </c>
      <c r="B6" s="714"/>
      <c r="C6" s="715"/>
    </row>
    <row r="7" spans="1:6" ht="24.95" customHeight="1">
      <c r="A7" s="716" t="str">
        <f>設定メニュー!E5</f>
        <v>Googleアドセンス</v>
      </c>
      <c r="B7" s="714"/>
      <c r="C7" s="715"/>
    </row>
    <row r="8" spans="1:6" ht="24.95" customHeight="1">
      <c r="A8" s="716" t="str">
        <f>設定メニュー!E6</f>
        <v>Amazonアソシエイト</v>
      </c>
      <c r="B8" s="714"/>
      <c r="C8" s="715"/>
    </row>
    <row r="9" spans="1:6" ht="24.95" customHeight="1">
      <c r="A9" s="716" t="str">
        <f>設定メニュー!E7</f>
        <v>A8.net</v>
      </c>
      <c r="B9" s="714"/>
      <c r="C9" s="715"/>
    </row>
    <row r="10" spans="1:6" ht="24.95" customHeight="1">
      <c r="A10" s="716" t="str">
        <f>設定メニュー!E8</f>
        <v>アクセストレード</v>
      </c>
      <c r="B10" s="714"/>
      <c r="C10" s="715"/>
    </row>
    <row r="11" spans="1:6" ht="24.95" customHeight="1">
      <c r="A11" s="716" t="str">
        <f>設定メニュー!E9</f>
        <v>もしも</v>
      </c>
      <c r="B11" s="714"/>
      <c r="C11" s="715"/>
    </row>
    <row r="12" spans="1:6" ht="24.95" customHeight="1">
      <c r="A12" s="716" t="str">
        <f>設定メニュー!E10</f>
        <v>楽天</v>
      </c>
      <c r="B12" s="714"/>
      <c r="C12" s="715"/>
    </row>
    <row r="13" spans="1:6" ht="24.95" customHeight="1">
      <c r="A13" s="716" t="str">
        <f>設定メニュー!E11</f>
        <v>バリューコマース</v>
      </c>
      <c r="B13" s="714"/>
      <c r="C13" s="715"/>
    </row>
    <row r="14" spans="1:6" ht="24.95" customHeight="1">
      <c r="A14" s="716" t="str">
        <f>設定メニュー!E12</f>
        <v>Moba8.net</v>
      </c>
      <c r="B14" s="714"/>
      <c r="C14" s="715"/>
    </row>
    <row r="15" spans="1:6" ht="24.95" customHeight="1">
      <c r="A15" s="716" t="str">
        <f>設定メニュー!E13</f>
        <v>nend</v>
      </c>
      <c r="B15" s="714"/>
      <c r="C15" s="715"/>
    </row>
    <row r="16" spans="1:6" ht="24.95" customHeight="1">
      <c r="A16" s="716" t="str">
        <f>設定メニュー!E14</f>
        <v>売上先予備1</v>
      </c>
      <c r="B16" s="714"/>
      <c r="C16" s="715"/>
    </row>
    <row r="17" spans="1:3" ht="24.95" customHeight="1">
      <c r="A17" s="713" t="str">
        <f>設定メニュー!B8</f>
        <v>前払費用</v>
      </c>
      <c r="B17" s="714"/>
      <c r="C17" s="715"/>
    </row>
    <row r="18" spans="1:3" ht="24.95" customHeight="1">
      <c r="A18" s="713" t="str">
        <f>設定メニュー!B9</f>
        <v>長期前払費用</v>
      </c>
      <c r="B18" s="714"/>
      <c r="C18" s="715"/>
    </row>
    <row r="19" spans="1:3" ht="24.95" customHeight="1">
      <c r="A19" s="713" t="str">
        <f>設定メニュー!B10</f>
        <v>工具器具備品</v>
      </c>
      <c r="B19" s="714"/>
      <c r="C19" s="715"/>
    </row>
    <row r="20" spans="1:3" ht="24.95" customHeight="1">
      <c r="A20" s="713" t="str">
        <f>設定メニュー!B11</f>
        <v>事業主貸</v>
      </c>
      <c r="B20" s="717"/>
      <c r="C20" s="715"/>
    </row>
    <row r="21" spans="1:3" ht="24.95" customHeight="1">
      <c r="A21" s="713"/>
      <c r="B21" s="714"/>
      <c r="C21" s="715"/>
    </row>
    <row r="22" spans="1:3" ht="24.95" customHeight="1">
      <c r="A22" s="718"/>
      <c r="B22" s="719"/>
      <c r="C22" s="720"/>
    </row>
    <row r="23" spans="1:3" ht="24.95" customHeight="1">
      <c r="A23" s="710" t="str">
        <f>設定メニュー!B12</f>
        <v>事業主借</v>
      </c>
      <c r="B23" s="711"/>
      <c r="C23" s="721"/>
    </row>
    <row r="24" spans="1:3" ht="24.95" customHeight="1">
      <c r="A24" s="713" t="str">
        <f>設定メニュー!B13</f>
        <v>未払金</v>
      </c>
      <c r="B24" s="714"/>
      <c r="C24" s="715"/>
    </row>
    <row r="25" spans="1:3" ht="24.95" customHeight="1">
      <c r="A25" s="713"/>
      <c r="B25" s="714"/>
      <c r="C25" s="715"/>
    </row>
    <row r="26" spans="1:3" ht="24.95" customHeight="1">
      <c r="A26" s="713"/>
      <c r="B26" s="714"/>
      <c r="C26" s="715"/>
    </row>
    <row r="27" spans="1:3" ht="24.95" customHeight="1">
      <c r="A27" s="713"/>
      <c r="B27" s="714"/>
      <c r="C27" s="715"/>
    </row>
    <row r="28" spans="1:3" ht="24.95" customHeight="1" thickBot="1">
      <c r="A28" s="722" t="s">
        <v>397</v>
      </c>
      <c r="B28" s="723"/>
      <c r="C28" s="724"/>
    </row>
    <row r="29" spans="1:3" ht="24.95" customHeight="1" thickBot="1">
      <c r="A29" s="725" t="s">
        <v>66</v>
      </c>
      <c r="B29" s="826">
        <f>SUM(B4:B6,B17:B28)</f>
        <v>0</v>
      </c>
      <c r="C29" s="827">
        <f>SUM(C4:C28)</f>
        <v>0</v>
      </c>
    </row>
    <row r="30" spans="1:3" ht="19.5" thickTop="1"/>
  </sheetData>
  <mergeCells count="1">
    <mergeCell ref="A1:C1"/>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K30"/>
  <sheetViews>
    <sheetView zoomScaleNormal="100" workbookViewId="0">
      <selection activeCell="B4" sqref="B4"/>
    </sheetView>
  </sheetViews>
  <sheetFormatPr defaultColWidth="8.875" defaultRowHeight="18.75"/>
  <cols>
    <col min="1" max="1" width="30.625" style="2" customWidth="1"/>
    <col min="2" max="2" width="25.625" style="726" customWidth="1"/>
    <col min="3" max="3" width="25.625" style="733" customWidth="1"/>
    <col min="4" max="4" width="8.875" style="2" customWidth="1"/>
    <col min="5" max="5" width="15.625" style="2" customWidth="1"/>
    <col min="6" max="6" width="5.625" style="2" customWidth="1"/>
    <col min="7" max="7" width="18.625" style="2" customWidth="1"/>
    <col min="8" max="8" width="5.625" style="2" customWidth="1"/>
    <col min="9" max="9" width="15.625" style="2" customWidth="1"/>
    <col min="10" max="10" width="5.625" style="2" customWidth="1"/>
    <col min="11" max="11" width="15.625" style="2" customWidth="1"/>
    <col min="12" max="16384" width="8.875" style="2"/>
  </cols>
  <sheetData>
    <row r="1" spans="1:11" ht="33" customHeight="1">
      <c r="A1" s="881" t="str">
        <f>CONCATENATE(YEAR(設定メニュー!$B$2),"年度　繰越試算表")</f>
        <v>2017年度　繰越試算表</v>
      </c>
      <c r="B1" s="881"/>
      <c r="C1" s="881"/>
    </row>
    <row r="2" spans="1:11" ht="20.100000000000001" customHeight="1" thickBot="1">
      <c r="C2" s="727" t="str">
        <f>CONCATENATE(YEAR(設定メニュー!B2),"年",MONTH(設定メニュー!B2),"月",DAY(設定メニュー!B2),"日～12月31日")</f>
        <v>2017年1月1日～12月31日</v>
      </c>
    </row>
    <row r="3" spans="1:11" ht="30" customHeight="1" thickTop="1" thickBot="1">
      <c r="A3" s="707" t="s">
        <v>424</v>
      </c>
      <c r="B3" s="708" t="s">
        <v>4</v>
      </c>
      <c r="C3" s="709" t="s">
        <v>3</v>
      </c>
      <c r="E3" s="728" t="s">
        <v>425</v>
      </c>
    </row>
    <row r="4" spans="1:11" ht="24.95" customHeight="1" thickBot="1">
      <c r="A4" s="710" t="str">
        <f>設定メニュー!B5</f>
        <v>現金</v>
      </c>
      <c r="B4" s="711" t="str">
        <f>IFERROR(VLOOKUP(A4,[1]G1精算表!$A$5:$I$33,8,0),"")</f>
        <v/>
      </c>
      <c r="C4" s="712"/>
    </row>
    <row r="5" spans="1:11" ht="24.95" customHeight="1" thickTop="1">
      <c r="A5" s="713" t="str">
        <f>設定メニュー!B6</f>
        <v>普通預金</v>
      </c>
      <c r="B5" s="711" t="str">
        <f ca="1">IFERROR(VLOOKUP(A5,精算表!$A$5:$I$33,8,0),"")</f>
        <v/>
      </c>
      <c r="C5" s="715"/>
      <c r="E5" s="588" t="s">
        <v>401</v>
      </c>
      <c r="F5" s="587"/>
      <c r="G5" s="588" t="s">
        <v>402</v>
      </c>
      <c r="H5" s="587"/>
      <c r="I5" s="588" t="s">
        <v>401</v>
      </c>
      <c r="J5" s="587"/>
      <c r="K5" s="588" t="s">
        <v>401</v>
      </c>
    </row>
    <row r="6" spans="1:11" ht="24.95" customHeight="1" thickBot="1">
      <c r="A6" s="713" t="str">
        <f>設定メニュー!B7</f>
        <v>売掛金</v>
      </c>
      <c r="B6" s="711" t="str">
        <f ca="1">IFERROR(VLOOKUP(A6,精算表!$A$5:$I$33,8,0),"")</f>
        <v/>
      </c>
      <c r="C6" s="715"/>
      <c r="E6" s="589" t="s">
        <v>397</v>
      </c>
      <c r="F6" s="602" t="s">
        <v>426</v>
      </c>
      <c r="G6" s="589" t="s">
        <v>399</v>
      </c>
      <c r="H6" s="602" t="s">
        <v>426</v>
      </c>
      <c r="I6" s="589" t="s">
        <v>299</v>
      </c>
      <c r="J6" s="602" t="s">
        <v>427</v>
      </c>
      <c r="K6" s="590" t="s">
        <v>400</v>
      </c>
    </row>
    <row r="7" spans="1:11" ht="24.95" customHeight="1" thickBot="1">
      <c r="A7" s="716" t="str">
        <f>設定メニュー!E5</f>
        <v>Googleアドセンス</v>
      </c>
      <c r="B7" s="714" t="str">
        <f ca="1">IFERROR(VLOOKUP(A7,合計残高試算表!$A$5:$G$42,6,0),"")</f>
        <v/>
      </c>
      <c r="C7" s="715"/>
      <c r="E7" s="591" t="str">
        <f ca="1">精算表!I32</f>
        <v/>
      </c>
      <c r="F7" s="593"/>
      <c r="G7" s="591">
        <f ca="1">精算表!I33</f>
        <v>0</v>
      </c>
      <c r="H7" s="593"/>
      <c r="I7" s="591" t="str">
        <f ca="1">IFERROR(VLOOKUP(I6,精算表!$A$5:$I$33,9,0),"")</f>
        <v/>
      </c>
      <c r="J7" s="593"/>
      <c r="K7" s="591" t="str">
        <f ca="1">IFERROR(VLOOKUP(K6,精算表!$A$5:$I$33,8,0),"")</f>
        <v/>
      </c>
    </row>
    <row r="8" spans="1:11" ht="24.95" customHeight="1" thickTop="1" thickBot="1">
      <c r="A8" s="716" t="str">
        <f>設定メニュー!E6</f>
        <v>Amazonアソシエイト</v>
      </c>
      <c r="B8" s="714" t="str">
        <f ca="1">IFERROR(VLOOKUP(A8,合計残高試算表!$A$5:$G$42,6,0),"")</f>
        <v/>
      </c>
      <c r="C8" s="715"/>
      <c r="E8" s="594"/>
      <c r="F8" s="594"/>
      <c r="G8" s="595"/>
      <c r="H8" s="595"/>
      <c r="I8" s="594"/>
      <c r="J8" s="594"/>
      <c r="K8" s="594"/>
    </row>
    <row r="9" spans="1:11" ht="24.95" customHeight="1" thickTop="1">
      <c r="A9" s="716" t="str">
        <f>設定メニュー!E7</f>
        <v>A8.net</v>
      </c>
      <c r="B9" s="714" t="str">
        <f ca="1">IFERROR(VLOOKUP(A9,合計残高試算表!$A$5:$G$42,6,0),"")</f>
        <v/>
      </c>
      <c r="C9" s="715"/>
      <c r="E9" s="596"/>
      <c r="F9" s="597"/>
      <c r="G9" s="596"/>
      <c r="H9" s="598"/>
      <c r="I9" s="596"/>
      <c r="J9" s="597"/>
      <c r="K9" s="599" t="s">
        <v>403</v>
      </c>
    </row>
    <row r="10" spans="1:11" ht="24.95" customHeight="1" thickBot="1">
      <c r="A10" s="716" t="str">
        <f>設定メニュー!E8</f>
        <v>アクセストレード</v>
      </c>
      <c r="B10" s="714" t="str">
        <f ca="1">IFERROR(VLOOKUP(A10,合計残高試算表!$A$5:$G$42,6,0),"")</f>
        <v/>
      </c>
      <c r="C10" s="715"/>
      <c r="E10" s="592"/>
      <c r="F10" s="592"/>
      <c r="G10" s="592"/>
      <c r="H10" s="592"/>
      <c r="I10" s="592"/>
      <c r="J10" s="601" t="s">
        <v>398</v>
      </c>
      <c r="K10" s="600" t="s">
        <v>397</v>
      </c>
    </row>
    <row r="11" spans="1:11" ht="24.95" customHeight="1" thickBot="1">
      <c r="A11" s="716" t="str">
        <f>設定メニュー!E9</f>
        <v>もしも</v>
      </c>
      <c r="B11" s="714" t="str">
        <f ca="1">IFERROR(VLOOKUP(A11,合計残高試算表!$A$5:$G$42,6,0),"")</f>
        <v/>
      </c>
      <c r="C11" s="715"/>
      <c r="E11" s="592"/>
      <c r="F11" s="592"/>
      <c r="G11" s="592"/>
      <c r="H11" s="592"/>
      <c r="I11" s="592"/>
      <c r="J11" s="594"/>
      <c r="K11" s="591" t="str">
        <f ca="1">IFERROR(E7+G7+I7-K7,"")</f>
        <v/>
      </c>
    </row>
    <row r="12" spans="1:11" ht="24.95" customHeight="1" thickTop="1">
      <c r="A12" s="716" t="str">
        <f>設定メニュー!E10</f>
        <v>楽天</v>
      </c>
      <c r="B12" s="714" t="str">
        <f ca="1">IFERROR(VLOOKUP(A12,合計残高試算表!$A$5:$G$42,6,0),"")</f>
        <v/>
      </c>
      <c r="C12" s="715"/>
    </row>
    <row r="13" spans="1:11" ht="24.95" customHeight="1">
      <c r="A13" s="716" t="str">
        <f>設定メニュー!E11</f>
        <v>バリューコマース</v>
      </c>
      <c r="B13" s="714" t="str">
        <f ca="1">IFERROR(VLOOKUP(A13,合計残高試算表!$A$5:$G$42,6,0),"")</f>
        <v/>
      </c>
      <c r="C13" s="715"/>
    </row>
    <row r="14" spans="1:11" ht="24.95" customHeight="1">
      <c r="A14" s="716" t="str">
        <f>設定メニュー!E12</f>
        <v>Moba8.net</v>
      </c>
      <c r="B14" s="714" t="str">
        <f ca="1">IFERROR(VLOOKUP(A14,合計残高試算表!$A$5:$G$42,6,0),"")</f>
        <v/>
      </c>
      <c r="C14" s="715"/>
    </row>
    <row r="15" spans="1:11" ht="24.95" customHeight="1">
      <c r="A15" s="716" t="str">
        <f>設定メニュー!E13</f>
        <v>nend</v>
      </c>
      <c r="B15" s="714" t="str">
        <f ca="1">IFERROR(VLOOKUP(A15,合計残高試算表!$A$5:$G$42,6,0),"")</f>
        <v/>
      </c>
      <c r="C15" s="715"/>
    </row>
    <row r="16" spans="1:11" ht="24.95" customHeight="1">
      <c r="A16" s="716" t="str">
        <f>設定メニュー!E14</f>
        <v>売上先予備1</v>
      </c>
      <c r="B16" s="714" t="str">
        <f ca="1">IFERROR(VLOOKUP(A16,合計残高試算表!$A$5:$G$42,6,0),"")</f>
        <v/>
      </c>
      <c r="C16" s="715"/>
    </row>
    <row r="17" spans="1:11" ht="24.95" customHeight="1">
      <c r="A17" s="713" t="str">
        <f>設定メニュー!B8</f>
        <v>前払費用</v>
      </c>
      <c r="B17" s="714" t="str">
        <f ca="1">IFERROR(VLOOKUP(A17,精算表!$A$5:$I$33,8,0),"")</f>
        <v/>
      </c>
      <c r="C17" s="715"/>
    </row>
    <row r="18" spans="1:11" ht="24.95" customHeight="1">
      <c r="A18" s="713" t="str">
        <f>設定メニュー!B9</f>
        <v>長期前払費用</v>
      </c>
      <c r="B18" s="714" t="str">
        <f ca="1">IFERROR(VLOOKUP(A18,精算表!$A$5:$I$33,8,0),"")</f>
        <v/>
      </c>
      <c r="C18" s="715"/>
    </row>
    <row r="19" spans="1:11" ht="24.95" customHeight="1">
      <c r="A19" s="713" t="str">
        <f>設定メニュー!B10</f>
        <v>工具器具備品</v>
      </c>
      <c r="B19" s="714" t="str">
        <f ca="1">IFERROR(VLOOKUP(A19,精算表!$A$5:$I$33,8,0),"")</f>
        <v/>
      </c>
      <c r="C19" s="715"/>
    </row>
    <row r="20" spans="1:11" ht="24.95" customHeight="1">
      <c r="A20" s="713" t="str">
        <f>設定メニュー!B11</f>
        <v>事業主貸</v>
      </c>
      <c r="B20" s="717"/>
      <c r="C20" s="715"/>
    </row>
    <row r="21" spans="1:11" ht="24.95" customHeight="1">
      <c r="A21" s="713"/>
      <c r="B21" s="714" t="str">
        <f>IFERROR(VLOOKUP(A21,精算表!$A$5:$I$33,8,0),"")</f>
        <v/>
      </c>
      <c r="C21" s="715"/>
    </row>
    <row r="22" spans="1:11" ht="24.95" customHeight="1">
      <c r="A22" s="722"/>
      <c r="B22" s="723" t="str">
        <f>IFERROR(VLOOKUP(A22,精算表!$A$5:$I$33,8,0),"")</f>
        <v/>
      </c>
      <c r="C22" s="724"/>
      <c r="K22" s="586"/>
    </row>
    <row r="23" spans="1:11" ht="24.95" customHeight="1">
      <c r="A23" s="729" t="str">
        <f>設定メニュー!B12</f>
        <v>事業主借</v>
      </c>
      <c r="B23" s="730"/>
      <c r="C23" s="731"/>
    </row>
    <row r="24" spans="1:11" ht="24.95" customHeight="1">
      <c r="A24" s="713" t="str">
        <f>設定メニュー!B13</f>
        <v>未払金</v>
      </c>
      <c r="B24" s="714"/>
      <c r="C24" s="715" t="str">
        <f ca="1">IFERROR(VLOOKUP(A24,精算表!$A$5:$I$33,9,0),"")</f>
        <v/>
      </c>
    </row>
    <row r="25" spans="1:11" ht="24.95" customHeight="1">
      <c r="A25" s="713"/>
      <c r="B25" s="714"/>
      <c r="C25" s="715" t="str">
        <f>IFERROR(VLOOKUP(A25,精算表!$A$5:$I$33,9,0),"")</f>
        <v/>
      </c>
    </row>
    <row r="26" spans="1:11" ht="24.95" customHeight="1">
      <c r="A26" s="713"/>
      <c r="B26" s="714"/>
      <c r="C26" s="715" t="str">
        <f>IFERROR(VLOOKUP(A26,精算表!$A$5:$I$33,9,0),"")</f>
        <v/>
      </c>
    </row>
    <row r="27" spans="1:11" ht="24.95" customHeight="1">
      <c r="A27" s="713"/>
      <c r="B27" s="714"/>
      <c r="C27" s="715" t="str">
        <f>IFERROR(VLOOKUP(A27,精算表!$A$5:$I$33,9,0),"")</f>
        <v/>
      </c>
    </row>
    <row r="28" spans="1:11" ht="24.95" customHeight="1" thickBot="1">
      <c r="A28" s="722" t="s">
        <v>252</v>
      </c>
      <c r="B28" s="723"/>
      <c r="C28" s="724" t="str">
        <f ca="1">K11</f>
        <v/>
      </c>
    </row>
    <row r="29" spans="1:11" ht="24.95" customHeight="1" thickBot="1">
      <c r="A29" s="725" t="s">
        <v>66</v>
      </c>
      <c r="B29" s="826">
        <f ca="1">SUM(B4:B6,B17:B28)</f>
        <v>0</v>
      </c>
      <c r="C29" s="827">
        <f ca="1">SUM(C4:C28)</f>
        <v>0</v>
      </c>
      <c r="E29" s="732" t="str">
        <f ca="1">IF(B29-C29=0,"","合計金額が合っていません！")</f>
        <v/>
      </c>
    </row>
    <row r="30" spans="1:11" ht="19.5" thickTop="1"/>
  </sheetData>
  <mergeCells count="1">
    <mergeCell ref="A1:C1"/>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9966"/>
  </sheetPr>
  <dimension ref="A1:Y17"/>
  <sheetViews>
    <sheetView workbookViewId="0">
      <pane xSplit="2" ySplit="4" topLeftCell="C5" activePane="bottomRight" state="frozen"/>
      <selection activeCell="O13" sqref="O13"/>
      <selection pane="topRight" activeCell="O13" sqref="O13"/>
      <selection pane="bottomLeft" activeCell="O13" sqref="O13"/>
      <selection pane="bottomRight" activeCell="A5" sqref="A5"/>
    </sheetView>
  </sheetViews>
  <sheetFormatPr defaultColWidth="9" defaultRowHeight="13.5"/>
  <cols>
    <col min="1" max="1" width="6.625" style="470" customWidth="1"/>
    <col min="2" max="2" width="20.625" style="415" customWidth="1"/>
    <col min="3" max="4" width="10.625" style="415" customWidth="1"/>
    <col min="5" max="5" width="5.625" style="415" customWidth="1"/>
    <col min="6" max="7" width="3.625" style="415" customWidth="1"/>
    <col min="8" max="10" width="10.625" style="415" customWidth="1"/>
    <col min="11" max="12" width="5.625" style="415" customWidth="1"/>
    <col min="13" max="13" width="10.625" style="415" customWidth="1"/>
    <col min="14" max="16" width="8.625" style="471" customWidth="1"/>
    <col min="17" max="17" width="10.625" style="415" customWidth="1"/>
    <col min="18" max="18" width="5.625" style="415" customWidth="1"/>
    <col min="19" max="21" width="10.625" style="415" customWidth="1"/>
    <col min="22" max="22" width="5.625" style="415" customWidth="1"/>
    <col min="23" max="24" width="10.625" style="415" customWidth="1"/>
    <col min="25" max="25" width="20.625" style="415" customWidth="1"/>
    <col min="26" max="16384" width="9" style="415"/>
  </cols>
  <sheetData>
    <row r="1" spans="1:25" s="258" customFormat="1" ht="39.950000000000003" customHeight="1">
      <c r="A1" s="889" t="str">
        <f>CONCATENATE(YEAR(設定メニュー!$B$2),"年度　減価償却資産台帳")</f>
        <v>2017年度　減価償却資産台帳</v>
      </c>
      <c r="B1" s="889"/>
      <c r="C1" s="889"/>
      <c r="D1" s="889"/>
      <c r="E1" s="889"/>
      <c r="F1" s="889"/>
      <c r="G1" s="889"/>
      <c r="H1" s="889"/>
      <c r="I1" s="889"/>
      <c r="J1" s="889"/>
      <c r="K1" s="889"/>
      <c r="L1" s="889"/>
      <c r="M1" s="889"/>
      <c r="N1" s="889"/>
      <c r="O1" s="889"/>
      <c r="P1" s="889"/>
      <c r="Q1" s="889"/>
      <c r="R1" s="889"/>
      <c r="S1" s="889"/>
      <c r="T1" s="889"/>
      <c r="U1" s="889"/>
      <c r="V1" s="889"/>
      <c r="W1" s="889"/>
      <c r="X1" s="889"/>
      <c r="Y1" s="889"/>
    </row>
    <row r="2" spans="1:25" s="258" customFormat="1" ht="12.95" customHeight="1" thickBot="1">
      <c r="N2" s="406"/>
      <c r="O2" s="406"/>
      <c r="P2" s="406"/>
      <c r="Y2" s="259" t="str">
        <f>CONCATENATE(YEAR(設定メニュー!B2),"年",MONTH(設定メニュー!B2),"月",DAY(設定メニュー!B2),"日～12月31日")</f>
        <v>2017年1月1日～12月31日</v>
      </c>
    </row>
    <row r="3" spans="1:25" ht="69.95" customHeight="1" thickTop="1">
      <c r="A3" s="407" t="s">
        <v>318</v>
      </c>
      <c r="B3" s="408" t="s">
        <v>319</v>
      </c>
      <c r="C3" s="409" t="s">
        <v>320</v>
      </c>
      <c r="D3" s="409" t="s">
        <v>321</v>
      </c>
      <c r="E3" s="408" t="s">
        <v>322</v>
      </c>
      <c r="F3" s="897" t="s">
        <v>323</v>
      </c>
      <c r="G3" s="898"/>
      <c r="H3" s="410" t="s">
        <v>324</v>
      </c>
      <c r="I3" s="408" t="s">
        <v>325</v>
      </c>
      <c r="J3" s="408" t="s">
        <v>326</v>
      </c>
      <c r="K3" s="408" t="s">
        <v>327</v>
      </c>
      <c r="L3" s="408" t="s">
        <v>328</v>
      </c>
      <c r="M3" s="410" t="s">
        <v>329</v>
      </c>
      <c r="N3" s="411" t="s">
        <v>330</v>
      </c>
      <c r="O3" s="411" t="s">
        <v>331</v>
      </c>
      <c r="P3" s="411" t="s">
        <v>332</v>
      </c>
      <c r="Q3" s="411" t="s">
        <v>333</v>
      </c>
      <c r="R3" s="412" t="s">
        <v>334</v>
      </c>
      <c r="S3" s="410" t="s">
        <v>335</v>
      </c>
      <c r="T3" s="410" t="s">
        <v>336</v>
      </c>
      <c r="U3" s="410" t="s">
        <v>337</v>
      </c>
      <c r="V3" s="413" t="s">
        <v>338</v>
      </c>
      <c r="W3" s="410" t="s">
        <v>339</v>
      </c>
      <c r="X3" s="410" t="s">
        <v>340</v>
      </c>
      <c r="Y3" s="414" t="s">
        <v>341</v>
      </c>
    </row>
    <row r="4" spans="1:25" s="168" customFormat="1" ht="13.5" customHeight="1" thickBot="1">
      <c r="A4" s="416"/>
      <c r="B4" s="417"/>
      <c r="C4" s="418" t="s">
        <v>342</v>
      </c>
      <c r="D4" s="418" t="s">
        <v>342</v>
      </c>
      <c r="E4" s="419"/>
      <c r="F4" s="420" t="s">
        <v>343</v>
      </c>
      <c r="G4" s="421" t="s">
        <v>344</v>
      </c>
      <c r="H4" s="422" t="s">
        <v>342</v>
      </c>
      <c r="I4" s="419" t="s">
        <v>342</v>
      </c>
      <c r="J4" s="419"/>
      <c r="K4" s="419" t="s">
        <v>343</v>
      </c>
      <c r="L4" s="419" t="s">
        <v>343</v>
      </c>
      <c r="M4" s="422" t="s">
        <v>342</v>
      </c>
      <c r="N4" s="423"/>
      <c r="O4" s="423"/>
      <c r="P4" s="423"/>
      <c r="Q4" s="423" t="s">
        <v>342</v>
      </c>
      <c r="R4" s="424" t="s">
        <v>345</v>
      </c>
      <c r="S4" s="422" t="s">
        <v>342</v>
      </c>
      <c r="T4" s="422" t="s">
        <v>342</v>
      </c>
      <c r="U4" s="422" t="s">
        <v>342</v>
      </c>
      <c r="V4" s="425" t="s">
        <v>346</v>
      </c>
      <c r="W4" s="422" t="s">
        <v>342</v>
      </c>
      <c r="X4" s="422" t="s">
        <v>342</v>
      </c>
      <c r="Y4" s="426"/>
    </row>
    <row r="5" spans="1:25" ht="50.1" customHeight="1">
      <c r="A5" s="427"/>
      <c r="B5" s="428"/>
      <c r="C5" s="429"/>
      <c r="D5" s="430" t="str">
        <f>IF(C5="","",H5-C5)</f>
        <v/>
      </c>
      <c r="E5" s="431"/>
      <c r="F5" s="431"/>
      <c r="G5" s="431"/>
      <c r="H5" s="432"/>
      <c r="I5" s="433" t="str">
        <f>IFERROR(IF(J5="200%定率法",IF((M5*N5*R5/12)&lt;Q5,C5,""),""),"")</f>
        <v/>
      </c>
      <c r="J5" s="431"/>
      <c r="K5" s="431"/>
      <c r="L5" s="431"/>
      <c r="M5" s="434" t="str">
        <f>IF(H5="","",IF(J5="200%定率法",IF(D5="",H5,H5-D5),H5))</f>
        <v/>
      </c>
      <c r="N5" s="435" t="str">
        <f>IF(J5="定額法",VLOOKUP(K5,減価償却率表!$A$6:$D$24,2,0),IF(J5="200%定率法",VLOOKUP(K5,減価償却率表!$A$6:$G$24,5,0),IF(J5="3年均等",0.334,"")))</f>
        <v/>
      </c>
      <c r="O5" s="435" t="str">
        <f>IF(J5="定額法",VLOOKUP(K5,減価償却率表!$A$6:$D$24,3,0),IF(J5="200%定率法",VLOOKUP(K5,減価償却率表!$A$6:$G$24,6,0),IF(J5="3年均等","-","")))</f>
        <v/>
      </c>
      <c r="P5" s="436" t="str">
        <f>IF(J5="定額法",VLOOKUP(K5,減価償却率表!$A$6:$D$24,4,0),IF(J5="200%定率法",VLOOKUP(K5,減価償却率表!$A$6:$G$24,7,0),IF(J5="3年均等","―","")))</f>
        <v/>
      </c>
      <c r="Q5" s="434" t="str">
        <f>IF(J5="200%定率法",H5*P5,"―")</f>
        <v>―</v>
      </c>
      <c r="R5" s="431"/>
      <c r="S5" s="433" t="str">
        <f>IFERROR(IF(J5="200%定率法",IF((M5*N5*R5/12)&lt;Q5,IF(C5="","",C5-1),M5*N5*R5/12),IF(J5="定額法",IF(C5="",M5*N5*R5/12,IF((M5*N5*R5/12)&gt;C5,C5-1,M5*N5*R5/12)),M5*N5*R5/12)),"")</f>
        <v/>
      </c>
      <c r="T5" s="434"/>
      <c r="U5" s="433" t="str">
        <f>IFERROR(S5+T5,"")</f>
        <v/>
      </c>
      <c r="V5" s="431"/>
      <c r="W5" s="437" t="str">
        <f>IFERROR(U5*V5/100,"")</f>
        <v/>
      </c>
      <c r="X5" s="438" t="str">
        <f>IFERROR(IF(J5="200%定率法",M5-U5,IF(C5="",M5-U5,C5-U5)),"")</f>
        <v/>
      </c>
      <c r="Y5" s="439"/>
    </row>
    <row r="6" spans="1:25" ht="50.1" customHeight="1">
      <c r="A6" s="440"/>
      <c r="B6" s="428"/>
      <c r="C6" s="441"/>
      <c r="D6" s="430" t="str">
        <f t="shared" ref="D6:D15" si="0">IF(C6="","",H6-C6)</f>
        <v/>
      </c>
      <c r="E6" s="442"/>
      <c r="F6" s="442"/>
      <c r="G6" s="442"/>
      <c r="H6" s="443"/>
      <c r="I6" s="433" t="str">
        <f t="shared" ref="I6:I15" si="1">IFERROR(IF(J6="200%定率法",IF((M6*N6*R6/12)&lt;Q6,C6,""),""),"")</f>
        <v/>
      </c>
      <c r="J6" s="431"/>
      <c r="K6" s="442"/>
      <c r="L6" s="442"/>
      <c r="M6" s="434" t="str">
        <f t="shared" ref="M6:M15" si="2">IF(H6="","",IF(J6="200%定率法",IF(D6="",H6,H6-D6),H6))</f>
        <v/>
      </c>
      <c r="N6" s="435" t="str">
        <f>IF(J6="定額法",VLOOKUP(K6,減価償却率表!$A$6:$D$24,2,0),IF(J6="200%定率法",VLOOKUP(K6,減価償却率表!$A$6:$G$24,5,0),IF(J6="3年均等",0.334,"")))</f>
        <v/>
      </c>
      <c r="O6" s="435" t="str">
        <f>IF(J6="定額法",VLOOKUP(K6,減価償却率表!$A$6:$D$24,3,0),IF(J6="200%定率法",VLOOKUP(K6,減価償却率表!$A$6:$G$24,6,0),IF(J6="3年均等","―","")))</f>
        <v/>
      </c>
      <c r="P6" s="436" t="str">
        <f>IF(J6="定額法",VLOOKUP(K6,減価償却率表!$A$6:$D$24,4,0),IF(J6="200%定率法",VLOOKUP(K6,減価償却率表!$A$6:$G$24,7,0),IF(J6="3年均等","―","")))</f>
        <v/>
      </c>
      <c r="Q6" s="434" t="str">
        <f t="shared" ref="Q6:Q15" si="3">IF(J6="200%定率法",H6*P6,"―")</f>
        <v>―</v>
      </c>
      <c r="R6" s="442"/>
      <c r="S6" s="433" t="str">
        <f>IFERROR(IF(J6="200%定率法",IF((M6*N6*R6/12)&lt;Q6,IF(C6="","",C6-1),M6*N6*R6/12),IF(J6="定額法",IF(C6="",M6*N6*R6/12,IF((M6*N6*R6/12)&gt;=C6,C6-1,M6*N6*R6/12)),M6*N6*R6/12)),"")</f>
        <v/>
      </c>
      <c r="T6" s="444"/>
      <c r="U6" s="433" t="str">
        <f t="shared" ref="U6:U15" si="4">IFERROR(S6+T6,"")</f>
        <v/>
      </c>
      <c r="V6" s="442"/>
      <c r="W6" s="437" t="str">
        <f t="shared" ref="W6:W15" si="5">IFERROR(U6*V6/100,"")</f>
        <v/>
      </c>
      <c r="X6" s="438" t="str">
        <f t="shared" ref="X6:X15" si="6">IFERROR(IF(J6="200%定率法",M6-U6,IF(C6="",M6-U6,C6-U6)),"")</f>
        <v/>
      </c>
      <c r="Y6" s="445"/>
    </row>
    <row r="7" spans="1:25" ht="50.1" customHeight="1">
      <c r="A7" s="440"/>
      <c r="B7" s="428"/>
      <c r="C7" s="441"/>
      <c r="D7" s="430" t="str">
        <f t="shared" si="0"/>
        <v/>
      </c>
      <c r="E7" s="442"/>
      <c r="F7" s="442"/>
      <c r="G7" s="442"/>
      <c r="H7" s="443"/>
      <c r="I7" s="433" t="str">
        <f t="shared" si="1"/>
        <v/>
      </c>
      <c r="J7" s="431"/>
      <c r="K7" s="442"/>
      <c r="L7" s="442"/>
      <c r="M7" s="434" t="str">
        <f t="shared" si="2"/>
        <v/>
      </c>
      <c r="N7" s="435" t="str">
        <f>IF(J7="定額法",VLOOKUP(K7,減価償却率表!$A$6:$D$24,2,0),IF(J7="200%定率法",VLOOKUP(K7,減価償却率表!$A$6:$G$24,5,0),IF(J7="3年均等",0.334,"")))</f>
        <v/>
      </c>
      <c r="O7" s="435" t="str">
        <f>IF(J7="定額法",VLOOKUP(K7,減価償却率表!$A$6:$D$24,3,0),IF(J7="200%定率法",VLOOKUP(K7,減価償却率表!$A$6:$G$24,6,0),IF(J7="3年均等","―","")))</f>
        <v/>
      </c>
      <c r="P7" s="436" t="str">
        <f>IF(J7="定額法",VLOOKUP(K7,減価償却率表!$A$6:$D$24,4,0),IF(J7="200%定率法",VLOOKUP(K7,減価償却率表!$A$6:$G$24,7,0),IF(J7="3年均等","―","")))</f>
        <v/>
      </c>
      <c r="Q7" s="434" t="str">
        <f t="shared" si="3"/>
        <v>―</v>
      </c>
      <c r="R7" s="442"/>
      <c r="S7" s="433" t="str">
        <f t="shared" ref="S7:S15" si="7">IFERROR(IF(J7="200%定率法",IF((M7*N7*R7/12)&lt;Q7,IF(C7="","",C7-1),M7*N7*R7/12),IF(J7="定額法",IF(C7="",M7*N7*R7/12,IF((M7*N7*R7/12)&gt;=C7,C7-1,M7*N7*R7/12)),M7*N7*R7/12)),"")</f>
        <v/>
      </c>
      <c r="T7" s="444"/>
      <c r="U7" s="433" t="str">
        <f t="shared" si="4"/>
        <v/>
      </c>
      <c r="V7" s="442"/>
      <c r="W7" s="437" t="str">
        <f t="shared" si="5"/>
        <v/>
      </c>
      <c r="X7" s="438" t="str">
        <f t="shared" si="6"/>
        <v/>
      </c>
      <c r="Y7" s="445"/>
    </row>
    <row r="8" spans="1:25" ht="50.1" customHeight="1">
      <c r="A8" s="440"/>
      <c r="B8" s="428"/>
      <c r="C8" s="441"/>
      <c r="D8" s="430" t="str">
        <f t="shared" si="0"/>
        <v/>
      </c>
      <c r="E8" s="442"/>
      <c r="F8" s="442"/>
      <c r="G8" s="442"/>
      <c r="H8" s="443"/>
      <c r="I8" s="433" t="str">
        <f t="shared" si="1"/>
        <v/>
      </c>
      <c r="J8" s="431"/>
      <c r="K8" s="442"/>
      <c r="L8" s="442"/>
      <c r="M8" s="434" t="str">
        <f t="shared" si="2"/>
        <v/>
      </c>
      <c r="N8" s="435" t="str">
        <f>IF(J8="定額法",VLOOKUP(K8,減価償却率表!$A$6:$D$24,2,0),IF(J8="200%定率法",VLOOKUP(K8,減価償却率表!$A$6:$G$24,5,0),IF(J8="3年均等",0.334,"")))</f>
        <v/>
      </c>
      <c r="O8" s="435" t="str">
        <f>IF(J8="定額法",VLOOKUP(K8,減価償却率表!$A$6:$D$24,3,0),IF(J8="200%定率法",VLOOKUP(K8,減価償却率表!$A$6:$G$24,6,0),IF(J8="3年均等","―","")))</f>
        <v/>
      </c>
      <c r="P8" s="436" t="str">
        <f>IF(J8="定額法",VLOOKUP(K8,減価償却率表!$A$6:$D$24,4,0),IF(J8="200%定率法",VLOOKUP(K8,減価償却率表!$A$6:$G$24,7,0),IF(J8="3年均等","―","")))</f>
        <v/>
      </c>
      <c r="Q8" s="434" t="str">
        <f t="shared" si="3"/>
        <v>―</v>
      </c>
      <c r="R8" s="442"/>
      <c r="S8" s="433" t="str">
        <f t="shared" si="7"/>
        <v/>
      </c>
      <c r="T8" s="444"/>
      <c r="U8" s="433" t="str">
        <f t="shared" si="4"/>
        <v/>
      </c>
      <c r="V8" s="442"/>
      <c r="W8" s="437" t="str">
        <f t="shared" si="5"/>
        <v/>
      </c>
      <c r="X8" s="438" t="str">
        <f t="shared" si="6"/>
        <v/>
      </c>
      <c r="Y8" s="445"/>
    </row>
    <row r="9" spans="1:25" ht="50.1" customHeight="1">
      <c r="A9" s="440"/>
      <c r="B9" s="428"/>
      <c r="C9" s="441"/>
      <c r="D9" s="430" t="str">
        <f t="shared" si="0"/>
        <v/>
      </c>
      <c r="E9" s="442"/>
      <c r="F9" s="442"/>
      <c r="G9" s="442"/>
      <c r="H9" s="443"/>
      <c r="I9" s="433" t="str">
        <f t="shared" si="1"/>
        <v/>
      </c>
      <c r="J9" s="431"/>
      <c r="K9" s="442"/>
      <c r="L9" s="442"/>
      <c r="M9" s="434" t="str">
        <f t="shared" si="2"/>
        <v/>
      </c>
      <c r="N9" s="435" t="str">
        <f>IF(J9="定額法",VLOOKUP(K9,減価償却率表!$A$6:$D$24,2,0),IF(J9="200%定率法",VLOOKUP(K9,減価償却率表!$A$6:$G$24,5,0),IF(J9="3年均等",0.334,"")))</f>
        <v/>
      </c>
      <c r="O9" s="435" t="str">
        <f>IF(J9="定額法",VLOOKUP(K9,減価償却率表!$A$6:$D$24,3,0),IF(J9="200%定率法",VLOOKUP(K9,減価償却率表!$A$6:$G$24,6,0),IF(J9="3年均等","―","")))</f>
        <v/>
      </c>
      <c r="P9" s="436" t="str">
        <f>IF(J9="定額法",VLOOKUP(K9,減価償却率表!$A$6:$D$24,4,0),IF(J9="200%定率法",VLOOKUP(K9,減価償却率表!$A$6:$G$24,7,0),IF(J9="3年均等","―","")))</f>
        <v/>
      </c>
      <c r="Q9" s="434" t="str">
        <f t="shared" si="3"/>
        <v>―</v>
      </c>
      <c r="R9" s="442"/>
      <c r="S9" s="433" t="str">
        <f t="shared" si="7"/>
        <v/>
      </c>
      <c r="T9" s="444"/>
      <c r="U9" s="433" t="str">
        <f t="shared" si="4"/>
        <v/>
      </c>
      <c r="V9" s="442"/>
      <c r="W9" s="437" t="str">
        <f t="shared" si="5"/>
        <v/>
      </c>
      <c r="X9" s="438" t="str">
        <f t="shared" si="6"/>
        <v/>
      </c>
      <c r="Y9" s="445"/>
    </row>
    <row r="10" spans="1:25" ht="50.1" customHeight="1">
      <c r="A10" s="440"/>
      <c r="B10" s="428"/>
      <c r="C10" s="441"/>
      <c r="D10" s="430" t="str">
        <f t="shared" si="0"/>
        <v/>
      </c>
      <c r="E10" s="442"/>
      <c r="F10" s="442"/>
      <c r="G10" s="442"/>
      <c r="H10" s="443"/>
      <c r="I10" s="433" t="str">
        <f t="shared" si="1"/>
        <v/>
      </c>
      <c r="J10" s="431"/>
      <c r="K10" s="442"/>
      <c r="L10" s="442"/>
      <c r="M10" s="434" t="str">
        <f t="shared" si="2"/>
        <v/>
      </c>
      <c r="N10" s="435" t="str">
        <f>IF(J10="定額法",VLOOKUP(K10,減価償却率表!$A$6:$D$24,2,0),IF(J10="200%定率法",VLOOKUP(K10,減価償却率表!$A$6:$G$24,5,0),IF(J10="3年均等",0.334,"")))</f>
        <v/>
      </c>
      <c r="O10" s="435" t="str">
        <f>IF(J10="定額法",VLOOKUP(K10,減価償却率表!$A$6:$D$24,3,0),IF(J10="200%定率法",VLOOKUP(K10,減価償却率表!$A$6:$G$24,6,0),IF(J10="3年均等","―","")))</f>
        <v/>
      </c>
      <c r="P10" s="436" t="str">
        <f>IF(J10="定額法",VLOOKUP(K10,減価償却率表!$A$6:$D$24,4,0),IF(J10="200%定率法",VLOOKUP(K10,減価償却率表!$A$6:$G$24,7,0),IF(J10="3年均等","―","")))</f>
        <v/>
      </c>
      <c r="Q10" s="434" t="str">
        <f t="shared" si="3"/>
        <v>―</v>
      </c>
      <c r="R10" s="442"/>
      <c r="S10" s="433" t="str">
        <f t="shared" si="7"/>
        <v/>
      </c>
      <c r="T10" s="444"/>
      <c r="U10" s="433" t="str">
        <f t="shared" si="4"/>
        <v/>
      </c>
      <c r="V10" s="442"/>
      <c r="W10" s="437" t="str">
        <f t="shared" si="5"/>
        <v/>
      </c>
      <c r="X10" s="438" t="str">
        <f t="shared" si="6"/>
        <v/>
      </c>
      <c r="Y10" s="445"/>
    </row>
    <row r="11" spans="1:25" ht="50.1" customHeight="1">
      <c r="A11" s="440"/>
      <c r="B11" s="428"/>
      <c r="C11" s="441"/>
      <c r="D11" s="430" t="str">
        <f t="shared" si="0"/>
        <v/>
      </c>
      <c r="E11" s="442"/>
      <c r="F11" s="442"/>
      <c r="G11" s="442"/>
      <c r="H11" s="443"/>
      <c r="I11" s="433" t="str">
        <f t="shared" si="1"/>
        <v/>
      </c>
      <c r="J11" s="431"/>
      <c r="K11" s="442"/>
      <c r="L11" s="442"/>
      <c r="M11" s="434" t="str">
        <f t="shared" si="2"/>
        <v/>
      </c>
      <c r="N11" s="435" t="str">
        <f>IF(J11="定額法",VLOOKUP(K11,減価償却率表!$A$6:$D$24,2,0),IF(J11="200%定率法",VLOOKUP(K11,減価償却率表!$A$6:$G$24,5,0),IF(J11="3年均等",0.334,"")))</f>
        <v/>
      </c>
      <c r="O11" s="435" t="str">
        <f>IF(J11="定額法",VLOOKUP(K11,減価償却率表!$A$6:$D$24,3,0),IF(J11="200%定率法",VLOOKUP(K11,減価償却率表!$A$6:$G$24,6,0),IF(J11="3年均等","―","")))</f>
        <v/>
      </c>
      <c r="P11" s="436" t="str">
        <f>IF(J11="定額法",VLOOKUP(K11,減価償却率表!$A$6:$D$24,4,0),IF(J11="200%定率法",VLOOKUP(K11,減価償却率表!$A$6:$G$24,7,0),IF(J11="3年均等","―","")))</f>
        <v/>
      </c>
      <c r="Q11" s="434" t="str">
        <f t="shared" si="3"/>
        <v>―</v>
      </c>
      <c r="R11" s="442"/>
      <c r="S11" s="433" t="str">
        <f t="shared" si="7"/>
        <v/>
      </c>
      <c r="T11" s="444"/>
      <c r="U11" s="433" t="str">
        <f t="shared" si="4"/>
        <v/>
      </c>
      <c r="V11" s="442"/>
      <c r="W11" s="437" t="str">
        <f t="shared" si="5"/>
        <v/>
      </c>
      <c r="X11" s="438" t="str">
        <f t="shared" si="6"/>
        <v/>
      </c>
      <c r="Y11" s="445"/>
    </row>
    <row r="12" spans="1:25" ht="50.1" customHeight="1">
      <c r="A12" s="440"/>
      <c r="B12" s="428"/>
      <c r="C12" s="441"/>
      <c r="D12" s="430" t="str">
        <f t="shared" si="0"/>
        <v/>
      </c>
      <c r="E12" s="442"/>
      <c r="F12" s="442"/>
      <c r="G12" s="442"/>
      <c r="H12" s="443"/>
      <c r="I12" s="433" t="str">
        <f t="shared" si="1"/>
        <v/>
      </c>
      <c r="J12" s="431"/>
      <c r="K12" s="442"/>
      <c r="L12" s="442"/>
      <c r="M12" s="434" t="str">
        <f t="shared" si="2"/>
        <v/>
      </c>
      <c r="N12" s="435" t="str">
        <f>IF(J12="定額法",VLOOKUP(K12,減価償却率表!$A$6:$D$24,2,0),IF(J12="200%定率法",VLOOKUP(K12,減価償却率表!$A$6:$G$24,5,0),IF(J12="3年均等",0.334,"")))</f>
        <v/>
      </c>
      <c r="O12" s="435" t="str">
        <f>IF(J12="定額法",VLOOKUP(K12,減価償却率表!$A$6:$D$24,3,0),IF(J12="200%定率法",VLOOKUP(K12,減価償却率表!$A$6:$G$24,6,0),IF(J12="3年均等","―","")))</f>
        <v/>
      </c>
      <c r="P12" s="436" t="str">
        <f>IF(J12="定額法",VLOOKUP(K12,減価償却率表!$A$6:$D$24,4,0),IF(J12="200%定率法",VLOOKUP(K12,減価償却率表!$A$6:$G$24,7,0),IF(J12="3年均等","―","")))</f>
        <v/>
      </c>
      <c r="Q12" s="434" t="str">
        <f t="shared" si="3"/>
        <v>―</v>
      </c>
      <c r="R12" s="442"/>
      <c r="S12" s="433" t="str">
        <f t="shared" si="7"/>
        <v/>
      </c>
      <c r="T12" s="444"/>
      <c r="U12" s="433" t="str">
        <f t="shared" si="4"/>
        <v/>
      </c>
      <c r="V12" s="442"/>
      <c r="W12" s="437" t="str">
        <f t="shared" si="5"/>
        <v/>
      </c>
      <c r="X12" s="438" t="str">
        <f t="shared" si="6"/>
        <v/>
      </c>
      <c r="Y12" s="445"/>
    </row>
    <row r="13" spans="1:25" ht="50.1" customHeight="1">
      <c r="A13" s="440"/>
      <c r="B13" s="428"/>
      <c r="C13" s="441"/>
      <c r="D13" s="430" t="str">
        <f t="shared" si="0"/>
        <v/>
      </c>
      <c r="E13" s="442"/>
      <c r="F13" s="442"/>
      <c r="G13" s="442"/>
      <c r="H13" s="443"/>
      <c r="I13" s="433" t="str">
        <f t="shared" si="1"/>
        <v/>
      </c>
      <c r="J13" s="431"/>
      <c r="K13" s="442"/>
      <c r="L13" s="442"/>
      <c r="M13" s="434" t="str">
        <f t="shared" si="2"/>
        <v/>
      </c>
      <c r="N13" s="435" t="str">
        <f>IF(J13="定額法",VLOOKUP(K13,減価償却率表!$A$6:$D$24,2,0),IF(J13="200%定率法",VLOOKUP(K13,減価償却率表!$A$6:$G$24,5,0),IF(J13="3年均等",0.334,"")))</f>
        <v/>
      </c>
      <c r="O13" s="435" t="str">
        <f>IF(J13="定額法",VLOOKUP(K13,減価償却率表!$A$6:$D$24,3,0),IF(J13="200%定率法",VLOOKUP(K13,減価償却率表!$A$6:$G$24,6,0),IF(J13="3年均等","―","")))</f>
        <v/>
      </c>
      <c r="P13" s="436" t="str">
        <f>IF(J13="定額法",VLOOKUP(K13,減価償却率表!$A$6:$D$24,4,0),IF(J13="200%定率法",VLOOKUP(K13,減価償却率表!$A$6:$G$24,7,0),IF(J13="3年均等","―","")))</f>
        <v/>
      </c>
      <c r="Q13" s="434" t="str">
        <f t="shared" si="3"/>
        <v>―</v>
      </c>
      <c r="R13" s="442"/>
      <c r="S13" s="433" t="str">
        <f t="shared" si="7"/>
        <v/>
      </c>
      <c r="T13" s="444"/>
      <c r="U13" s="433" t="str">
        <f t="shared" si="4"/>
        <v/>
      </c>
      <c r="V13" s="442"/>
      <c r="W13" s="437" t="str">
        <f t="shared" si="5"/>
        <v/>
      </c>
      <c r="X13" s="438" t="str">
        <f t="shared" si="6"/>
        <v/>
      </c>
      <c r="Y13" s="445"/>
    </row>
    <row r="14" spans="1:25" ht="50.1" customHeight="1">
      <c r="A14" s="440"/>
      <c r="B14" s="446"/>
      <c r="C14" s="447"/>
      <c r="D14" s="430" t="str">
        <f t="shared" si="0"/>
        <v/>
      </c>
      <c r="E14" s="448"/>
      <c r="F14" s="448"/>
      <c r="G14" s="448"/>
      <c r="H14" s="449"/>
      <c r="I14" s="433" t="str">
        <f t="shared" si="1"/>
        <v/>
      </c>
      <c r="J14" s="431"/>
      <c r="K14" s="448"/>
      <c r="L14" s="448"/>
      <c r="M14" s="434" t="str">
        <f t="shared" si="2"/>
        <v/>
      </c>
      <c r="N14" s="435" t="str">
        <f>IF(J14="定額法",VLOOKUP(K14,減価償却率表!$A$6:$D$24,2,0),IF(J14="200%定率法",VLOOKUP(K14,減価償却率表!$A$6:$G$24,5,0),IF(J14="3年均等",0.334,"")))</f>
        <v/>
      </c>
      <c r="O14" s="435" t="str">
        <f>IF(J14="定額法",VLOOKUP(K14,減価償却率表!$A$6:$D$24,3,0),IF(J14="200%定率法",VLOOKUP(K14,減価償却率表!$A$6:$G$24,6,0),IF(J14="3年均等","―","")))</f>
        <v/>
      </c>
      <c r="P14" s="436" t="str">
        <f>IF(J14="定額法",VLOOKUP(K14,減価償却率表!$A$6:$D$24,4,0),IF(J14="200%定率法",VLOOKUP(K14,減価償却率表!$A$6:$G$24,7,0),IF(J14="3年均等","―","")))</f>
        <v/>
      </c>
      <c r="Q14" s="434" t="str">
        <f t="shared" si="3"/>
        <v>―</v>
      </c>
      <c r="R14" s="448"/>
      <c r="S14" s="433" t="str">
        <f t="shared" si="7"/>
        <v/>
      </c>
      <c r="T14" s="450"/>
      <c r="U14" s="433" t="str">
        <f t="shared" si="4"/>
        <v/>
      </c>
      <c r="V14" s="448"/>
      <c r="W14" s="437" t="str">
        <f t="shared" si="5"/>
        <v/>
      </c>
      <c r="X14" s="438" t="str">
        <f t="shared" si="6"/>
        <v/>
      </c>
      <c r="Y14" s="451"/>
    </row>
    <row r="15" spans="1:25" ht="50.1" customHeight="1" thickBot="1">
      <c r="A15" s="452"/>
      <c r="B15" s="446"/>
      <c r="C15" s="447"/>
      <c r="D15" s="430" t="str">
        <f t="shared" si="0"/>
        <v/>
      </c>
      <c r="E15" s="448"/>
      <c r="F15" s="448"/>
      <c r="G15" s="448"/>
      <c r="H15" s="449"/>
      <c r="I15" s="453" t="str">
        <f t="shared" si="1"/>
        <v/>
      </c>
      <c r="J15" s="454"/>
      <c r="K15" s="448"/>
      <c r="L15" s="448"/>
      <c r="M15" s="434" t="str">
        <f t="shared" si="2"/>
        <v/>
      </c>
      <c r="N15" s="455" t="str">
        <f>IF(J15="定額法",VLOOKUP(K15,減価償却率表!$A$6:$D$24,2,0),IF(J15="200%定率法",VLOOKUP(K15,減価償却率表!$A$6:$G$24,5,0),IF(J15="3年均等",0.334,"")))</f>
        <v/>
      </c>
      <c r="O15" s="455" t="str">
        <f>IF(J15="定額法",VLOOKUP(K15,減価償却率表!$A$6:$D$24,3,0),IF(J15="200%定率法",VLOOKUP(K15,減価償却率表!$A$6:$G$24,6,0),IF(J15="3年均等","―","")))</f>
        <v/>
      </c>
      <c r="P15" s="456" t="str">
        <f>IF(J15="定額法",VLOOKUP(K15,減価償却率表!$A$6:$D$24,4,0),IF(J15="200%定率法",VLOOKUP(K15,減価償却率表!$A$6:$G$24,7,0),IF(J15="3年均等","―","")))</f>
        <v/>
      </c>
      <c r="Q15" s="457" t="str">
        <f t="shared" si="3"/>
        <v>―</v>
      </c>
      <c r="R15" s="448"/>
      <c r="S15" s="433" t="str">
        <f t="shared" si="7"/>
        <v/>
      </c>
      <c r="T15" s="450"/>
      <c r="U15" s="433" t="str">
        <f t="shared" si="4"/>
        <v/>
      </c>
      <c r="V15" s="448"/>
      <c r="W15" s="437" t="str">
        <f t="shared" si="5"/>
        <v/>
      </c>
      <c r="X15" s="458" t="str">
        <f t="shared" si="6"/>
        <v/>
      </c>
      <c r="Y15" s="451"/>
    </row>
    <row r="16" spans="1:25" ht="50.1" customHeight="1" thickTop="1" thickBot="1">
      <c r="A16" s="459"/>
      <c r="B16" s="460" t="s">
        <v>347</v>
      </c>
      <c r="C16" s="461"/>
      <c r="D16" s="461"/>
      <c r="E16" s="462"/>
      <c r="F16" s="462"/>
      <c r="G16" s="462"/>
      <c r="H16" s="461"/>
      <c r="I16" s="461"/>
      <c r="J16" s="462"/>
      <c r="K16" s="462"/>
      <c r="L16" s="462"/>
      <c r="M16" s="462"/>
      <c r="N16" s="463"/>
      <c r="O16" s="463"/>
      <c r="P16" s="464"/>
      <c r="Q16" s="462"/>
      <c r="R16" s="462"/>
      <c r="S16" s="465">
        <f>SUM(S5:S15)</f>
        <v>0</v>
      </c>
      <c r="T16" s="465">
        <f>SUM(T5:T15)</f>
        <v>0</v>
      </c>
      <c r="U16" s="465">
        <f>SUM(U5:U15)</f>
        <v>0</v>
      </c>
      <c r="V16" s="461"/>
      <c r="W16" s="466">
        <f>SUM(W5:W15)</f>
        <v>0</v>
      </c>
      <c r="X16" s="467">
        <f>SUM(X5:X15)</f>
        <v>0</v>
      </c>
      <c r="Y16" s="468"/>
    </row>
    <row r="17" spans="19:19" ht="14.25" thickTop="1">
      <c r="S17" s="469"/>
    </row>
  </sheetData>
  <mergeCells count="2">
    <mergeCell ref="A1:Y1"/>
    <mergeCell ref="F3:G3"/>
  </mergeCells>
  <phoneticPr fontId="2"/>
  <dataValidations count="1">
    <dataValidation type="list" allowBlank="1" sqref="J5:J16">
      <formula1>"定額法,200%定率法,3年均等,特例"</formula1>
    </dataValidation>
  </dataValidations>
  <printOptions horizontalCentered="1"/>
  <pageMargins left="0.47244094488188981" right="0.19685039370078741" top="0.39370078740157483" bottom="0.23622047244094491" header="0" footer="0"/>
  <pageSetup paperSize="9" fitToHeight="0" pageOrder="overThenDown" orientation="portrait" blackAndWhite="1" horizontalDpi="0" verticalDpi="0" r:id="rId1"/>
  <headerFooter>
    <oddFooter>&amp;C&amp;"メイリオ,レギュラー"&amp;6&amp;A  &amp;P /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66"/>
  </sheetPr>
  <dimension ref="A1:Y17"/>
  <sheetViews>
    <sheetView workbookViewId="0">
      <pane xSplit="2" ySplit="4" topLeftCell="G5" activePane="bottomRight" state="frozen"/>
      <selection activeCell="O13" sqref="O13"/>
      <selection pane="topRight" activeCell="O13" sqref="O13"/>
      <selection pane="bottomLeft" activeCell="O13" sqref="O13"/>
      <selection pane="bottomRight" activeCell="A5" sqref="A5"/>
    </sheetView>
  </sheetViews>
  <sheetFormatPr defaultColWidth="9" defaultRowHeight="13.5"/>
  <cols>
    <col min="1" max="1" width="6.625" style="470" customWidth="1"/>
    <col min="2" max="2" width="20.625" style="415" customWidth="1"/>
    <col min="3" max="4" width="10.625" style="415" customWidth="1"/>
    <col min="5" max="5" width="5.625" style="415" customWidth="1"/>
    <col min="6" max="7" width="3.625" style="415" customWidth="1"/>
    <col min="8" max="10" width="10.625" style="415" customWidth="1"/>
    <col min="11" max="12" width="5.625" style="415" customWidth="1"/>
    <col min="13" max="13" width="10.625" style="415" customWidth="1"/>
    <col min="14" max="16" width="8.625" style="471" customWidth="1"/>
    <col min="17" max="17" width="10.625" style="415" customWidth="1"/>
    <col min="18" max="18" width="5.625" style="415" customWidth="1"/>
    <col min="19" max="21" width="10.625" style="415" customWidth="1"/>
    <col min="22" max="22" width="5.625" style="415" customWidth="1"/>
    <col min="23" max="24" width="10.625" style="415" customWidth="1"/>
    <col min="25" max="25" width="20.625" style="415" customWidth="1"/>
    <col min="26" max="16384" width="9" style="415"/>
  </cols>
  <sheetData>
    <row r="1" spans="1:25" s="258" customFormat="1" ht="39.950000000000003" customHeight="1">
      <c r="A1" s="889" t="str">
        <f>CONCATENATE(YEAR(設定メニュー!$B$2),"年度　減価償却資産台帳　記入例")</f>
        <v>2017年度　減価償却資産台帳　記入例</v>
      </c>
      <c r="B1" s="889"/>
      <c r="C1" s="889"/>
      <c r="D1" s="889"/>
      <c r="E1" s="889"/>
      <c r="F1" s="889"/>
      <c r="G1" s="889"/>
      <c r="H1" s="889"/>
      <c r="I1" s="889"/>
      <c r="J1" s="889"/>
      <c r="K1" s="889"/>
      <c r="L1" s="889"/>
      <c r="M1" s="889"/>
      <c r="N1" s="889"/>
      <c r="O1" s="889"/>
      <c r="P1" s="889"/>
      <c r="Q1" s="889"/>
      <c r="R1" s="889"/>
      <c r="S1" s="889"/>
      <c r="T1" s="889"/>
      <c r="U1" s="889"/>
      <c r="V1" s="889"/>
      <c r="W1" s="889"/>
      <c r="X1" s="889"/>
      <c r="Y1" s="889"/>
    </row>
    <row r="2" spans="1:25" s="258" customFormat="1" ht="12.95" customHeight="1" thickBot="1">
      <c r="N2" s="406"/>
      <c r="O2" s="406"/>
      <c r="P2" s="406"/>
      <c r="Y2" s="259" t="str">
        <f>CONCATENATE(YEAR(設定メニュー!B2),"年",MONTH(設定メニュー!B2),"月",DAY(設定メニュー!B2),"日～12月31日")</f>
        <v>2017年1月1日～12月31日</v>
      </c>
    </row>
    <row r="3" spans="1:25" ht="69.95" customHeight="1" thickTop="1">
      <c r="A3" s="407" t="s">
        <v>318</v>
      </c>
      <c r="B3" s="408" t="s">
        <v>319</v>
      </c>
      <c r="C3" s="409" t="s">
        <v>320</v>
      </c>
      <c r="D3" s="409" t="s">
        <v>321</v>
      </c>
      <c r="E3" s="408" t="s">
        <v>322</v>
      </c>
      <c r="F3" s="897" t="s">
        <v>323</v>
      </c>
      <c r="G3" s="898"/>
      <c r="H3" s="410" t="s">
        <v>324</v>
      </c>
      <c r="I3" s="408" t="s">
        <v>325</v>
      </c>
      <c r="J3" s="408" t="s">
        <v>326</v>
      </c>
      <c r="K3" s="408" t="s">
        <v>327</v>
      </c>
      <c r="L3" s="408" t="s">
        <v>328</v>
      </c>
      <c r="M3" s="410" t="s">
        <v>329</v>
      </c>
      <c r="N3" s="411" t="s">
        <v>330</v>
      </c>
      <c r="O3" s="411" t="s">
        <v>331</v>
      </c>
      <c r="P3" s="411" t="s">
        <v>332</v>
      </c>
      <c r="Q3" s="411" t="s">
        <v>333</v>
      </c>
      <c r="R3" s="412" t="s">
        <v>334</v>
      </c>
      <c r="S3" s="410" t="s">
        <v>335</v>
      </c>
      <c r="T3" s="410" t="s">
        <v>336</v>
      </c>
      <c r="U3" s="410" t="s">
        <v>337</v>
      </c>
      <c r="V3" s="413" t="s">
        <v>338</v>
      </c>
      <c r="W3" s="410" t="s">
        <v>339</v>
      </c>
      <c r="X3" s="410" t="s">
        <v>340</v>
      </c>
      <c r="Y3" s="414" t="s">
        <v>341</v>
      </c>
    </row>
    <row r="4" spans="1:25" s="168" customFormat="1" ht="13.5" customHeight="1" thickBot="1">
      <c r="A4" s="416"/>
      <c r="B4" s="417"/>
      <c r="C4" s="418" t="s">
        <v>342</v>
      </c>
      <c r="D4" s="418" t="s">
        <v>342</v>
      </c>
      <c r="E4" s="419"/>
      <c r="F4" s="420" t="s">
        <v>343</v>
      </c>
      <c r="G4" s="421" t="s">
        <v>344</v>
      </c>
      <c r="H4" s="422" t="s">
        <v>342</v>
      </c>
      <c r="I4" s="419" t="s">
        <v>342</v>
      </c>
      <c r="J4" s="419"/>
      <c r="K4" s="419" t="s">
        <v>343</v>
      </c>
      <c r="L4" s="419" t="s">
        <v>343</v>
      </c>
      <c r="M4" s="422" t="s">
        <v>342</v>
      </c>
      <c r="N4" s="423"/>
      <c r="O4" s="423"/>
      <c r="P4" s="423"/>
      <c r="Q4" s="423" t="s">
        <v>342</v>
      </c>
      <c r="R4" s="424" t="s">
        <v>345</v>
      </c>
      <c r="S4" s="422" t="s">
        <v>342</v>
      </c>
      <c r="T4" s="422" t="s">
        <v>342</v>
      </c>
      <c r="U4" s="422" t="s">
        <v>342</v>
      </c>
      <c r="V4" s="425" t="s">
        <v>346</v>
      </c>
      <c r="W4" s="422" t="s">
        <v>342</v>
      </c>
      <c r="X4" s="422" t="s">
        <v>342</v>
      </c>
      <c r="Y4" s="426"/>
    </row>
    <row r="5" spans="1:25" ht="50.1" customHeight="1">
      <c r="A5" s="427" t="s">
        <v>348</v>
      </c>
      <c r="B5" s="428" t="s">
        <v>350</v>
      </c>
      <c r="C5" s="429"/>
      <c r="D5" s="430" t="str">
        <f>IF(C5="","",H5-C5)</f>
        <v/>
      </c>
      <c r="E5" s="431">
        <v>1</v>
      </c>
      <c r="F5" s="431">
        <v>27</v>
      </c>
      <c r="G5" s="431">
        <v>7</v>
      </c>
      <c r="H5" s="432">
        <v>250000</v>
      </c>
      <c r="I5" s="433" t="str">
        <f>IFERROR(IF(J5="200%定率法",IF((M5*N5*R5/12)&lt;Q5,C5,""),""),"")</f>
        <v/>
      </c>
      <c r="J5" s="431" t="s">
        <v>354</v>
      </c>
      <c r="K5" s="431">
        <v>4</v>
      </c>
      <c r="L5" s="431">
        <v>0</v>
      </c>
      <c r="M5" s="434">
        <f>IF(J5="200%定率法",IF(D5="",H5,H5-D5),H5)</f>
        <v>250000</v>
      </c>
      <c r="N5" s="435">
        <f>IF(J5="定額法",VLOOKUP(K5,減価償却率表!$A$6:$D$24,2,0),IF(J5="200%定率法",VLOOKUP(K5,減価償却率表!$A$6:$G$24,5,0),IF(J5="3年均等",0.334,"")))</f>
        <v>0.5</v>
      </c>
      <c r="O5" s="435">
        <f>IF(J5="定額法",VLOOKUP(K5,減価償却率表!$A$6:$D$24,3,0),IF(J5="200%定率法",VLOOKUP(K5,減価償却率表!$A$6:$G$24,6,0),IF(J5="3年均等","-","")))</f>
        <v>1</v>
      </c>
      <c r="P5" s="436">
        <f>IF(J5="定額法",VLOOKUP(K5,減価償却率表!$A$6:$D$24,4,0),IF(J5="200%定率法",VLOOKUP(K5,減価償却率表!$A$6:$G$24,7,0),IF(J5="3年均等","―","")))</f>
        <v>0.12499</v>
      </c>
      <c r="Q5" s="434">
        <f>IF(J5="200%定率法",H5*P5,"―")</f>
        <v>31247.5</v>
      </c>
      <c r="R5" s="431">
        <v>6</v>
      </c>
      <c r="S5" s="433">
        <f>IFERROR(IF(J5="200%定率法",IF((M5*N5*R5/12)&lt;Q5,IF(C5="","",C5-1),M5*N5*R5/12),IF(J5="定額法",IF(C5="",M5*N5*R5/12,IF((M5*N5*R5/12)&gt;C5,C5-1,M5*N5*R5/12)),M5*N5*R5/12)),"")</f>
        <v>62500</v>
      </c>
      <c r="T5" s="434"/>
      <c r="U5" s="433">
        <f>IFERROR(S5+T5,"")</f>
        <v>62500</v>
      </c>
      <c r="V5" s="431">
        <v>100</v>
      </c>
      <c r="W5" s="437">
        <f>IFERROR(U5*V5/100,"")</f>
        <v>62500</v>
      </c>
      <c r="X5" s="438">
        <f>IFERROR(IF(J5="200%定率法",M5-U5,IF(C5="",M5-U5,C5-U5)),"")</f>
        <v>187500</v>
      </c>
      <c r="Y5" s="439"/>
    </row>
    <row r="6" spans="1:25" ht="50.1" customHeight="1">
      <c r="A6" s="440" t="s">
        <v>352</v>
      </c>
      <c r="B6" s="428" t="s">
        <v>350</v>
      </c>
      <c r="C6" s="441">
        <v>187500</v>
      </c>
      <c r="D6" s="430">
        <f>IF(C6="","",H6-C6)</f>
        <v>62500</v>
      </c>
      <c r="E6" s="442">
        <v>1</v>
      </c>
      <c r="F6" s="442">
        <v>26</v>
      </c>
      <c r="G6" s="442">
        <v>7</v>
      </c>
      <c r="H6" s="443">
        <v>250000</v>
      </c>
      <c r="I6" s="433" t="str">
        <f t="shared" ref="I6:I15" si="0">IFERROR(IF(J6="200%定率法",IF((M6*N6*R6/12)&lt;Q6,C6,""),""),"")</f>
        <v/>
      </c>
      <c r="J6" s="431" t="s">
        <v>351</v>
      </c>
      <c r="K6" s="442">
        <v>4</v>
      </c>
      <c r="L6" s="442">
        <v>1</v>
      </c>
      <c r="M6" s="434">
        <f t="shared" ref="M6:M15" si="1">IF(J6="200%定率法",IF(D6="",H6,H6-D6),H6)</f>
        <v>187500</v>
      </c>
      <c r="N6" s="435">
        <f>IF(J6="定額法",VLOOKUP(K6,減価償却率表!$A$6:$D$24,2,0),IF(J6="200%定率法",VLOOKUP(K6,減価償却率表!$A$6:$G$24,5,0),IF(J6="3年均等",0.334,"")))</f>
        <v>0.5</v>
      </c>
      <c r="O6" s="435">
        <f>IF(J6="定額法",VLOOKUP(K6,減価償却率表!$A$6:$D$24,3,0),IF(J6="200%定率法",VLOOKUP(K6,減価償却率表!$A$6:$G$24,6,0),IF(J6="3年均等","―","")))</f>
        <v>1</v>
      </c>
      <c r="P6" s="436">
        <f>IF(J6="定額法",VLOOKUP(K6,減価償却率表!$A$6:$D$24,4,0),IF(J6="200%定率法",VLOOKUP(K6,減価償却率表!$A$6:$G$24,7,0),IF(J6="3年均等","―","")))</f>
        <v>0.12499</v>
      </c>
      <c r="Q6" s="434">
        <f t="shared" ref="Q6:Q15" si="2">IF(J6="200%定率法",H6*P6,"―")</f>
        <v>31247.5</v>
      </c>
      <c r="R6" s="442">
        <v>12</v>
      </c>
      <c r="S6" s="433">
        <f>IFERROR(IF(J6="200%定率法",IF((M6*N6*R6/12)&lt;Q6,IF(C6="","",C6-1),M6*N6*R6/12),IF(J6="定額法",IF(C6="",M6*N6*R6/12,IF((M6*N6*R6/12)&gt;=C6,C6-1,M6*N6*R6/12)),M6*N6*R6/12)),"")</f>
        <v>93750</v>
      </c>
      <c r="T6" s="444"/>
      <c r="U6" s="433">
        <f t="shared" ref="U6:U15" si="3">IFERROR(S6+T6,"")</f>
        <v>93750</v>
      </c>
      <c r="V6" s="442">
        <v>100</v>
      </c>
      <c r="W6" s="437">
        <f t="shared" ref="W6:W15" si="4">IFERROR(U6*V6/100,"")</f>
        <v>93750</v>
      </c>
      <c r="X6" s="438">
        <f t="shared" ref="X6:X15" si="5">IFERROR(IF(J6="200%定率法",M6-U6,IF(C6="",M6-U6,C6-U6)),"")</f>
        <v>93750</v>
      </c>
      <c r="Y6" s="445"/>
    </row>
    <row r="7" spans="1:25" ht="50.1" customHeight="1">
      <c r="A7" s="440" t="s">
        <v>353</v>
      </c>
      <c r="B7" s="428" t="s">
        <v>349</v>
      </c>
      <c r="C7" s="441">
        <v>93750</v>
      </c>
      <c r="D7" s="430">
        <f t="shared" ref="D7:D15" si="6">IF(C7="","",H7-C7)</f>
        <v>156250</v>
      </c>
      <c r="E7" s="442">
        <v>1</v>
      </c>
      <c r="F7" s="442">
        <v>25</v>
      </c>
      <c r="G7" s="442">
        <v>7</v>
      </c>
      <c r="H7" s="443">
        <v>250000</v>
      </c>
      <c r="I7" s="433" t="str">
        <f t="shared" si="0"/>
        <v/>
      </c>
      <c r="J7" s="431" t="s">
        <v>354</v>
      </c>
      <c r="K7" s="442">
        <v>4</v>
      </c>
      <c r="L7" s="442">
        <v>2</v>
      </c>
      <c r="M7" s="434">
        <f t="shared" si="1"/>
        <v>93750</v>
      </c>
      <c r="N7" s="435">
        <f>IF(J7="定額法",VLOOKUP(K7,減価償却率表!$A$6:$D$24,2,0),IF(J7="200%定率法",VLOOKUP(K7,減価償却率表!$A$6:$G$24,5,0),IF(J7="3年均等",0.334,"")))</f>
        <v>0.5</v>
      </c>
      <c r="O7" s="435">
        <f>IF(J7="定額法",VLOOKUP(K7,減価償却率表!$A$6:$D$24,3,0),IF(J7="200%定率法",VLOOKUP(K7,減価償却率表!$A$6:$G$24,6,0),IF(J7="3年均等","―","")))</f>
        <v>1</v>
      </c>
      <c r="P7" s="436">
        <f>IF(J7="定額法",VLOOKUP(K7,減価償却率表!$A$6:$D$24,4,0),IF(J7="200%定率法",VLOOKUP(K7,減価償却率表!$A$6:$G$24,7,0),IF(J7="3年均等","―","")))</f>
        <v>0.12499</v>
      </c>
      <c r="Q7" s="434">
        <f t="shared" si="2"/>
        <v>31247.5</v>
      </c>
      <c r="R7" s="442">
        <v>12</v>
      </c>
      <c r="S7" s="433">
        <f t="shared" ref="S7:S14" si="7">IFERROR(IF(J7="200%定率法",IF((M7*N7*R7/12)&lt;Q7,IF(C7="","",C7-1),M7*N7*R7/12),IF(J7="定額法",IF(C7="",M7*N7*R7/12,IF((M7*N7*R7/12)&gt;=C7,C7-1,M7*N7*R7/12)),M7*N7*R7/12)),"")</f>
        <v>46875</v>
      </c>
      <c r="T7" s="444"/>
      <c r="U7" s="433">
        <f t="shared" si="3"/>
        <v>46875</v>
      </c>
      <c r="V7" s="442">
        <v>100</v>
      </c>
      <c r="W7" s="437">
        <f t="shared" si="4"/>
        <v>46875</v>
      </c>
      <c r="X7" s="438">
        <f t="shared" si="5"/>
        <v>46875</v>
      </c>
      <c r="Y7" s="445"/>
    </row>
    <row r="8" spans="1:25" ht="50.1" customHeight="1">
      <c r="A8" s="440" t="s">
        <v>355</v>
      </c>
      <c r="B8" s="428" t="s">
        <v>349</v>
      </c>
      <c r="C8" s="441">
        <v>46875</v>
      </c>
      <c r="D8" s="430">
        <f t="shared" si="6"/>
        <v>203125</v>
      </c>
      <c r="E8" s="442">
        <v>1</v>
      </c>
      <c r="F8" s="442">
        <v>24</v>
      </c>
      <c r="G8" s="442">
        <v>7</v>
      </c>
      <c r="H8" s="443">
        <v>250000</v>
      </c>
      <c r="I8" s="433">
        <f t="shared" si="0"/>
        <v>46875</v>
      </c>
      <c r="J8" s="431" t="s">
        <v>354</v>
      </c>
      <c r="K8" s="442">
        <v>4</v>
      </c>
      <c r="L8" s="442">
        <v>3</v>
      </c>
      <c r="M8" s="434">
        <f t="shared" si="1"/>
        <v>46875</v>
      </c>
      <c r="N8" s="435">
        <f>IF(J8="定額法",VLOOKUP(K8,減価償却率表!$A$6:$D$24,2,0),IF(J8="200%定率法",VLOOKUP(K8,減価償却率表!$A$6:$G$24,5,0),IF(J8="3年均等",0.334,"")))</f>
        <v>0.5</v>
      </c>
      <c r="O8" s="435">
        <f>IF(J8="定額法",VLOOKUP(K8,減価償却率表!$A$6:$D$24,3,0),IF(J8="200%定率法",VLOOKUP(K8,減価償却率表!$A$6:$G$24,6,0),IF(J8="3年均等","―","")))</f>
        <v>1</v>
      </c>
      <c r="P8" s="436">
        <f>IF(J8="定額法",VLOOKUP(K8,減価償却率表!$A$6:$D$24,4,0),IF(J8="200%定率法",VLOOKUP(K8,減価償却率表!$A$6:$G$24,7,0),IF(J8="3年均等","―","")))</f>
        <v>0.12499</v>
      </c>
      <c r="Q8" s="434">
        <f t="shared" si="2"/>
        <v>31247.5</v>
      </c>
      <c r="R8" s="442">
        <v>12</v>
      </c>
      <c r="S8" s="433">
        <f t="shared" si="7"/>
        <v>46874</v>
      </c>
      <c r="T8" s="444"/>
      <c r="U8" s="433">
        <f t="shared" si="3"/>
        <v>46874</v>
      </c>
      <c r="V8" s="442">
        <v>100</v>
      </c>
      <c r="W8" s="437">
        <f t="shared" si="4"/>
        <v>46874</v>
      </c>
      <c r="X8" s="438">
        <f t="shared" si="5"/>
        <v>1</v>
      </c>
      <c r="Y8" s="445"/>
    </row>
    <row r="9" spans="1:25" ht="50.1" customHeight="1">
      <c r="A9" s="440" t="s">
        <v>356</v>
      </c>
      <c r="B9" s="428" t="s">
        <v>357</v>
      </c>
      <c r="C9" s="441">
        <v>1</v>
      </c>
      <c r="D9" s="430">
        <f t="shared" si="6"/>
        <v>249999</v>
      </c>
      <c r="E9" s="442">
        <v>1</v>
      </c>
      <c r="F9" s="442">
        <v>23</v>
      </c>
      <c r="G9" s="442">
        <v>7</v>
      </c>
      <c r="H9" s="443">
        <v>250000</v>
      </c>
      <c r="I9" s="433">
        <f t="shared" si="0"/>
        <v>1</v>
      </c>
      <c r="J9" s="431" t="s">
        <v>354</v>
      </c>
      <c r="K9" s="442">
        <v>4</v>
      </c>
      <c r="L9" s="442">
        <v>4</v>
      </c>
      <c r="M9" s="434">
        <f t="shared" si="1"/>
        <v>1</v>
      </c>
      <c r="N9" s="435">
        <f>IF(J9="定額法",VLOOKUP(K9,減価償却率表!$A$6:$D$24,2,0),IF(J9="200%定率法",VLOOKUP(K9,減価償却率表!$A$6:$G$24,5,0),IF(J9="3年均等",0.334,"")))</f>
        <v>0.5</v>
      </c>
      <c r="O9" s="435">
        <f>IF(J9="定額法",VLOOKUP(K9,減価償却率表!$A$6:$D$24,3,0),IF(J9="200%定率法",VLOOKUP(K9,減価償却率表!$A$6:$G$24,6,0),IF(J9="3年均等","―","")))</f>
        <v>1</v>
      </c>
      <c r="P9" s="436">
        <f>IF(J9="定額法",VLOOKUP(K9,減価償却率表!$A$6:$D$24,4,0),IF(J9="200%定率法",VLOOKUP(K9,減価償却率表!$A$6:$G$24,7,0),IF(J9="3年均等","―","")))</f>
        <v>0.12499</v>
      </c>
      <c r="Q9" s="434">
        <f t="shared" si="2"/>
        <v>31247.5</v>
      </c>
      <c r="R9" s="442">
        <v>6</v>
      </c>
      <c r="S9" s="433">
        <f t="shared" si="7"/>
        <v>0</v>
      </c>
      <c r="T9" s="444"/>
      <c r="U9" s="433">
        <f t="shared" si="3"/>
        <v>0</v>
      </c>
      <c r="V9" s="442">
        <v>100</v>
      </c>
      <c r="W9" s="437">
        <f t="shared" si="4"/>
        <v>0</v>
      </c>
      <c r="X9" s="438">
        <f t="shared" si="5"/>
        <v>1</v>
      </c>
      <c r="Y9" s="445"/>
    </row>
    <row r="10" spans="1:25" ht="50.1" customHeight="1">
      <c r="A10" s="440" t="s">
        <v>358</v>
      </c>
      <c r="B10" s="428" t="s">
        <v>359</v>
      </c>
      <c r="C10" s="441"/>
      <c r="D10" s="430" t="str">
        <f t="shared" si="6"/>
        <v/>
      </c>
      <c r="E10" s="442">
        <v>1</v>
      </c>
      <c r="F10" s="442">
        <v>27</v>
      </c>
      <c r="G10" s="442">
        <v>1</v>
      </c>
      <c r="H10" s="443">
        <v>200000</v>
      </c>
      <c r="I10" s="433" t="str">
        <f t="shared" si="0"/>
        <v/>
      </c>
      <c r="J10" s="431" t="s">
        <v>360</v>
      </c>
      <c r="K10" s="442">
        <v>4</v>
      </c>
      <c r="L10" s="442">
        <v>0</v>
      </c>
      <c r="M10" s="434">
        <f t="shared" si="1"/>
        <v>200000</v>
      </c>
      <c r="N10" s="435">
        <f>IF(J10="定額法",VLOOKUP(K10,減価償却率表!$A$6:$D$24,2,0),IF(J10="200%定率法",VLOOKUP(K10,減価償却率表!$A$6:$G$24,5,0),IF(J10="3年均等",0.334,"")))</f>
        <v>0.25</v>
      </c>
      <c r="O10" s="435" t="str">
        <f>IF(J10="定額法",VLOOKUP(K10,減価償却率表!$A$6:$D$24,3,0),IF(J10="200%定率法",VLOOKUP(K10,減価償却率表!$A$6:$G$24,6,0),IF(J10="3年均等","―","")))</f>
        <v>―</v>
      </c>
      <c r="P10" s="436" t="str">
        <f>IF(J10="定額法",VLOOKUP(K10,減価償却率表!$A$6:$D$24,4,0),IF(J10="200%定率法",VLOOKUP(K10,減価償却率表!$A$6:$G$24,7,0),IF(J10="3年均等","―","")))</f>
        <v>―</v>
      </c>
      <c r="Q10" s="434" t="str">
        <f t="shared" si="2"/>
        <v>―</v>
      </c>
      <c r="R10" s="442">
        <v>12</v>
      </c>
      <c r="S10" s="433">
        <f t="shared" si="7"/>
        <v>50000</v>
      </c>
      <c r="T10" s="444"/>
      <c r="U10" s="433">
        <f t="shared" si="3"/>
        <v>50000</v>
      </c>
      <c r="V10" s="442">
        <v>50</v>
      </c>
      <c r="W10" s="437">
        <f t="shared" si="4"/>
        <v>25000</v>
      </c>
      <c r="X10" s="438">
        <f t="shared" si="5"/>
        <v>150000</v>
      </c>
      <c r="Y10" s="445"/>
    </row>
    <row r="11" spans="1:25" ht="50.1" customHeight="1">
      <c r="A11" s="440" t="s">
        <v>361</v>
      </c>
      <c r="B11" s="428" t="s">
        <v>362</v>
      </c>
      <c r="C11" s="441">
        <v>150000</v>
      </c>
      <c r="D11" s="430">
        <f t="shared" si="6"/>
        <v>50000</v>
      </c>
      <c r="E11" s="442">
        <v>1</v>
      </c>
      <c r="F11" s="442">
        <v>26</v>
      </c>
      <c r="G11" s="442">
        <v>1</v>
      </c>
      <c r="H11" s="443">
        <v>200000</v>
      </c>
      <c r="I11" s="433" t="str">
        <f t="shared" si="0"/>
        <v/>
      </c>
      <c r="J11" s="431" t="s">
        <v>360</v>
      </c>
      <c r="K11" s="442">
        <v>4</v>
      </c>
      <c r="L11" s="442">
        <v>1</v>
      </c>
      <c r="M11" s="434">
        <f t="shared" si="1"/>
        <v>200000</v>
      </c>
      <c r="N11" s="435">
        <f>IF(J11="定額法",VLOOKUP(K11,減価償却率表!$A$6:$D$24,2,0),IF(J11="200%定率法",VLOOKUP(K11,減価償却率表!$A$6:$G$24,5,0),IF(J11="3年均等",0.334,"")))</f>
        <v>0.25</v>
      </c>
      <c r="O11" s="435" t="str">
        <f>IF(J11="定額法",VLOOKUP(K11,減価償却率表!$A$6:$D$24,3,0),IF(J11="200%定率法",VLOOKUP(K11,減価償却率表!$A$6:$G$24,6,0),IF(J11="3年均等","―","")))</f>
        <v>―</v>
      </c>
      <c r="P11" s="436" t="str">
        <f>IF(J11="定額法",VLOOKUP(K11,減価償却率表!$A$6:$D$24,4,0),IF(J11="200%定率法",VLOOKUP(K11,減価償却率表!$A$6:$G$24,7,0),IF(J11="3年均等","―","")))</f>
        <v>―</v>
      </c>
      <c r="Q11" s="434" t="str">
        <f t="shared" si="2"/>
        <v>―</v>
      </c>
      <c r="R11" s="442">
        <v>12</v>
      </c>
      <c r="S11" s="433">
        <f t="shared" si="7"/>
        <v>50000</v>
      </c>
      <c r="T11" s="444"/>
      <c r="U11" s="433">
        <f t="shared" si="3"/>
        <v>50000</v>
      </c>
      <c r="V11" s="442">
        <v>100</v>
      </c>
      <c r="W11" s="437">
        <f t="shared" si="4"/>
        <v>50000</v>
      </c>
      <c r="X11" s="438">
        <f t="shared" si="5"/>
        <v>100000</v>
      </c>
      <c r="Y11" s="445"/>
    </row>
    <row r="12" spans="1:25" ht="50.1" customHeight="1">
      <c r="A12" s="440" t="s">
        <v>363</v>
      </c>
      <c r="B12" s="428" t="s">
        <v>362</v>
      </c>
      <c r="C12" s="441">
        <v>100000</v>
      </c>
      <c r="D12" s="430">
        <f t="shared" si="6"/>
        <v>100000</v>
      </c>
      <c r="E12" s="442">
        <v>1</v>
      </c>
      <c r="F12" s="442">
        <v>25</v>
      </c>
      <c r="G12" s="442">
        <v>1</v>
      </c>
      <c r="H12" s="443">
        <v>200000</v>
      </c>
      <c r="I12" s="433" t="str">
        <f t="shared" si="0"/>
        <v/>
      </c>
      <c r="J12" s="431" t="s">
        <v>360</v>
      </c>
      <c r="K12" s="442">
        <v>4</v>
      </c>
      <c r="L12" s="442">
        <v>2</v>
      </c>
      <c r="M12" s="434">
        <f t="shared" si="1"/>
        <v>200000</v>
      </c>
      <c r="N12" s="435">
        <f>IF(J12="定額法",VLOOKUP(K12,減価償却率表!$A$6:$D$24,2,0),IF(J12="200%定率法",VLOOKUP(K12,減価償却率表!$A$6:$G$24,5,0),IF(J12="3年均等",0.334,"")))</f>
        <v>0.25</v>
      </c>
      <c r="O12" s="435" t="str">
        <f>IF(J12="定額法",VLOOKUP(K12,減価償却率表!$A$6:$D$24,3,0),IF(J12="200%定率法",VLOOKUP(K12,減価償却率表!$A$6:$G$24,6,0),IF(J12="3年均等","―","")))</f>
        <v>―</v>
      </c>
      <c r="P12" s="436" t="str">
        <f>IF(J12="定額法",VLOOKUP(K12,減価償却率表!$A$6:$D$24,4,0),IF(J12="200%定率法",VLOOKUP(K12,減価償却率表!$A$6:$G$24,7,0),IF(J12="3年均等","―","")))</f>
        <v>―</v>
      </c>
      <c r="Q12" s="434" t="str">
        <f t="shared" si="2"/>
        <v>―</v>
      </c>
      <c r="R12" s="442">
        <v>12</v>
      </c>
      <c r="S12" s="433">
        <f t="shared" si="7"/>
        <v>50000</v>
      </c>
      <c r="T12" s="444"/>
      <c r="U12" s="433">
        <f t="shared" si="3"/>
        <v>50000</v>
      </c>
      <c r="V12" s="442">
        <v>100</v>
      </c>
      <c r="W12" s="437">
        <f t="shared" si="4"/>
        <v>50000</v>
      </c>
      <c r="X12" s="438">
        <f t="shared" si="5"/>
        <v>50000</v>
      </c>
      <c r="Y12" s="445"/>
    </row>
    <row r="13" spans="1:25" ht="50.1" customHeight="1">
      <c r="A13" s="440" t="s">
        <v>364</v>
      </c>
      <c r="B13" s="428" t="s">
        <v>362</v>
      </c>
      <c r="C13" s="441">
        <v>50000</v>
      </c>
      <c r="D13" s="430">
        <f t="shared" si="6"/>
        <v>150000</v>
      </c>
      <c r="E13" s="442">
        <v>1</v>
      </c>
      <c r="F13" s="442">
        <v>24</v>
      </c>
      <c r="G13" s="442">
        <v>1</v>
      </c>
      <c r="H13" s="443">
        <v>200000</v>
      </c>
      <c r="I13" s="433" t="str">
        <f t="shared" si="0"/>
        <v/>
      </c>
      <c r="J13" s="431" t="s">
        <v>360</v>
      </c>
      <c r="K13" s="442">
        <v>4</v>
      </c>
      <c r="L13" s="442">
        <v>3</v>
      </c>
      <c r="M13" s="434">
        <f t="shared" si="1"/>
        <v>200000</v>
      </c>
      <c r="N13" s="435">
        <f>IF(J13="定額法",VLOOKUP(K13,減価償却率表!$A$6:$D$24,2,0),IF(J13="200%定率法",VLOOKUP(K13,減価償却率表!$A$6:$G$24,5,0),IF(J13="3年均等",0.334,"")))</f>
        <v>0.25</v>
      </c>
      <c r="O13" s="435" t="str">
        <f>IF(J13="定額法",VLOOKUP(K13,減価償却率表!$A$6:$D$24,3,0),IF(J13="200%定率法",VLOOKUP(K13,減価償却率表!$A$6:$G$24,6,0),IF(J13="3年均等","―","")))</f>
        <v>―</v>
      </c>
      <c r="P13" s="436" t="str">
        <f>IF(J13="定額法",VLOOKUP(K13,減価償却率表!$A$6:$D$24,4,0),IF(J13="200%定率法",VLOOKUP(K13,減価償却率表!$A$6:$G$24,7,0),IF(J13="3年均等","―","")))</f>
        <v>―</v>
      </c>
      <c r="Q13" s="434" t="str">
        <f t="shared" si="2"/>
        <v>―</v>
      </c>
      <c r="R13" s="442">
        <v>12</v>
      </c>
      <c r="S13" s="433">
        <f t="shared" si="7"/>
        <v>49999</v>
      </c>
      <c r="T13" s="444"/>
      <c r="U13" s="433">
        <f t="shared" si="3"/>
        <v>49999</v>
      </c>
      <c r="V13" s="442">
        <v>100</v>
      </c>
      <c r="W13" s="437">
        <f t="shared" si="4"/>
        <v>49999</v>
      </c>
      <c r="X13" s="438">
        <f t="shared" si="5"/>
        <v>1</v>
      </c>
      <c r="Y13" s="445"/>
    </row>
    <row r="14" spans="1:25" ht="50.1" customHeight="1">
      <c r="A14" s="440" t="s">
        <v>365</v>
      </c>
      <c r="B14" s="446" t="s">
        <v>366</v>
      </c>
      <c r="C14" s="447">
        <v>1</v>
      </c>
      <c r="D14" s="430">
        <f t="shared" si="6"/>
        <v>199999</v>
      </c>
      <c r="E14" s="448">
        <v>1</v>
      </c>
      <c r="F14" s="448">
        <v>23</v>
      </c>
      <c r="G14" s="448">
        <v>1</v>
      </c>
      <c r="H14" s="449">
        <v>200000</v>
      </c>
      <c r="I14" s="433" t="str">
        <f t="shared" si="0"/>
        <v/>
      </c>
      <c r="J14" s="431" t="s">
        <v>360</v>
      </c>
      <c r="K14" s="448">
        <v>4</v>
      </c>
      <c r="L14" s="448">
        <v>4</v>
      </c>
      <c r="M14" s="434">
        <f t="shared" si="1"/>
        <v>200000</v>
      </c>
      <c r="N14" s="435">
        <f>IF(J14="定額法",VLOOKUP(K14,減価償却率表!$A$6:$D$24,2,0),IF(J14="200%定率法",VLOOKUP(K14,減価償却率表!$A$6:$G$24,5,0),IF(J14="3年均等",0.334,"")))</f>
        <v>0.25</v>
      </c>
      <c r="O14" s="435" t="str">
        <f>IF(J14="定額法",VLOOKUP(K14,減価償却率表!$A$6:$D$24,3,0),IF(J14="200%定率法",VLOOKUP(K14,減価償却率表!$A$6:$G$24,6,0),IF(J14="3年均等","―","")))</f>
        <v>―</v>
      </c>
      <c r="P14" s="436" t="str">
        <f>IF(J14="定額法",VLOOKUP(K14,減価償却率表!$A$6:$D$24,4,0),IF(J14="200%定率法",VLOOKUP(K14,減価償却率表!$A$6:$G$24,7,0),IF(J14="3年均等","―","")))</f>
        <v>―</v>
      </c>
      <c r="Q14" s="434" t="str">
        <f t="shared" si="2"/>
        <v>―</v>
      </c>
      <c r="R14" s="448">
        <v>12</v>
      </c>
      <c r="S14" s="433">
        <f t="shared" si="7"/>
        <v>0</v>
      </c>
      <c r="T14" s="450"/>
      <c r="U14" s="433">
        <f t="shared" si="3"/>
        <v>0</v>
      </c>
      <c r="V14" s="448">
        <v>100</v>
      </c>
      <c r="W14" s="437">
        <f t="shared" si="4"/>
        <v>0</v>
      </c>
      <c r="X14" s="438">
        <f t="shared" si="5"/>
        <v>1</v>
      </c>
      <c r="Y14" s="451"/>
    </row>
    <row r="15" spans="1:25" ht="50.1" customHeight="1" thickBot="1">
      <c r="A15" s="452" t="s">
        <v>367</v>
      </c>
      <c r="B15" s="446" t="s">
        <v>368</v>
      </c>
      <c r="C15" s="447"/>
      <c r="D15" s="472" t="str">
        <f t="shared" si="6"/>
        <v/>
      </c>
      <c r="E15" s="448">
        <v>1</v>
      </c>
      <c r="F15" s="448">
        <v>27</v>
      </c>
      <c r="G15" s="448"/>
      <c r="H15" s="449">
        <v>250000</v>
      </c>
      <c r="I15" s="453" t="str">
        <f t="shared" si="0"/>
        <v/>
      </c>
      <c r="J15" s="454" t="s">
        <v>369</v>
      </c>
      <c r="K15" s="448"/>
      <c r="L15" s="448"/>
      <c r="M15" s="457">
        <f t="shared" si="1"/>
        <v>250000</v>
      </c>
      <c r="N15" s="455" t="str">
        <f>IF(J15="定額法",VLOOKUP(K15,減価償却率表!$A$6:$D$24,2,0),IF(J15="200%定率法",VLOOKUP(K15,減価償却率表!$A$6:$G$24,5,0),IF(J15="3年均等",0.334,"")))</f>
        <v/>
      </c>
      <c r="O15" s="455" t="str">
        <f>IF(J15="定額法",VLOOKUP(K15,減価償却率表!$A$6:$D$24,3,0),IF(J15="200%定率法",VLOOKUP(K15,減価償却率表!$A$6:$G$24,6,0),IF(J15="3年均等","―","")))</f>
        <v/>
      </c>
      <c r="P15" s="456" t="str">
        <f>IF(J15="定額法",VLOOKUP(K15,減価償却率表!$A$6:$D$24,4,0),IF(J15="200%定率法",VLOOKUP(K15,減価償却率表!$A$6:$G$24,7,0),IF(J15="3年均等","―","")))</f>
        <v/>
      </c>
      <c r="Q15" s="457" t="str">
        <f t="shared" si="2"/>
        <v>―</v>
      </c>
      <c r="R15" s="448"/>
      <c r="S15" s="453">
        <v>250000</v>
      </c>
      <c r="T15" s="450"/>
      <c r="U15" s="453">
        <f t="shared" si="3"/>
        <v>250000</v>
      </c>
      <c r="V15" s="448">
        <v>100</v>
      </c>
      <c r="W15" s="473">
        <f t="shared" si="4"/>
        <v>250000</v>
      </c>
      <c r="X15" s="458">
        <f t="shared" si="5"/>
        <v>0</v>
      </c>
      <c r="Y15" s="451" t="s">
        <v>370</v>
      </c>
    </row>
    <row r="16" spans="1:25" ht="50.1" customHeight="1" thickTop="1" thickBot="1">
      <c r="A16" s="459"/>
      <c r="B16" s="460" t="s">
        <v>347</v>
      </c>
      <c r="C16" s="461"/>
      <c r="D16" s="461"/>
      <c r="E16" s="462"/>
      <c r="F16" s="462"/>
      <c r="G16" s="462"/>
      <c r="H16" s="461"/>
      <c r="I16" s="461"/>
      <c r="J16" s="462"/>
      <c r="K16" s="462"/>
      <c r="L16" s="462"/>
      <c r="M16" s="462"/>
      <c r="N16" s="463"/>
      <c r="O16" s="463"/>
      <c r="P16" s="464"/>
      <c r="Q16" s="462"/>
      <c r="R16" s="462"/>
      <c r="S16" s="465">
        <f>SUM(S5:S15)</f>
        <v>699998</v>
      </c>
      <c r="T16" s="465">
        <f>SUM(T5:T15)</f>
        <v>0</v>
      </c>
      <c r="U16" s="465">
        <f>SUM(U5:U15)</f>
        <v>699998</v>
      </c>
      <c r="V16" s="461"/>
      <c r="W16" s="466">
        <f>SUM(W5:W15)</f>
        <v>674998</v>
      </c>
      <c r="X16" s="467">
        <f>SUM(X5:X15)</f>
        <v>628129</v>
      </c>
      <c r="Y16" s="468"/>
    </row>
    <row r="17" spans="19:19" ht="14.25" thickTop="1">
      <c r="S17" s="469"/>
    </row>
  </sheetData>
  <mergeCells count="2">
    <mergeCell ref="A1:Y1"/>
    <mergeCell ref="F3:G3"/>
  </mergeCells>
  <phoneticPr fontId="2"/>
  <dataValidations count="1">
    <dataValidation type="list" allowBlank="1" sqref="J5:J16">
      <formula1>"定額法,200%定率法,3年均等,特例"</formula1>
    </dataValidation>
  </dataValidations>
  <printOptions horizontalCentered="1"/>
  <pageMargins left="0.47244094488188981" right="0.19685039370078741" top="0.39370078740157483" bottom="0.23622047244094491" header="0" footer="0"/>
  <pageSetup paperSize="9" fitToHeight="0" pageOrder="overThenDown" orientation="portrait" blackAndWhite="1" horizontalDpi="0" verticalDpi="0" r:id="rId1"/>
  <headerFooter>
    <oddFooter>&amp;C&amp;"メイリオ,レギュラー"&amp;6&amp;A  &amp;P /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FF9966"/>
  </sheetPr>
  <dimension ref="A2:S26"/>
  <sheetViews>
    <sheetView workbookViewId="0"/>
  </sheetViews>
  <sheetFormatPr defaultColWidth="9" defaultRowHeight="18.75"/>
  <cols>
    <col min="1" max="1" width="10.625" style="474" customWidth="1"/>
    <col min="2" max="15" width="10.625" style="475" customWidth="1"/>
    <col min="16" max="16" width="12.375" style="475" customWidth="1"/>
    <col min="17" max="19" width="10.625" style="475" customWidth="1"/>
    <col min="20" max="16384" width="9" style="475"/>
  </cols>
  <sheetData>
    <row r="2" spans="1:19" ht="19.5" thickBot="1"/>
    <row r="3" spans="1:19" s="474" customFormat="1" ht="20.100000000000001" customHeight="1" thickTop="1">
      <c r="A3" s="476"/>
      <c r="B3" s="914" t="s">
        <v>371</v>
      </c>
      <c r="C3" s="915"/>
      <c r="D3" s="916"/>
      <c r="E3" s="914" t="s">
        <v>372</v>
      </c>
      <c r="F3" s="915"/>
      <c r="G3" s="916"/>
      <c r="H3" s="914" t="s">
        <v>373</v>
      </c>
      <c r="I3" s="915"/>
      <c r="J3" s="916"/>
      <c r="K3" s="914" t="s">
        <v>374</v>
      </c>
      <c r="L3" s="915"/>
      <c r="M3" s="917"/>
      <c r="P3" s="477" t="s">
        <v>375</v>
      </c>
      <c r="Q3" s="899" t="s">
        <v>376</v>
      </c>
      <c r="R3" s="900"/>
      <c r="S3" s="901"/>
    </row>
    <row r="4" spans="1:19" s="474" customFormat="1" ht="20.100000000000001" customHeight="1">
      <c r="A4" s="478"/>
      <c r="B4" s="902" t="s">
        <v>377</v>
      </c>
      <c r="C4" s="903"/>
      <c r="D4" s="904"/>
      <c r="E4" s="905" t="s">
        <v>378</v>
      </c>
      <c r="F4" s="906"/>
      <c r="G4" s="907"/>
      <c r="H4" s="902" t="s">
        <v>379</v>
      </c>
      <c r="I4" s="903"/>
      <c r="J4" s="904"/>
      <c r="K4" s="902" t="s">
        <v>380</v>
      </c>
      <c r="L4" s="903"/>
      <c r="M4" s="908"/>
      <c r="P4" s="479" t="s">
        <v>381</v>
      </c>
      <c r="Q4" s="909" t="s">
        <v>382</v>
      </c>
      <c r="R4" s="903"/>
      <c r="S4" s="908"/>
    </row>
    <row r="5" spans="1:19" s="474" customFormat="1" ht="20.100000000000001" customHeight="1" thickBot="1">
      <c r="A5" s="480"/>
      <c r="B5" s="481" t="s">
        <v>383</v>
      </c>
      <c r="C5" s="482" t="s">
        <v>384</v>
      </c>
      <c r="D5" s="483" t="s">
        <v>385</v>
      </c>
      <c r="E5" s="481" t="s">
        <v>383</v>
      </c>
      <c r="F5" s="482" t="s">
        <v>384</v>
      </c>
      <c r="G5" s="483" t="s">
        <v>385</v>
      </c>
      <c r="H5" s="481" t="s">
        <v>383</v>
      </c>
      <c r="I5" s="482" t="s">
        <v>384</v>
      </c>
      <c r="J5" s="483" t="s">
        <v>385</v>
      </c>
      <c r="K5" s="481" t="s">
        <v>383</v>
      </c>
      <c r="L5" s="482" t="s">
        <v>384</v>
      </c>
      <c r="M5" s="484" t="s">
        <v>385</v>
      </c>
      <c r="P5" s="485" t="s">
        <v>383</v>
      </c>
      <c r="Q5" s="486" t="s">
        <v>383</v>
      </c>
      <c r="R5" s="482" t="s">
        <v>384</v>
      </c>
      <c r="S5" s="484" t="s">
        <v>385</v>
      </c>
    </row>
    <row r="6" spans="1:19">
      <c r="A6" s="487">
        <v>2</v>
      </c>
      <c r="B6" s="488">
        <v>0.5</v>
      </c>
      <c r="C6" s="489" t="s">
        <v>386</v>
      </c>
      <c r="D6" s="490" t="s">
        <v>386</v>
      </c>
      <c r="E6" s="488">
        <v>1</v>
      </c>
      <c r="F6" s="491" t="s">
        <v>387</v>
      </c>
      <c r="G6" s="492" t="s">
        <v>387</v>
      </c>
      <c r="H6" s="488">
        <v>0.33400000000000002</v>
      </c>
      <c r="I6" s="489" t="s">
        <v>388</v>
      </c>
      <c r="J6" s="490" t="s">
        <v>388</v>
      </c>
      <c r="K6" s="493" t="s">
        <v>389</v>
      </c>
      <c r="L6" s="491" t="s">
        <v>389</v>
      </c>
      <c r="M6" s="494" t="s">
        <v>389</v>
      </c>
      <c r="P6" s="495">
        <v>0.5</v>
      </c>
      <c r="Q6" s="496">
        <v>1</v>
      </c>
      <c r="R6" s="489" t="s">
        <v>386</v>
      </c>
      <c r="S6" s="497" t="s">
        <v>386</v>
      </c>
    </row>
    <row r="7" spans="1:19">
      <c r="A7" s="498">
        <v>3</v>
      </c>
      <c r="B7" s="499">
        <v>0.33400000000000002</v>
      </c>
      <c r="C7" s="75" t="s">
        <v>386</v>
      </c>
      <c r="D7" s="500" t="s">
        <v>386</v>
      </c>
      <c r="E7" s="499">
        <v>0.66700000000000004</v>
      </c>
      <c r="F7" s="501">
        <v>1</v>
      </c>
      <c r="G7" s="502">
        <v>0.11089</v>
      </c>
      <c r="H7" s="499">
        <v>0.33400000000000002</v>
      </c>
      <c r="I7" s="75" t="s">
        <v>386</v>
      </c>
      <c r="J7" s="500" t="s">
        <v>386</v>
      </c>
      <c r="K7" s="499"/>
      <c r="L7" s="75"/>
      <c r="M7" s="18"/>
      <c r="P7" s="503">
        <v>0.33300000000000002</v>
      </c>
      <c r="Q7" s="504">
        <v>0.83299999999999996</v>
      </c>
      <c r="R7" s="501">
        <v>1</v>
      </c>
      <c r="S7" s="505">
        <v>2.7890000000000002E-2</v>
      </c>
    </row>
    <row r="8" spans="1:19">
      <c r="A8" s="498">
        <v>4</v>
      </c>
      <c r="B8" s="499">
        <v>0.25</v>
      </c>
      <c r="C8" s="75" t="s">
        <v>386</v>
      </c>
      <c r="D8" s="500" t="s">
        <v>386</v>
      </c>
      <c r="E8" s="499">
        <v>0.5</v>
      </c>
      <c r="F8" s="501">
        <v>1</v>
      </c>
      <c r="G8" s="502">
        <v>0.12499</v>
      </c>
      <c r="H8" s="499"/>
      <c r="I8" s="75"/>
      <c r="J8" s="500"/>
      <c r="K8" s="499"/>
      <c r="L8" s="75"/>
      <c r="M8" s="18"/>
      <c r="P8" s="503">
        <v>0.25</v>
      </c>
      <c r="Q8" s="504">
        <v>0.625</v>
      </c>
      <c r="R8" s="501">
        <v>1</v>
      </c>
      <c r="S8" s="505">
        <v>5.2740000000000002E-2</v>
      </c>
    </row>
    <row r="9" spans="1:19">
      <c r="A9" s="498">
        <v>5</v>
      </c>
      <c r="B9" s="499">
        <v>0.2</v>
      </c>
      <c r="C9" s="75" t="s">
        <v>386</v>
      </c>
      <c r="D9" s="500" t="s">
        <v>386</v>
      </c>
      <c r="E9" s="499">
        <v>0.4</v>
      </c>
      <c r="F9" s="501">
        <v>0.5</v>
      </c>
      <c r="G9" s="502">
        <v>0.108</v>
      </c>
      <c r="H9" s="499"/>
      <c r="I9" s="75"/>
      <c r="J9" s="500"/>
      <c r="K9" s="499"/>
      <c r="L9" s="75"/>
      <c r="M9" s="18"/>
      <c r="P9" s="503">
        <v>0.2</v>
      </c>
      <c r="Q9" s="504">
        <v>0.5</v>
      </c>
      <c r="R9" s="501">
        <v>1</v>
      </c>
      <c r="S9" s="505">
        <v>6.2489999999999997E-2</v>
      </c>
    </row>
    <row r="10" spans="1:19">
      <c r="A10" s="498">
        <v>6</v>
      </c>
      <c r="B10" s="499">
        <v>0.16700000000000001</v>
      </c>
      <c r="C10" s="75" t="s">
        <v>386</v>
      </c>
      <c r="D10" s="500" t="s">
        <v>386</v>
      </c>
      <c r="E10" s="499">
        <v>0.33300000000000002</v>
      </c>
      <c r="F10" s="501">
        <v>0.33400000000000002</v>
      </c>
      <c r="G10" s="502">
        <v>9.9110000000000004E-2</v>
      </c>
      <c r="H10" s="499"/>
      <c r="I10" s="75"/>
      <c r="J10" s="500"/>
      <c r="K10" s="499"/>
      <c r="L10" s="75"/>
      <c r="M10" s="18"/>
      <c r="P10" s="503">
        <v>0.16600000000000001</v>
      </c>
      <c r="Q10" s="504">
        <v>0.41699999999999998</v>
      </c>
      <c r="R10" s="501">
        <v>0.5</v>
      </c>
      <c r="S10" s="505">
        <v>5.7759999999999999E-2</v>
      </c>
    </row>
    <row r="11" spans="1:19">
      <c r="A11" s="498">
        <v>7</v>
      </c>
      <c r="B11" s="499">
        <v>0.14299999999999999</v>
      </c>
      <c r="C11" s="75" t="s">
        <v>386</v>
      </c>
      <c r="D11" s="500" t="s">
        <v>386</v>
      </c>
      <c r="E11" s="499">
        <v>0.28599999999999998</v>
      </c>
      <c r="F11" s="501">
        <v>0.33400000000000002</v>
      </c>
      <c r="G11" s="502">
        <v>8.6800000000000002E-2</v>
      </c>
      <c r="H11" s="499"/>
      <c r="I11" s="75"/>
      <c r="J11" s="500"/>
      <c r="K11" s="499"/>
      <c r="L11" s="75"/>
      <c r="M11" s="18"/>
      <c r="P11" s="503">
        <v>0.14199999999999999</v>
      </c>
      <c r="Q11" s="504">
        <v>0.35699999999999998</v>
      </c>
      <c r="R11" s="501">
        <v>0.5</v>
      </c>
      <c r="S11" s="505">
        <v>5.4960000000000002E-2</v>
      </c>
    </row>
    <row r="12" spans="1:19">
      <c r="A12" s="498">
        <v>8</v>
      </c>
      <c r="B12" s="499">
        <v>0.125</v>
      </c>
      <c r="C12" s="75" t="s">
        <v>386</v>
      </c>
      <c r="D12" s="500" t="s">
        <v>386</v>
      </c>
      <c r="E12" s="499">
        <v>0.25</v>
      </c>
      <c r="F12" s="501">
        <v>0.33400000000000002</v>
      </c>
      <c r="G12" s="502">
        <v>7.9089999999999994E-2</v>
      </c>
      <c r="H12" s="499"/>
      <c r="I12" s="75"/>
      <c r="J12" s="500"/>
      <c r="K12" s="499"/>
      <c r="L12" s="75"/>
      <c r="M12" s="18"/>
      <c r="P12" s="503">
        <v>0.125</v>
      </c>
      <c r="Q12" s="504">
        <v>0.313</v>
      </c>
      <c r="R12" s="501">
        <v>0.33400000000000002</v>
      </c>
      <c r="S12" s="505">
        <v>5.1110000000000003E-2</v>
      </c>
    </row>
    <row r="13" spans="1:19">
      <c r="A13" s="498">
        <v>9</v>
      </c>
      <c r="B13" s="499">
        <v>0.112</v>
      </c>
      <c r="C13" s="75" t="s">
        <v>386</v>
      </c>
      <c r="D13" s="500" t="s">
        <v>386</v>
      </c>
      <c r="E13" s="499">
        <v>0.222</v>
      </c>
      <c r="F13" s="501">
        <v>0.25</v>
      </c>
      <c r="G13" s="502">
        <v>7.1260000000000004E-2</v>
      </c>
      <c r="H13" s="499"/>
      <c r="I13" s="75"/>
      <c r="J13" s="500"/>
      <c r="K13" s="499"/>
      <c r="L13" s="75"/>
      <c r="M13" s="18"/>
      <c r="P13" s="503">
        <v>0.111</v>
      </c>
      <c r="Q13" s="504">
        <v>0.27800000000000002</v>
      </c>
      <c r="R13" s="501">
        <v>0.33400000000000002</v>
      </c>
      <c r="S13" s="505">
        <v>4.7309999999999998E-2</v>
      </c>
    </row>
    <row r="14" spans="1:19">
      <c r="A14" s="498">
        <v>10</v>
      </c>
      <c r="B14" s="499">
        <v>0.1</v>
      </c>
      <c r="C14" s="75" t="s">
        <v>386</v>
      </c>
      <c r="D14" s="500" t="s">
        <v>386</v>
      </c>
      <c r="E14" s="499">
        <v>0.2</v>
      </c>
      <c r="F14" s="501">
        <v>0.25</v>
      </c>
      <c r="G14" s="502">
        <v>6.5519999999999995E-2</v>
      </c>
      <c r="H14" s="499"/>
      <c r="I14" s="75"/>
      <c r="J14" s="500"/>
      <c r="K14" s="499"/>
      <c r="L14" s="75"/>
      <c r="M14" s="18"/>
      <c r="P14" s="503">
        <v>0.1</v>
      </c>
      <c r="Q14" s="504">
        <v>0.25</v>
      </c>
      <c r="R14" s="501">
        <v>0.33400000000000002</v>
      </c>
      <c r="S14" s="505">
        <v>4.4479999999999999E-2</v>
      </c>
    </row>
    <row r="15" spans="1:19">
      <c r="A15" s="498">
        <v>11</v>
      </c>
      <c r="B15" s="499">
        <v>9.0999999999999998E-2</v>
      </c>
      <c r="C15" s="75" t="s">
        <v>386</v>
      </c>
      <c r="D15" s="500" t="s">
        <v>386</v>
      </c>
      <c r="E15" s="499">
        <v>0.182</v>
      </c>
      <c r="F15" s="501">
        <v>0.2</v>
      </c>
      <c r="G15" s="502">
        <v>5.9920000000000001E-2</v>
      </c>
      <c r="H15" s="499"/>
      <c r="I15" s="75"/>
      <c r="J15" s="500"/>
      <c r="K15" s="499"/>
      <c r="L15" s="75"/>
      <c r="M15" s="18"/>
      <c r="P15" s="503">
        <v>0.09</v>
      </c>
      <c r="Q15" s="504">
        <v>0.22700000000000001</v>
      </c>
      <c r="R15" s="501">
        <v>0.25</v>
      </c>
      <c r="S15" s="505">
        <v>4.1230000000000003E-2</v>
      </c>
    </row>
    <row r="16" spans="1:19">
      <c r="A16" s="498">
        <v>12</v>
      </c>
      <c r="B16" s="499">
        <v>8.4000000000000005E-2</v>
      </c>
      <c r="C16" s="75" t="s">
        <v>386</v>
      </c>
      <c r="D16" s="500" t="s">
        <v>386</v>
      </c>
      <c r="E16" s="499">
        <v>0.16700000000000001</v>
      </c>
      <c r="F16" s="501">
        <v>0.2</v>
      </c>
      <c r="G16" s="502">
        <v>5.5660000000000001E-2</v>
      </c>
      <c r="H16" s="499"/>
      <c r="I16" s="75"/>
      <c r="J16" s="500"/>
      <c r="K16" s="499"/>
      <c r="L16" s="75"/>
      <c r="M16" s="18"/>
      <c r="P16" s="503">
        <v>8.3000000000000004E-2</v>
      </c>
      <c r="Q16" s="504">
        <v>0.20799999999999999</v>
      </c>
      <c r="R16" s="501">
        <v>0.25</v>
      </c>
      <c r="S16" s="505">
        <v>3.8699999999999998E-2</v>
      </c>
    </row>
    <row r="17" spans="1:19">
      <c r="A17" s="498">
        <v>13</v>
      </c>
      <c r="B17" s="499">
        <v>7.6999999999999999E-2</v>
      </c>
      <c r="C17" s="75" t="s">
        <v>386</v>
      </c>
      <c r="D17" s="500" t="s">
        <v>386</v>
      </c>
      <c r="E17" s="499">
        <v>0.154</v>
      </c>
      <c r="F17" s="501">
        <v>0.16700000000000001</v>
      </c>
      <c r="G17" s="502">
        <v>5.1799999999999999E-2</v>
      </c>
      <c r="H17" s="499"/>
      <c r="I17" s="75"/>
      <c r="J17" s="500"/>
      <c r="K17" s="499"/>
      <c r="L17" s="75"/>
      <c r="M17" s="18"/>
      <c r="P17" s="503">
        <v>7.5999999999999998E-2</v>
      </c>
      <c r="Q17" s="504">
        <v>0.192</v>
      </c>
      <c r="R17" s="501">
        <v>0.2</v>
      </c>
      <c r="S17" s="505">
        <v>3.6330000000000001E-2</v>
      </c>
    </row>
    <row r="18" spans="1:19">
      <c r="A18" s="498">
        <v>14</v>
      </c>
      <c r="B18" s="499">
        <v>7.1999999999999995E-2</v>
      </c>
      <c r="C18" s="75" t="s">
        <v>386</v>
      </c>
      <c r="D18" s="500" t="s">
        <v>386</v>
      </c>
      <c r="E18" s="499">
        <v>0.14299999999999999</v>
      </c>
      <c r="F18" s="501">
        <v>0.16700000000000001</v>
      </c>
      <c r="G18" s="502">
        <v>4.854E-2</v>
      </c>
      <c r="H18" s="499"/>
      <c r="I18" s="75"/>
      <c r="J18" s="500"/>
      <c r="K18" s="499"/>
      <c r="L18" s="75"/>
      <c r="M18" s="18"/>
      <c r="P18" s="503">
        <v>7.0999999999999994E-2</v>
      </c>
      <c r="Q18" s="504">
        <v>0.17899999999999999</v>
      </c>
      <c r="R18" s="501">
        <v>0.2</v>
      </c>
      <c r="S18" s="505">
        <v>3.3890000000000003E-2</v>
      </c>
    </row>
    <row r="19" spans="1:19">
      <c r="A19" s="498">
        <v>15</v>
      </c>
      <c r="B19" s="499">
        <v>6.7000000000000004E-2</v>
      </c>
      <c r="C19" s="75" t="s">
        <v>386</v>
      </c>
      <c r="D19" s="500" t="s">
        <v>386</v>
      </c>
      <c r="E19" s="499">
        <v>0.13300000000000001</v>
      </c>
      <c r="F19" s="501">
        <v>0.14299999999999999</v>
      </c>
      <c r="G19" s="502">
        <v>4.5650000000000003E-2</v>
      </c>
      <c r="H19" s="499"/>
      <c r="I19" s="75"/>
      <c r="J19" s="500"/>
      <c r="K19" s="499"/>
      <c r="L19" s="75"/>
      <c r="M19" s="18"/>
      <c r="P19" s="503">
        <v>6.6000000000000003E-2</v>
      </c>
      <c r="Q19" s="504">
        <v>0.16700000000000001</v>
      </c>
      <c r="R19" s="501">
        <v>0.2</v>
      </c>
      <c r="S19" s="505">
        <v>3.2169999999999997E-2</v>
      </c>
    </row>
    <row r="20" spans="1:19">
      <c r="A20" s="498">
        <v>16</v>
      </c>
      <c r="B20" s="499">
        <v>6.3E-2</v>
      </c>
      <c r="C20" s="75" t="s">
        <v>386</v>
      </c>
      <c r="D20" s="500" t="s">
        <v>386</v>
      </c>
      <c r="E20" s="499">
        <v>0.125</v>
      </c>
      <c r="F20" s="501">
        <v>0.14299999999999999</v>
      </c>
      <c r="G20" s="502">
        <v>4.2939999999999999E-2</v>
      </c>
      <c r="H20" s="499"/>
      <c r="I20" s="75"/>
      <c r="J20" s="500"/>
      <c r="K20" s="499"/>
      <c r="L20" s="75"/>
      <c r="M20" s="18"/>
      <c r="P20" s="503">
        <v>6.2E-2</v>
      </c>
      <c r="Q20" s="504">
        <v>0.156</v>
      </c>
      <c r="R20" s="501">
        <v>0.16700000000000001</v>
      </c>
      <c r="S20" s="505">
        <v>3.0630000000000001E-2</v>
      </c>
    </row>
    <row r="21" spans="1:19">
      <c r="A21" s="498">
        <v>17</v>
      </c>
      <c r="B21" s="499">
        <v>5.8999999999999997E-2</v>
      </c>
      <c r="C21" s="75" t="s">
        <v>386</v>
      </c>
      <c r="D21" s="500" t="s">
        <v>386</v>
      </c>
      <c r="E21" s="499">
        <v>0.11799999999999999</v>
      </c>
      <c r="F21" s="501">
        <v>0.125</v>
      </c>
      <c r="G21" s="502">
        <v>4.0379999999999999E-2</v>
      </c>
      <c r="H21" s="499"/>
      <c r="I21" s="75"/>
      <c r="J21" s="500"/>
      <c r="K21" s="499"/>
      <c r="L21" s="75"/>
      <c r="M21" s="18"/>
      <c r="P21" s="503">
        <v>5.8000000000000003E-2</v>
      </c>
      <c r="Q21" s="504">
        <v>0.14699999999999999</v>
      </c>
      <c r="R21" s="501">
        <v>0.16700000000000001</v>
      </c>
      <c r="S21" s="505">
        <v>2.9049999999999999E-2</v>
      </c>
    </row>
    <row r="22" spans="1:19">
      <c r="A22" s="498">
        <v>18</v>
      </c>
      <c r="B22" s="499">
        <v>5.6000000000000001E-2</v>
      </c>
      <c r="C22" s="75" t="s">
        <v>386</v>
      </c>
      <c r="D22" s="500" t="s">
        <v>386</v>
      </c>
      <c r="E22" s="499">
        <v>0.111</v>
      </c>
      <c r="F22" s="501">
        <v>0.112</v>
      </c>
      <c r="G22" s="502">
        <v>3.884E-2</v>
      </c>
      <c r="H22" s="499"/>
      <c r="I22" s="75"/>
      <c r="J22" s="500"/>
      <c r="K22" s="499"/>
      <c r="L22" s="75"/>
      <c r="M22" s="18"/>
      <c r="P22" s="503">
        <v>5.5E-2</v>
      </c>
      <c r="Q22" s="504">
        <v>0.13900000000000001</v>
      </c>
      <c r="R22" s="501">
        <v>0.14299999999999999</v>
      </c>
      <c r="S22" s="505">
        <v>2.7570000000000001E-2</v>
      </c>
    </row>
    <row r="23" spans="1:19">
      <c r="A23" s="498">
        <v>19</v>
      </c>
      <c r="B23" s="499">
        <v>5.2999999999999999E-2</v>
      </c>
      <c r="C23" s="75" t="s">
        <v>386</v>
      </c>
      <c r="D23" s="500" t="s">
        <v>386</v>
      </c>
      <c r="E23" s="499">
        <v>0.105</v>
      </c>
      <c r="F23" s="501">
        <v>0.112</v>
      </c>
      <c r="G23" s="502">
        <v>3.6929999999999998E-2</v>
      </c>
      <c r="H23" s="499"/>
      <c r="I23" s="75"/>
      <c r="J23" s="500"/>
      <c r="K23" s="499"/>
      <c r="L23" s="75"/>
      <c r="M23" s="18"/>
      <c r="P23" s="503">
        <v>5.1999999999999998E-2</v>
      </c>
      <c r="Q23" s="504">
        <v>0.13200000000000001</v>
      </c>
      <c r="R23" s="501">
        <v>0.14299999999999999</v>
      </c>
      <c r="S23" s="505">
        <v>2.6159999999999999E-2</v>
      </c>
    </row>
    <row r="24" spans="1:19" ht="19.5" thickBot="1">
      <c r="A24" s="506">
        <v>20</v>
      </c>
      <c r="B24" s="507">
        <v>0.05</v>
      </c>
      <c r="C24" s="508" t="s">
        <v>386</v>
      </c>
      <c r="D24" s="509" t="s">
        <v>386</v>
      </c>
      <c r="E24" s="507">
        <v>0.1</v>
      </c>
      <c r="F24" s="510">
        <v>0.112</v>
      </c>
      <c r="G24" s="511">
        <v>3.4860000000000002E-2</v>
      </c>
      <c r="H24" s="507"/>
      <c r="I24" s="508"/>
      <c r="J24" s="509"/>
      <c r="K24" s="507"/>
      <c r="L24" s="508"/>
      <c r="M24" s="512"/>
      <c r="P24" s="513">
        <v>0.05</v>
      </c>
      <c r="Q24" s="514">
        <v>0.125</v>
      </c>
      <c r="R24" s="515">
        <v>0.14299999999999999</v>
      </c>
      <c r="S24" s="516">
        <v>2.5170000000000001E-2</v>
      </c>
    </row>
    <row r="25" spans="1:19" ht="192" customHeight="1" thickTop="1" thickBot="1">
      <c r="B25" s="910" t="s">
        <v>390</v>
      </c>
      <c r="C25" s="911"/>
      <c r="D25" s="911"/>
      <c r="E25" s="912" t="s">
        <v>391</v>
      </c>
      <c r="F25" s="911"/>
      <c r="G25" s="911"/>
      <c r="H25" s="912" t="s">
        <v>392</v>
      </c>
      <c r="I25" s="911"/>
      <c r="J25" s="911"/>
      <c r="K25" s="912" t="s">
        <v>393</v>
      </c>
      <c r="L25" s="911"/>
      <c r="M25" s="913"/>
    </row>
    <row r="26" spans="1:19" ht="19.5" thickTop="1"/>
  </sheetData>
  <mergeCells count="14">
    <mergeCell ref="B25:D25"/>
    <mergeCell ref="E25:G25"/>
    <mergeCell ref="H25:J25"/>
    <mergeCell ref="K25:M25"/>
    <mergeCell ref="B3:D3"/>
    <mergeCell ref="E3:G3"/>
    <mergeCell ref="H3:J3"/>
    <mergeCell ref="K3:M3"/>
    <mergeCell ref="Q3:S3"/>
    <mergeCell ref="B4:D4"/>
    <mergeCell ref="E4:G4"/>
    <mergeCell ref="H4:J4"/>
    <mergeCell ref="K4:M4"/>
    <mergeCell ref="Q4:S4"/>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O30"/>
  <sheetViews>
    <sheetView zoomScaleNormal="100" workbookViewId="0">
      <selection activeCell="A2" sqref="A2"/>
    </sheetView>
  </sheetViews>
  <sheetFormatPr defaultColWidth="9" defaultRowHeight="20.100000000000001" customHeight="1"/>
  <cols>
    <col min="1" max="1" width="5.625" style="40" customWidth="1"/>
    <col min="2" max="2" width="20.625" style="40" customWidth="1"/>
    <col min="3" max="3" width="4.125" style="42" customWidth="1"/>
    <col min="4" max="4" width="15.625" style="40" customWidth="1"/>
    <col min="5" max="5" width="5.625" style="40" customWidth="1"/>
    <col min="6" max="6" width="20.625" style="40" customWidth="1"/>
    <col min="7" max="7" width="4.125" style="42" customWidth="1"/>
    <col min="8" max="8" width="15.625" style="42" customWidth="1"/>
    <col min="9" max="10" width="5.625" style="40" customWidth="1"/>
    <col min="11" max="11" width="20.625" style="40" customWidth="1"/>
    <col min="12" max="12" width="4.125" style="40" customWidth="1"/>
    <col min="13" max="13" width="15.625" style="40" customWidth="1"/>
    <col min="14" max="14" width="9.375" style="40" customWidth="1"/>
    <col min="15" max="15" width="10.625" style="40" customWidth="1"/>
    <col min="16" max="16384" width="9" style="40"/>
  </cols>
  <sheetData>
    <row r="1" spans="1:15" ht="31.5" customHeight="1">
      <c r="A1" s="873" t="s">
        <v>113</v>
      </c>
      <c r="B1" s="873"/>
      <c r="C1" s="873"/>
      <c r="D1" s="873"/>
      <c r="E1" s="873"/>
      <c r="F1" s="873"/>
      <c r="G1" s="873"/>
      <c r="H1" s="873"/>
      <c r="I1" s="873"/>
      <c r="J1" s="873"/>
      <c r="K1" s="873"/>
      <c r="L1" s="873"/>
      <c r="M1" s="873"/>
      <c r="N1" s="87"/>
      <c r="O1" s="87"/>
    </row>
    <row r="2" spans="1:15" ht="12.95" customHeight="1" thickBot="1">
      <c r="D2" s="41"/>
      <c r="H2" s="41"/>
      <c r="M2" s="53" t="str">
        <f>CONCATENATE(YEAR(設定メニュー!B2),"年",MONTH(設定メニュー!B2),"月",DAY(設定メニュー!B2),"日～12月31日")</f>
        <v>2017年1月1日～12月31日</v>
      </c>
    </row>
    <row r="3" spans="1:15" ht="30" customHeight="1" thickTop="1" thickBot="1">
      <c r="A3" s="918" t="s">
        <v>114</v>
      </c>
      <c r="B3" s="919"/>
      <c r="C3" s="920"/>
      <c r="D3" s="703" t="s">
        <v>115</v>
      </c>
      <c r="E3" s="918" t="s">
        <v>114</v>
      </c>
      <c r="F3" s="919"/>
      <c r="G3" s="920"/>
      <c r="H3" s="93" t="s">
        <v>115</v>
      </c>
      <c r="I3" s="919" t="s">
        <v>114</v>
      </c>
      <c r="J3" s="919"/>
      <c r="K3" s="919"/>
      <c r="L3" s="920"/>
      <c r="M3" s="93" t="s">
        <v>115</v>
      </c>
      <c r="O3" s="41"/>
    </row>
    <row r="4" spans="1:15" s="42" customFormat="1" ht="27.95" customHeight="1">
      <c r="A4" s="921" t="s">
        <v>116</v>
      </c>
      <c r="B4" s="922"/>
      <c r="C4" s="923" t="s">
        <v>117</v>
      </c>
      <c r="D4" s="925">
        <f ca="1">SUM(精算表!G14:G15)</f>
        <v>0</v>
      </c>
      <c r="E4" s="927" t="s">
        <v>118</v>
      </c>
      <c r="F4" s="111" t="s">
        <v>119</v>
      </c>
      <c r="G4" s="697" t="s">
        <v>120</v>
      </c>
      <c r="H4" s="114" t="str">
        <f ca="1">IFERROR(VLOOKUP(F4,精算表!$A$16:$G$32,6,0),"")</f>
        <v/>
      </c>
      <c r="I4" s="930" t="s">
        <v>121</v>
      </c>
      <c r="J4" s="933" t="s">
        <v>122</v>
      </c>
      <c r="K4" s="112" t="s">
        <v>123</v>
      </c>
      <c r="L4" s="190" t="s">
        <v>124</v>
      </c>
      <c r="M4" s="257"/>
      <c r="N4" s="81"/>
      <c r="O4" s="52"/>
    </row>
    <row r="5" spans="1:15" ht="27.95" customHeight="1">
      <c r="A5" s="938" t="s">
        <v>125</v>
      </c>
      <c r="B5" s="939"/>
      <c r="C5" s="924"/>
      <c r="D5" s="926"/>
      <c r="E5" s="928"/>
      <c r="F5" s="704" t="s">
        <v>126</v>
      </c>
      <c r="G5" s="186" t="s">
        <v>127</v>
      </c>
      <c r="H5" s="114">
        <f>IFERROR(VLOOKUP(F5,精算表!$A$16:$G$32,6,0),"")</f>
        <v>0</v>
      </c>
      <c r="I5" s="931"/>
      <c r="J5" s="934"/>
      <c r="K5" s="113"/>
      <c r="L5" s="191" t="s">
        <v>128</v>
      </c>
      <c r="M5" s="95"/>
      <c r="N5" s="83"/>
      <c r="O5" s="83"/>
    </row>
    <row r="6" spans="1:15" ht="27.95" customHeight="1">
      <c r="A6" s="949" t="s">
        <v>129</v>
      </c>
      <c r="B6" s="365" t="s">
        <v>130</v>
      </c>
      <c r="C6" s="186" t="s">
        <v>131</v>
      </c>
      <c r="D6" s="97"/>
      <c r="E6" s="928"/>
      <c r="F6" s="704" t="s">
        <v>132</v>
      </c>
      <c r="G6" s="186" t="s">
        <v>133</v>
      </c>
      <c r="H6" s="114" t="str">
        <f>IFERROR(VLOOKUP(F6,精算表!$A$16:$G$32,6,0),"")</f>
        <v/>
      </c>
      <c r="I6" s="931"/>
      <c r="J6" s="934"/>
      <c r="K6" s="113"/>
      <c r="L6" s="191" t="s">
        <v>134</v>
      </c>
      <c r="M6" s="95"/>
      <c r="N6" s="83"/>
      <c r="O6" s="83"/>
    </row>
    <row r="7" spans="1:15" ht="27.95" customHeight="1">
      <c r="A7" s="950"/>
      <c r="B7" s="94" t="s">
        <v>135</v>
      </c>
      <c r="C7" s="186" t="s">
        <v>136</v>
      </c>
      <c r="D7" s="97"/>
      <c r="E7" s="928"/>
      <c r="F7" s="704" t="s">
        <v>137</v>
      </c>
      <c r="G7" s="186" t="s">
        <v>138</v>
      </c>
      <c r="H7" s="114" t="str">
        <f>IFERROR(VLOOKUP(F7,精算表!$A$16:$G$32,6,0),"")</f>
        <v/>
      </c>
      <c r="I7" s="931"/>
      <c r="J7" s="935"/>
      <c r="K7" s="96" t="s">
        <v>139</v>
      </c>
      <c r="L7" s="191" t="s">
        <v>140</v>
      </c>
      <c r="M7" s="95">
        <f>SUM(M4:M6)</f>
        <v>0</v>
      </c>
      <c r="N7" s="83"/>
      <c r="O7" s="83"/>
    </row>
    <row r="8" spans="1:15" ht="27.95" customHeight="1">
      <c r="A8" s="950"/>
      <c r="B8" s="94" t="s">
        <v>141</v>
      </c>
      <c r="C8" s="186" t="s">
        <v>142</v>
      </c>
      <c r="D8" s="97">
        <f>D6+D7</f>
        <v>0</v>
      </c>
      <c r="E8" s="928"/>
      <c r="F8" s="704" t="s">
        <v>143</v>
      </c>
      <c r="G8" s="186" t="s">
        <v>144</v>
      </c>
      <c r="H8" s="114" t="str">
        <f ca="1">IFERROR(VLOOKUP(F8,精算表!$A$16:$G$32,6,0),"")</f>
        <v/>
      </c>
      <c r="I8" s="931"/>
      <c r="J8" s="952" t="s">
        <v>145</v>
      </c>
      <c r="K8" s="113" t="s">
        <v>146</v>
      </c>
      <c r="L8" s="191" t="s">
        <v>147</v>
      </c>
      <c r="M8" s="95"/>
      <c r="N8" s="83"/>
      <c r="O8" s="83"/>
    </row>
    <row r="9" spans="1:15" ht="27.95" customHeight="1">
      <c r="A9" s="950"/>
      <c r="B9" s="365" t="s">
        <v>148</v>
      </c>
      <c r="C9" s="186" t="s">
        <v>149</v>
      </c>
      <c r="D9" s="97"/>
      <c r="E9" s="928"/>
      <c r="F9" s="94" t="s">
        <v>150</v>
      </c>
      <c r="G9" s="186" t="s">
        <v>151</v>
      </c>
      <c r="H9" s="114" t="str">
        <f>IFERROR(VLOOKUP(F9,精算表!$A$16:$G$32,6,0),"")</f>
        <v/>
      </c>
      <c r="I9" s="931"/>
      <c r="J9" s="934"/>
      <c r="K9" s="113" t="s">
        <v>123</v>
      </c>
      <c r="L9" s="191" t="s">
        <v>152</v>
      </c>
      <c r="M9" s="95"/>
      <c r="N9" s="83"/>
      <c r="O9" s="83"/>
    </row>
    <row r="10" spans="1:15" ht="27.95" customHeight="1" thickBot="1">
      <c r="A10" s="951"/>
      <c r="B10" s="98" t="s">
        <v>153</v>
      </c>
      <c r="C10" s="187" t="s">
        <v>154</v>
      </c>
      <c r="D10" s="100">
        <f>D8-D9</f>
        <v>0</v>
      </c>
      <c r="E10" s="928"/>
      <c r="F10" s="94" t="s">
        <v>155</v>
      </c>
      <c r="G10" s="186" t="s">
        <v>156</v>
      </c>
      <c r="H10" s="114" t="str">
        <f>IFERROR(VLOOKUP(F10,精算表!$A$16:$G$32,6,0),"")</f>
        <v/>
      </c>
      <c r="I10" s="931"/>
      <c r="J10" s="934"/>
      <c r="K10" s="113"/>
      <c r="L10" s="191" t="s">
        <v>157</v>
      </c>
      <c r="M10" s="95"/>
      <c r="N10" s="83"/>
      <c r="O10" s="83"/>
    </row>
    <row r="11" spans="1:15" ht="27.95" customHeight="1" thickTop="1">
      <c r="A11" s="954" t="s">
        <v>158</v>
      </c>
      <c r="B11" s="955"/>
      <c r="C11" s="947" t="s">
        <v>159</v>
      </c>
      <c r="D11" s="936">
        <f ca="1">D4-D10</f>
        <v>0</v>
      </c>
      <c r="E11" s="928"/>
      <c r="F11" s="94" t="s">
        <v>160</v>
      </c>
      <c r="G11" s="186" t="s">
        <v>161</v>
      </c>
      <c r="H11" s="114" t="str">
        <f>IFERROR(VLOOKUP(F11,精算表!$A$16:$G$32,6,0),"")</f>
        <v/>
      </c>
      <c r="I11" s="931"/>
      <c r="J11" s="934"/>
      <c r="K11" s="113"/>
      <c r="L11" s="191" t="s">
        <v>162</v>
      </c>
      <c r="M11" s="95"/>
      <c r="N11" s="83"/>
      <c r="O11" s="83"/>
    </row>
    <row r="12" spans="1:15" ht="27.95" customHeight="1" thickBot="1">
      <c r="A12" s="956"/>
      <c r="B12" s="957"/>
      <c r="C12" s="958"/>
      <c r="D12" s="937"/>
      <c r="E12" s="928"/>
      <c r="F12" s="734" t="s">
        <v>61</v>
      </c>
      <c r="G12" s="186" t="s">
        <v>163</v>
      </c>
      <c r="H12" s="114" t="str">
        <f ca="1">IFERROR(VLOOKUP(F12,精算表!$A$16:$G$32,6,0),"")</f>
        <v/>
      </c>
      <c r="I12" s="932"/>
      <c r="J12" s="953"/>
      <c r="K12" s="101" t="s">
        <v>139</v>
      </c>
      <c r="L12" s="192" t="s">
        <v>164</v>
      </c>
      <c r="M12" s="102">
        <f>SUM(M8:M11)</f>
        <v>0</v>
      </c>
      <c r="N12" s="83"/>
      <c r="O12" s="83"/>
    </row>
    <row r="13" spans="1:15" ht="27.95" customHeight="1" thickTop="1" thickBot="1">
      <c r="A13" s="959" t="s">
        <v>118</v>
      </c>
      <c r="B13" s="103" t="s">
        <v>165</v>
      </c>
      <c r="C13" s="188" t="s">
        <v>95</v>
      </c>
      <c r="D13" s="104" t="str">
        <f ca="1">IFERROR(VLOOKUP(B13,精算表!$A$16:$G$32,6,0),"")</f>
        <v/>
      </c>
      <c r="E13" s="928"/>
      <c r="F13" s="734" t="s">
        <v>111</v>
      </c>
      <c r="G13" s="186" t="s">
        <v>166</v>
      </c>
      <c r="H13" s="114" t="str">
        <f ca="1">IFERROR(VLOOKUP(F13,精算表!$A$16:$G$32,6,0),"")</f>
        <v/>
      </c>
      <c r="I13" s="961" t="s">
        <v>428</v>
      </c>
      <c r="J13" s="961"/>
      <c r="K13" s="962"/>
      <c r="L13" s="193" t="s">
        <v>167</v>
      </c>
      <c r="M13" s="105">
        <f ca="1">H20+M7-M12</f>
        <v>0</v>
      </c>
      <c r="N13" s="83"/>
      <c r="O13" s="83"/>
    </row>
    <row r="14" spans="1:15" ht="27.95" customHeight="1" thickTop="1" thickBot="1">
      <c r="A14" s="950"/>
      <c r="B14" s="94" t="s">
        <v>168</v>
      </c>
      <c r="C14" s="186" t="s">
        <v>96</v>
      </c>
      <c r="D14" s="104" t="str">
        <f>IFERROR(VLOOKUP(B14,精算表!$A$16:$G$32,6,0),"")</f>
        <v/>
      </c>
      <c r="E14" s="928"/>
      <c r="F14" s="734" t="s">
        <v>169</v>
      </c>
      <c r="G14" s="186" t="s">
        <v>170</v>
      </c>
      <c r="H14" s="114" t="str">
        <f ca="1">IFERROR(VLOOKUP(F14,精算表!$A$16:$G$32,6,0),"")</f>
        <v/>
      </c>
      <c r="I14" s="963" t="s">
        <v>171</v>
      </c>
      <c r="J14" s="963"/>
      <c r="K14" s="964"/>
      <c r="L14" s="735" t="s">
        <v>172</v>
      </c>
      <c r="M14" s="736">
        <v>650000</v>
      </c>
      <c r="N14" s="83"/>
      <c r="O14" s="83"/>
    </row>
    <row r="15" spans="1:15" ht="27.95" customHeight="1" thickTop="1">
      <c r="A15" s="950"/>
      <c r="B15" s="94" t="s">
        <v>173</v>
      </c>
      <c r="C15" s="186" t="s">
        <v>97</v>
      </c>
      <c r="D15" s="104" t="str">
        <f>IFERROR(VLOOKUP(B15,精算表!$A$16:$G$32,6,0),"")</f>
        <v/>
      </c>
      <c r="E15" s="928"/>
      <c r="F15" s="734" t="s">
        <v>174</v>
      </c>
      <c r="G15" s="186" t="s">
        <v>175</v>
      </c>
      <c r="H15" s="114" t="str">
        <f ca="1">IFERROR(VLOOKUP(F15,精算表!$A$16:$G$32,6,0),"")</f>
        <v/>
      </c>
      <c r="I15" s="965" t="s">
        <v>176</v>
      </c>
      <c r="J15" s="965"/>
      <c r="K15" s="966"/>
      <c r="L15" s="941" t="s">
        <v>177</v>
      </c>
      <c r="M15" s="936">
        <f ca="1">IF(M13&lt;0,0,IF((M13-M14)&gt;M14,(M13-M14)-M14,M13))</f>
        <v>0</v>
      </c>
      <c r="N15" s="83"/>
      <c r="O15" s="83"/>
    </row>
    <row r="16" spans="1:15" ht="27.95" customHeight="1" thickBot="1">
      <c r="A16" s="950"/>
      <c r="B16" s="94" t="s">
        <v>178</v>
      </c>
      <c r="C16" s="186" t="s">
        <v>98</v>
      </c>
      <c r="D16" s="104" t="str">
        <f ca="1">IFERROR(VLOOKUP(B16,精算表!$A$16:$G$32,6,0),"")</f>
        <v/>
      </c>
      <c r="E16" s="928"/>
      <c r="F16" s="734"/>
      <c r="G16" s="186" t="s">
        <v>179</v>
      </c>
      <c r="H16" s="114" t="str">
        <f>IFERROR(VLOOKUP(F16,精算表!$A$16:$G$32,6,0),"")</f>
        <v/>
      </c>
      <c r="I16" s="967"/>
      <c r="J16" s="967"/>
      <c r="K16" s="968"/>
      <c r="L16" s="942"/>
      <c r="M16" s="940"/>
      <c r="N16" s="83"/>
      <c r="O16" s="83"/>
    </row>
    <row r="17" spans="1:15" ht="27.95" customHeight="1" thickTop="1">
      <c r="A17" s="950"/>
      <c r="B17" s="94" t="s">
        <v>62</v>
      </c>
      <c r="C17" s="186" t="s">
        <v>99</v>
      </c>
      <c r="D17" s="104" t="str">
        <f ca="1">IFERROR(VLOOKUP(B17,精算表!$A$16:$G$32,6,0),"")</f>
        <v/>
      </c>
      <c r="E17" s="928"/>
      <c r="F17" s="94" t="s">
        <v>180</v>
      </c>
      <c r="G17" s="186" t="s">
        <v>181</v>
      </c>
      <c r="H17" s="114"/>
      <c r="I17" s="106"/>
      <c r="J17" s="106"/>
      <c r="K17" s="106"/>
      <c r="L17" s="106"/>
      <c r="M17" s="107"/>
      <c r="N17" s="83"/>
      <c r="O17" s="83"/>
    </row>
    <row r="18" spans="1:15" ht="27.95" customHeight="1">
      <c r="A18" s="950"/>
      <c r="B18" s="94" t="s">
        <v>182</v>
      </c>
      <c r="C18" s="186" t="s">
        <v>90</v>
      </c>
      <c r="D18" s="104" t="str">
        <f>IFERROR(VLOOKUP(B18,精算表!$A$16:$G$32,6,0),"")</f>
        <v/>
      </c>
      <c r="E18" s="928"/>
      <c r="F18" s="94" t="s">
        <v>183</v>
      </c>
      <c r="G18" s="186" t="s">
        <v>184</v>
      </c>
      <c r="H18" s="114" t="str">
        <f ca="1">IFERROR(VLOOKUP(F18,精算表!$A$16:$G$32,6,0),"")</f>
        <v/>
      </c>
      <c r="I18" s="108"/>
      <c r="J18" s="108"/>
      <c r="K18" s="108"/>
      <c r="L18" s="108"/>
      <c r="M18" s="109"/>
      <c r="N18" s="83"/>
      <c r="O18" s="83"/>
    </row>
    <row r="19" spans="1:15" ht="27.95" customHeight="1" thickBot="1">
      <c r="A19" s="950"/>
      <c r="B19" s="94" t="s">
        <v>185</v>
      </c>
      <c r="C19" s="186" t="s">
        <v>92</v>
      </c>
      <c r="D19" s="104" t="str">
        <f ca="1">IFERROR(VLOOKUP(B19,精算表!$A$16:$G$32,6,0),"")</f>
        <v/>
      </c>
      <c r="E19" s="929"/>
      <c r="F19" s="99" t="s">
        <v>139</v>
      </c>
      <c r="G19" s="187" t="s">
        <v>186</v>
      </c>
      <c r="H19" s="102">
        <f ca="1">SUM(H4:H18,D13:D21)</f>
        <v>0</v>
      </c>
      <c r="I19" s="108"/>
      <c r="J19" s="108"/>
      <c r="K19" s="108"/>
      <c r="L19" s="108"/>
      <c r="M19" s="109"/>
      <c r="N19" s="83"/>
      <c r="O19" s="83"/>
    </row>
    <row r="20" spans="1:15" ht="27.95" customHeight="1" thickTop="1">
      <c r="A20" s="950"/>
      <c r="B20" s="94" t="s">
        <v>187</v>
      </c>
      <c r="C20" s="186" t="s">
        <v>93</v>
      </c>
      <c r="D20" s="104" t="str">
        <f>IFERROR(VLOOKUP(B20,精算表!$A$16:$G$32,6,0),"")</f>
        <v/>
      </c>
      <c r="E20" s="943" t="s">
        <v>188</v>
      </c>
      <c r="F20" s="944"/>
      <c r="G20" s="947" t="s">
        <v>189</v>
      </c>
      <c r="H20" s="936">
        <f ca="1">D11-H19</f>
        <v>0</v>
      </c>
      <c r="I20" s="108"/>
      <c r="J20" s="108"/>
      <c r="K20" s="108"/>
      <c r="L20" s="108"/>
      <c r="M20" s="109"/>
      <c r="N20" s="83"/>
      <c r="O20" s="83"/>
    </row>
    <row r="21" spans="1:15" ht="27.95" customHeight="1" thickBot="1">
      <c r="A21" s="960"/>
      <c r="B21" s="110" t="s">
        <v>30</v>
      </c>
      <c r="C21" s="189" t="s">
        <v>94</v>
      </c>
      <c r="D21" s="535" t="str">
        <f>IFERROR(VLOOKUP(B21,精算表!$A$16:$G$32,6,0),"")</f>
        <v/>
      </c>
      <c r="E21" s="945"/>
      <c r="F21" s="946"/>
      <c r="G21" s="948"/>
      <c r="H21" s="940"/>
      <c r="I21" s="108"/>
      <c r="J21" s="108"/>
      <c r="K21" s="108"/>
      <c r="L21" s="108"/>
      <c r="M21" s="109"/>
      <c r="N21" s="83"/>
      <c r="O21" s="83"/>
    </row>
    <row r="22" spans="1:15" ht="20.100000000000001" customHeight="1" thickTop="1">
      <c r="A22" s="82"/>
      <c r="B22" s="83"/>
      <c r="C22" s="86"/>
      <c r="D22" s="83"/>
      <c r="E22" s="83"/>
      <c r="F22" s="83"/>
      <c r="G22" s="86"/>
      <c r="H22" s="86"/>
      <c r="I22" s="83"/>
      <c r="J22" s="83"/>
      <c r="K22" s="83"/>
      <c r="L22" s="83"/>
      <c r="M22" s="83"/>
      <c r="N22" s="83"/>
      <c r="O22" s="83"/>
    </row>
    <row r="23" spans="1:15" ht="20.100000000000001" customHeight="1">
      <c r="A23" s="82"/>
      <c r="B23" s="83"/>
      <c r="C23" s="86"/>
      <c r="D23" s="83"/>
      <c r="E23" s="83"/>
      <c r="F23" s="83"/>
      <c r="G23" s="86"/>
      <c r="H23" s="86"/>
      <c r="I23" s="83"/>
      <c r="J23" s="83"/>
      <c r="K23" s="83"/>
      <c r="L23" s="83"/>
      <c r="M23" s="83"/>
      <c r="N23" s="83"/>
      <c r="O23" s="83"/>
    </row>
    <row r="24" spans="1:15" ht="20.100000000000001" customHeight="1">
      <c r="A24" s="82"/>
      <c r="B24" s="83"/>
      <c r="C24" s="86"/>
      <c r="D24" s="83"/>
      <c r="E24" s="83"/>
      <c r="F24" s="83"/>
      <c r="G24" s="86"/>
      <c r="H24" s="86"/>
      <c r="I24" s="83"/>
      <c r="J24" s="83"/>
      <c r="K24" s="83"/>
      <c r="L24" s="83"/>
      <c r="M24" s="83"/>
      <c r="N24" s="83"/>
      <c r="O24" s="83"/>
    </row>
    <row r="25" spans="1:15" ht="20.100000000000001" customHeight="1">
      <c r="A25" s="82"/>
      <c r="B25" s="83"/>
      <c r="C25" s="86"/>
      <c r="D25" s="83"/>
      <c r="E25" s="83"/>
      <c r="F25" s="83"/>
      <c r="G25" s="86"/>
      <c r="H25" s="86"/>
      <c r="I25" s="83"/>
      <c r="J25" s="83"/>
      <c r="K25" s="83"/>
      <c r="L25" s="83"/>
      <c r="M25" s="83"/>
      <c r="N25" s="83"/>
      <c r="O25" s="83"/>
    </row>
    <row r="26" spans="1:15" ht="20.100000000000001" customHeight="1">
      <c r="A26" s="82"/>
      <c r="B26" s="83"/>
      <c r="C26" s="86"/>
      <c r="D26" s="83"/>
      <c r="E26" s="83"/>
      <c r="F26" s="83"/>
      <c r="G26" s="86"/>
      <c r="H26" s="86"/>
      <c r="I26" s="83"/>
      <c r="J26" s="83"/>
      <c r="K26" s="83"/>
      <c r="L26" s="83"/>
      <c r="M26" s="83"/>
      <c r="N26" s="83"/>
      <c r="O26" s="83"/>
    </row>
    <row r="27" spans="1:15" ht="20.100000000000001" customHeight="1">
      <c r="A27" s="82"/>
      <c r="B27" s="83"/>
      <c r="C27" s="86"/>
      <c r="D27" s="83"/>
      <c r="E27" s="83"/>
      <c r="F27" s="83"/>
      <c r="G27" s="86"/>
      <c r="H27" s="86"/>
      <c r="I27" s="83"/>
      <c r="J27" s="83"/>
      <c r="K27" s="83"/>
      <c r="L27" s="83"/>
      <c r="M27" s="83"/>
      <c r="N27" s="83"/>
      <c r="O27" s="83"/>
    </row>
    <row r="28" spans="1:15" ht="20.100000000000001" customHeight="1">
      <c r="A28" s="82"/>
      <c r="B28" s="83"/>
      <c r="C28" s="86"/>
      <c r="D28" s="83"/>
      <c r="E28" s="83"/>
      <c r="F28" s="83"/>
      <c r="G28" s="86"/>
      <c r="H28" s="86"/>
      <c r="I28" s="83"/>
      <c r="J28" s="83"/>
      <c r="K28" s="83"/>
      <c r="L28" s="83"/>
      <c r="M28" s="83"/>
      <c r="N28" s="83"/>
      <c r="O28" s="83"/>
    </row>
    <row r="29" spans="1:15" ht="24.95" customHeight="1">
      <c r="A29" s="84"/>
      <c r="B29" s="83"/>
      <c r="C29" s="86"/>
      <c r="D29" s="83"/>
      <c r="E29" s="83"/>
      <c r="F29" s="83"/>
      <c r="G29" s="86"/>
      <c r="H29" s="86"/>
      <c r="I29" s="83"/>
      <c r="J29" s="83"/>
      <c r="K29" s="83"/>
      <c r="L29" s="83"/>
      <c r="M29" s="83"/>
      <c r="N29" s="83"/>
      <c r="O29" s="83"/>
    </row>
    <row r="30" spans="1:15" ht="30" customHeight="1">
      <c r="A30" s="85"/>
      <c r="B30" s="83"/>
      <c r="C30" s="86"/>
      <c r="D30" s="83"/>
      <c r="E30" s="83"/>
      <c r="F30" s="83"/>
      <c r="G30" s="86"/>
      <c r="H30" s="86"/>
      <c r="I30" s="83"/>
      <c r="J30" s="83"/>
      <c r="K30" s="83"/>
      <c r="L30" s="83"/>
      <c r="M30" s="83"/>
      <c r="N30" s="83"/>
      <c r="O30" s="83"/>
    </row>
  </sheetData>
  <mergeCells count="25">
    <mergeCell ref="E20:F21"/>
    <mergeCell ref="G20:G21"/>
    <mergeCell ref="H20:H21"/>
    <mergeCell ref="A6:A10"/>
    <mergeCell ref="J8:J12"/>
    <mergeCell ref="A11:B12"/>
    <mergeCell ref="C11:C12"/>
    <mergeCell ref="A13:A21"/>
    <mergeCell ref="I13:K13"/>
    <mergeCell ref="I14:K14"/>
    <mergeCell ref="I15:K16"/>
    <mergeCell ref="A1:M1"/>
    <mergeCell ref="A3:C3"/>
    <mergeCell ref="E3:G3"/>
    <mergeCell ref="I3:L3"/>
    <mergeCell ref="A4:B4"/>
    <mergeCell ref="C4:C5"/>
    <mergeCell ref="D4:D5"/>
    <mergeCell ref="E4:E19"/>
    <mergeCell ref="I4:I12"/>
    <mergeCell ref="J4:J7"/>
    <mergeCell ref="D11:D12"/>
    <mergeCell ref="A5:B5"/>
    <mergeCell ref="M15:M16"/>
    <mergeCell ref="L15:L16"/>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39997558519241921"/>
  </sheetPr>
  <dimension ref="A1:N30"/>
  <sheetViews>
    <sheetView zoomScaleNormal="100" workbookViewId="0">
      <selection activeCell="A2" sqref="A2"/>
    </sheetView>
  </sheetViews>
  <sheetFormatPr defaultColWidth="9" defaultRowHeight="20.100000000000001" customHeight="1"/>
  <cols>
    <col min="1" max="1" width="8.25" style="42" customWidth="1"/>
    <col min="2" max="2" width="18.625" style="42" customWidth="1"/>
    <col min="3" max="3" width="18.625" style="40" customWidth="1"/>
    <col min="4" max="4" width="5.625" style="40" customWidth="1"/>
    <col min="5" max="5" width="20.625" style="40" customWidth="1"/>
    <col min="6" max="6" width="48.625" style="150" customWidth="1"/>
    <col min="7" max="7" width="4.625" style="42" customWidth="1"/>
    <col min="8" max="8" width="18.625" style="40" customWidth="1"/>
    <col min="9" max="12" width="9.625" style="40" customWidth="1"/>
    <col min="13" max="13" width="9.375" style="40" customWidth="1"/>
    <col min="14" max="14" width="10.625" style="40" customWidth="1"/>
    <col min="15" max="16384" width="9" style="40"/>
  </cols>
  <sheetData>
    <row r="1" spans="1:14" ht="31.5" customHeight="1">
      <c r="A1" s="115"/>
      <c r="B1" s="116"/>
      <c r="C1" s="116"/>
      <c r="D1" s="116"/>
      <c r="E1" s="116"/>
      <c r="F1" s="117"/>
      <c r="G1" s="116"/>
      <c r="H1" s="53" t="str">
        <f>CONCATENATE(YEAR(設定メニュー!B2),"年",MONTH(設定メニュー!B2),"月",DAY(設定メニュー!B2),"日～12月31日")</f>
        <v>2017年1月1日～12月31日</v>
      </c>
      <c r="I1" s="116"/>
      <c r="J1" s="116"/>
      <c r="K1" s="116"/>
      <c r="L1" s="116"/>
      <c r="M1" s="87"/>
      <c r="N1" s="87"/>
    </row>
    <row r="2" spans="1:14" ht="12.75" customHeight="1">
      <c r="A2" s="118"/>
      <c r="B2" s="118"/>
      <c r="C2" s="119"/>
      <c r="D2" s="119"/>
      <c r="E2" s="119"/>
      <c r="F2" s="120"/>
      <c r="G2" s="118"/>
      <c r="H2" s="119"/>
      <c r="I2" s="119"/>
      <c r="J2" s="119"/>
      <c r="K2" s="119"/>
      <c r="L2" s="121"/>
    </row>
    <row r="3" spans="1:14" ht="30" customHeight="1" thickBot="1">
      <c r="A3" s="122" t="s">
        <v>429</v>
      </c>
      <c r="B3" s="123"/>
      <c r="C3" s="124"/>
      <c r="D3" s="123"/>
      <c r="E3" s="125" t="s">
        <v>430</v>
      </c>
      <c r="F3" s="120"/>
      <c r="G3" s="118"/>
      <c r="H3" s="119"/>
      <c r="I3" s="119"/>
      <c r="J3" s="119"/>
      <c r="K3" s="119"/>
      <c r="L3" s="118"/>
      <c r="N3" s="41"/>
    </row>
    <row r="4" spans="1:14" s="42" customFormat="1" ht="35.1" customHeight="1" thickTop="1" thickBot="1">
      <c r="A4" s="126" t="s">
        <v>191</v>
      </c>
      <c r="B4" s="127" t="s">
        <v>192</v>
      </c>
      <c r="C4" s="128" t="s">
        <v>193</v>
      </c>
      <c r="D4" s="129"/>
      <c r="E4" s="983"/>
      <c r="F4" s="984"/>
      <c r="G4" s="984"/>
      <c r="H4" s="130" t="s">
        <v>194</v>
      </c>
      <c r="I4" s="131"/>
      <c r="J4" s="132"/>
      <c r="K4" s="133"/>
      <c r="L4" s="134"/>
      <c r="M4" s="81"/>
      <c r="N4" s="52"/>
    </row>
    <row r="5" spans="1:14" ht="30" customHeight="1">
      <c r="A5" s="135">
        <v>1</v>
      </c>
      <c r="B5" s="366">
        <f>月間総括集計表!C14</f>
        <v>0</v>
      </c>
      <c r="C5" s="367"/>
      <c r="D5" s="129"/>
      <c r="E5" s="992" t="s">
        <v>195</v>
      </c>
      <c r="F5" s="993"/>
      <c r="G5" s="989" t="s">
        <v>431</v>
      </c>
      <c r="H5" s="1003"/>
      <c r="I5" s="131"/>
      <c r="J5" s="132"/>
      <c r="K5" s="133"/>
      <c r="L5" s="136"/>
      <c r="M5" s="83"/>
      <c r="N5" s="83"/>
    </row>
    <row r="6" spans="1:14" ht="30" customHeight="1">
      <c r="A6" s="137">
        <v>2</v>
      </c>
      <c r="B6" s="368">
        <f>月間総括集計表!D14</f>
        <v>0</v>
      </c>
      <c r="C6" s="369"/>
      <c r="D6" s="129"/>
      <c r="E6" s="994" t="s">
        <v>432</v>
      </c>
      <c r="F6" s="995"/>
      <c r="G6" s="990"/>
      <c r="H6" s="1004"/>
      <c r="I6" s="131"/>
      <c r="J6" s="132"/>
      <c r="K6" s="133"/>
      <c r="L6" s="136"/>
      <c r="M6" s="83"/>
      <c r="N6" s="83"/>
    </row>
    <row r="7" spans="1:14" ht="30" customHeight="1">
      <c r="A7" s="137">
        <v>3</v>
      </c>
      <c r="B7" s="366">
        <f>月間総括集計表!E14</f>
        <v>0</v>
      </c>
      <c r="C7" s="369"/>
      <c r="D7" s="129"/>
      <c r="E7" s="985" t="s">
        <v>433</v>
      </c>
      <c r="F7" s="986"/>
      <c r="G7" s="990" t="s">
        <v>434</v>
      </c>
      <c r="H7" s="1005">
        <f ca="1">青色申告決算書1!M13</f>
        <v>0</v>
      </c>
      <c r="I7" s="131"/>
      <c r="J7" s="132"/>
      <c r="K7" s="133"/>
      <c r="L7" s="136"/>
      <c r="M7" s="83"/>
      <c r="N7" s="83"/>
    </row>
    <row r="8" spans="1:14" ht="30" customHeight="1" thickBot="1">
      <c r="A8" s="137">
        <v>4</v>
      </c>
      <c r="B8" s="366">
        <f>月間総括集計表!F14</f>
        <v>0</v>
      </c>
      <c r="C8" s="369"/>
      <c r="D8" s="129"/>
      <c r="E8" s="987" t="s">
        <v>435</v>
      </c>
      <c r="F8" s="988"/>
      <c r="G8" s="991"/>
      <c r="H8" s="1006"/>
      <c r="I8" s="131"/>
      <c r="J8" s="132"/>
      <c r="K8" s="133"/>
      <c r="L8" s="136"/>
      <c r="M8" s="83"/>
      <c r="N8" s="83"/>
    </row>
    <row r="9" spans="1:14" ht="30" customHeight="1" thickTop="1">
      <c r="A9" s="137">
        <v>5</v>
      </c>
      <c r="B9" s="366">
        <f>月間総括集計表!G14</f>
        <v>0</v>
      </c>
      <c r="C9" s="369"/>
      <c r="D9" s="129"/>
      <c r="E9" s="978" t="s">
        <v>196</v>
      </c>
      <c r="F9" s="737" t="s">
        <v>197</v>
      </c>
      <c r="G9" s="981" t="s">
        <v>436</v>
      </c>
      <c r="H9" s="996">
        <f>IF(H5&lt;650000,H5,650000)</f>
        <v>0</v>
      </c>
      <c r="I9" s="131"/>
      <c r="J9" s="132"/>
      <c r="K9" s="133"/>
      <c r="L9" s="136"/>
      <c r="M9" s="83"/>
      <c r="N9" s="83"/>
    </row>
    <row r="10" spans="1:14" ht="30" customHeight="1">
      <c r="A10" s="137">
        <v>6</v>
      </c>
      <c r="B10" s="366">
        <f>月間総括集計表!H14</f>
        <v>0</v>
      </c>
      <c r="C10" s="369"/>
      <c r="D10" s="129"/>
      <c r="E10" s="979"/>
      <c r="F10" s="738" t="s">
        <v>198</v>
      </c>
      <c r="G10" s="982"/>
      <c r="H10" s="997"/>
      <c r="I10" s="131"/>
      <c r="J10" s="132"/>
      <c r="K10" s="133"/>
      <c r="L10" s="136"/>
      <c r="M10" s="83"/>
      <c r="N10" s="83"/>
    </row>
    <row r="11" spans="1:14" ht="30" customHeight="1">
      <c r="A11" s="138">
        <v>7</v>
      </c>
      <c r="B11" s="366">
        <f>月間総括集計表!I14</f>
        <v>0</v>
      </c>
      <c r="C11" s="369"/>
      <c r="D11" s="129"/>
      <c r="E11" s="979"/>
      <c r="F11" s="739" t="s">
        <v>171</v>
      </c>
      <c r="G11" s="973" t="s">
        <v>437</v>
      </c>
      <c r="H11" s="998">
        <f ca="1">IF(650000-H9&lt;H7,650000-H9,H7)</f>
        <v>0</v>
      </c>
      <c r="I11" s="131"/>
      <c r="J11" s="132"/>
      <c r="K11" s="133"/>
      <c r="L11" s="136"/>
      <c r="M11" s="83"/>
      <c r="N11" s="83"/>
    </row>
    <row r="12" spans="1:14" ht="30" customHeight="1" thickBot="1">
      <c r="A12" s="138">
        <v>8</v>
      </c>
      <c r="B12" s="366">
        <f>月間総括集計表!J14</f>
        <v>0</v>
      </c>
      <c r="C12" s="369"/>
      <c r="D12" s="129"/>
      <c r="E12" s="980"/>
      <c r="F12" s="740" t="s">
        <v>199</v>
      </c>
      <c r="G12" s="974"/>
      <c r="H12" s="997"/>
      <c r="I12" s="131"/>
      <c r="J12" s="132"/>
      <c r="K12" s="133"/>
      <c r="L12" s="136"/>
      <c r="M12" s="83"/>
      <c r="N12" s="83"/>
    </row>
    <row r="13" spans="1:14" ht="30" customHeight="1" thickTop="1">
      <c r="A13" s="137">
        <v>9</v>
      </c>
      <c r="B13" s="366">
        <f>月間総括集計表!K14</f>
        <v>0</v>
      </c>
      <c r="C13" s="369"/>
      <c r="D13" s="129"/>
      <c r="E13" s="975" t="s">
        <v>438</v>
      </c>
      <c r="F13" s="741" t="s">
        <v>200</v>
      </c>
      <c r="G13" s="969" t="s">
        <v>436</v>
      </c>
      <c r="H13" s="999">
        <f>IF(100000&gt;H5,H5,100000)</f>
        <v>0</v>
      </c>
      <c r="I13" s="139"/>
      <c r="J13" s="139"/>
      <c r="K13" s="133"/>
      <c r="L13" s="136"/>
      <c r="M13" s="83"/>
      <c r="N13" s="83"/>
    </row>
    <row r="14" spans="1:14" ht="30" customHeight="1">
      <c r="A14" s="137">
        <v>10</v>
      </c>
      <c r="B14" s="366">
        <f>月間総括集計表!L14</f>
        <v>0</v>
      </c>
      <c r="C14" s="369"/>
      <c r="D14" s="129"/>
      <c r="E14" s="976"/>
      <c r="F14" s="742" t="s">
        <v>198</v>
      </c>
      <c r="G14" s="970"/>
      <c r="H14" s="1000"/>
      <c r="I14" s="140"/>
      <c r="J14" s="140"/>
      <c r="K14" s="133"/>
      <c r="L14" s="136"/>
      <c r="M14" s="83"/>
      <c r="N14" s="83"/>
    </row>
    <row r="15" spans="1:14" ht="30" customHeight="1">
      <c r="A15" s="137">
        <v>11</v>
      </c>
      <c r="B15" s="366">
        <f>月間総括集計表!M14</f>
        <v>0</v>
      </c>
      <c r="C15" s="369"/>
      <c r="D15" s="129"/>
      <c r="E15" s="976"/>
      <c r="F15" s="743" t="s">
        <v>171</v>
      </c>
      <c r="G15" s="971" t="s">
        <v>205</v>
      </c>
      <c r="H15" s="1001">
        <f ca="1">IF((100000-H13)&lt;H7,100000-H13,H7)</f>
        <v>0</v>
      </c>
      <c r="I15" s="141"/>
      <c r="J15" s="141"/>
      <c r="K15" s="142"/>
      <c r="L15" s="63"/>
      <c r="M15" s="83"/>
      <c r="N15" s="83"/>
    </row>
    <row r="16" spans="1:14" ht="30" customHeight="1" thickBot="1">
      <c r="A16" s="137">
        <v>12</v>
      </c>
      <c r="B16" s="366">
        <f>月間総括集計表!N14</f>
        <v>0</v>
      </c>
      <c r="C16" s="369"/>
      <c r="D16" s="129"/>
      <c r="E16" s="977"/>
      <c r="F16" s="744" t="s">
        <v>201</v>
      </c>
      <c r="G16" s="972"/>
      <c r="H16" s="1002"/>
      <c r="I16" s="141"/>
      <c r="J16" s="141"/>
      <c r="K16" s="142"/>
      <c r="L16" s="63"/>
      <c r="M16" s="83"/>
      <c r="N16" s="83"/>
    </row>
    <row r="17" spans="1:14" ht="35.1" customHeight="1" thickTop="1">
      <c r="A17" s="143" t="s">
        <v>202</v>
      </c>
      <c r="B17" s="370"/>
      <c r="C17" s="371"/>
      <c r="D17" s="129"/>
      <c r="E17" s="63"/>
      <c r="F17" s="144"/>
      <c r="G17" s="136"/>
      <c r="H17" s="63"/>
      <c r="I17" s="63"/>
      <c r="J17" s="63"/>
      <c r="K17" s="63"/>
      <c r="L17" s="63"/>
      <c r="M17" s="83"/>
      <c r="N17" s="83"/>
    </row>
    <row r="18" spans="1:14" ht="35.1" customHeight="1" thickBot="1">
      <c r="A18" s="145" t="s">
        <v>203</v>
      </c>
      <c r="B18" s="372" t="str">
        <f ca="1">精算表!G15</f>
        <v/>
      </c>
      <c r="C18" s="373"/>
      <c r="D18" s="129"/>
      <c r="E18" s="63"/>
      <c r="F18" s="144"/>
      <c r="G18" s="136"/>
      <c r="H18" s="63"/>
      <c r="I18" s="63"/>
      <c r="J18" s="63"/>
      <c r="K18" s="63"/>
      <c r="L18" s="63"/>
      <c r="M18" s="83"/>
      <c r="N18" s="83"/>
    </row>
    <row r="19" spans="1:14" ht="35.1" customHeight="1" thickTop="1" thickBot="1">
      <c r="A19" s="146" t="s">
        <v>204</v>
      </c>
      <c r="B19" s="374">
        <f ca="1">SUM(B5:B18)</f>
        <v>0</v>
      </c>
      <c r="C19" s="375"/>
      <c r="D19" s="129"/>
      <c r="E19" s="147"/>
      <c r="F19" s="144"/>
      <c r="G19" s="136"/>
      <c r="H19" s="63"/>
      <c r="I19" s="63"/>
      <c r="J19" s="63"/>
      <c r="K19" s="63"/>
      <c r="L19" s="63"/>
      <c r="M19" s="83"/>
      <c r="N19" s="83"/>
    </row>
    <row r="20" spans="1:14" ht="27.95" customHeight="1" thickTop="1">
      <c r="A20" s="63"/>
      <c r="B20" s="148"/>
      <c r="C20" s="63"/>
      <c r="D20" s="63"/>
      <c r="E20" s="63"/>
      <c r="F20" s="144"/>
      <c r="G20" s="63"/>
      <c r="H20" s="63"/>
      <c r="I20" s="63"/>
      <c r="J20" s="63"/>
      <c r="K20" s="63"/>
      <c r="L20" s="63"/>
      <c r="M20" s="83"/>
      <c r="N20" s="83"/>
    </row>
    <row r="21" spans="1:14" ht="27.95" customHeight="1">
      <c r="A21" s="147"/>
      <c r="B21" s="17"/>
      <c r="C21" s="136"/>
      <c r="D21" s="63"/>
      <c r="E21" s="63"/>
      <c r="F21" s="144"/>
      <c r="G21" s="63"/>
      <c r="H21" s="63"/>
      <c r="I21" s="63"/>
      <c r="J21" s="63"/>
      <c r="K21" s="63"/>
      <c r="L21" s="63"/>
      <c r="M21" s="83"/>
      <c r="N21" s="83"/>
    </row>
    <row r="22" spans="1:14" ht="20.100000000000001" customHeight="1">
      <c r="A22" s="86"/>
      <c r="B22" s="86"/>
      <c r="C22" s="83"/>
      <c r="D22" s="83"/>
      <c r="E22" s="83"/>
      <c r="F22" s="149"/>
      <c r="G22" s="86"/>
      <c r="H22" s="83"/>
      <c r="I22" s="83"/>
      <c r="J22" s="83"/>
      <c r="K22" s="83"/>
      <c r="L22" s="83"/>
      <c r="M22" s="83"/>
      <c r="N22" s="83"/>
    </row>
    <row r="23" spans="1:14" ht="20.100000000000001" customHeight="1">
      <c r="A23" s="86"/>
      <c r="B23" s="86"/>
      <c r="C23" s="83"/>
      <c r="D23" s="83"/>
      <c r="E23" s="83"/>
      <c r="F23" s="149"/>
      <c r="G23" s="86"/>
      <c r="H23" s="83"/>
      <c r="I23" s="83"/>
      <c r="J23" s="83"/>
      <c r="K23" s="83"/>
      <c r="L23" s="83"/>
      <c r="M23" s="83"/>
      <c r="N23" s="83"/>
    </row>
    <row r="24" spans="1:14" ht="20.100000000000001" customHeight="1">
      <c r="A24" s="86"/>
      <c r="B24" s="86"/>
      <c r="C24" s="83"/>
      <c r="D24" s="83"/>
      <c r="E24" s="83"/>
      <c r="F24" s="149"/>
      <c r="G24" s="86"/>
      <c r="H24" s="83"/>
      <c r="I24" s="83"/>
      <c r="J24" s="83"/>
      <c r="K24" s="83"/>
      <c r="L24" s="83"/>
      <c r="M24" s="83"/>
      <c r="N24" s="83"/>
    </row>
    <row r="25" spans="1:14" ht="20.100000000000001" customHeight="1">
      <c r="A25" s="86"/>
      <c r="B25" s="86"/>
      <c r="C25" s="83"/>
      <c r="D25" s="83"/>
      <c r="E25" s="83"/>
      <c r="F25" s="149"/>
      <c r="G25" s="86"/>
      <c r="H25" s="83"/>
      <c r="I25" s="83"/>
      <c r="J25" s="83"/>
      <c r="K25" s="83"/>
      <c r="L25" s="83"/>
      <c r="M25" s="83"/>
      <c r="N25" s="83"/>
    </row>
    <row r="26" spans="1:14" ht="20.100000000000001" customHeight="1">
      <c r="A26" s="86"/>
      <c r="B26" s="86"/>
      <c r="C26" s="83"/>
      <c r="D26" s="83"/>
      <c r="E26" s="83"/>
      <c r="F26" s="149"/>
      <c r="G26" s="86"/>
      <c r="H26" s="83"/>
      <c r="I26" s="83"/>
      <c r="J26" s="83"/>
      <c r="K26" s="83"/>
      <c r="L26" s="83"/>
      <c r="M26" s="83"/>
      <c r="N26" s="83"/>
    </row>
    <row r="27" spans="1:14" ht="20.100000000000001" customHeight="1">
      <c r="A27" s="86"/>
      <c r="B27" s="86"/>
      <c r="C27" s="83"/>
      <c r="D27" s="83"/>
      <c r="E27" s="83"/>
      <c r="F27" s="149"/>
      <c r="G27" s="86"/>
      <c r="H27" s="83"/>
      <c r="I27" s="83"/>
      <c r="J27" s="83"/>
      <c r="K27" s="83"/>
      <c r="L27" s="83"/>
      <c r="M27" s="83"/>
      <c r="N27" s="83"/>
    </row>
    <row r="28" spans="1:14" ht="20.100000000000001" customHeight="1">
      <c r="A28" s="86"/>
      <c r="B28" s="86"/>
      <c r="C28" s="83"/>
      <c r="D28" s="83"/>
      <c r="E28" s="83"/>
      <c r="F28" s="149"/>
      <c r="G28" s="86"/>
      <c r="H28" s="83"/>
      <c r="I28" s="83"/>
      <c r="J28" s="83"/>
      <c r="K28" s="83"/>
      <c r="L28" s="83"/>
      <c r="M28" s="83"/>
      <c r="N28" s="83"/>
    </row>
    <row r="29" spans="1:14" ht="24.95" customHeight="1">
      <c r="A29" s="86"/>
      <c r="B29" s="86"/>
      <c r="C29" s="83"/>
      <c r="D29" s="83"/>
      <c r="E29" s="83"/>
      <c r="F29" s="149"/>
      <c r="G29" s="86"/>
      <c r="H29" s="83"/>
      <c r="I29" s="83"/>
      <c r="J29" s="83"/>
      <c r="K29" s="83"/>
      <c r="L29" s="83"/>
      <c r="M29" s="83"/>
      <c r="N29" s="83"/>
    </row>
    <row r="30" spans="1:14" ht="30" customHeight="1">
      <c r="A30" s="86"/>
      <c r="B30" s="86"/>
      <c r="C30" s="83"/>
      <c r="D30" s="83"/>
      <c r="E30" s="83"/>
      <c r="F30" s="149"/>
      <c r="G30" s="86"/>
      <c r="H30" s="83"/>
      <c r="I30" s="83"/>
      <c r="J30" s="83"/>
      <c r="K30" s="83"/>
      <c r="L30" s="83"/>
      <c r="M30" s="83"/>
      <c r="N30" s="83"/>
    </row>
  </sheetData>
  <mergeCells count="19">
    <mergeCell ref="H9:H10"/>
    <mergeCell ref="H11:H12"/>
    <mergeCell ref="H13:H14"/>
    <mergeCell ref="H15:H16"/>
    <mergeCell ref="H5:H6"/>
    <mergeCell ref="H7:H8"/>
    <mergeCell ref="E4:G4"/>
    <mergeCell ref="E7:F7"/>
    <mergeCell ref="E8:F8"/>
    <mergeCell ref="G5:G6"/>
    <mergeCell ref="G7:G8"/>
    <mergeCell ref="E5:F5"/>
    <mergeCell ref="E6:F6"/>
    <mergeCell ref="G13:G14"/>
    <mergeCell ref="G15:G16"/>
    <mergeCell ref="G11:G12"/>
    <mergeCell ref="E13:E16"/>
    <mergeCell ref="E9:E12"/>
    <mergeCell ref="G9:G10"/>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39997558519241921"/>
  </sheetPr>
  <dimension ref="A1:Q29"/>
  <sheetViews>
    <sheetView zoomScaleNormal="100" workbookViewId="0">
      <selection activeCell="A2" sqref="A2"/>
    </sheetView>
  </sheetViews>
  <sheetFormatPr defaultColWidth="9" defaultRowHeight="20.100000000000001" customHeight="1"/>
  <cols>
    <col min="1" max="1" width="15.625" style="40" customWidth="1"/>
    <col min="2" max="2" width="5.625" style="42" customWidth="1"/>
    <col min="3" max="3" width="3.625" style="42" customWidth="1"/>
    <col min="4" max="4" width="3.625" style="40" customWidth="1"/>
    <col min="5" max="6" width="11.625" style="40" customWidth="1"/>
    <col min="7" max="7" width="8.5" style="42" customWidth="1"/>
    <col min="8" max="8" width="4.625" style="42" customWidth="1"/>
    <col min="9" max="10" width="6.625" style="40" customWidth="1"/>
    <col min="11" max="11" width="11.625" style="40" customWidth="1"/>
    <col min="12" max="12" width="6.625" style="40" customWidth="1"/>
    <col min="13" max="13" width="11.625" style="40" customWidth="1"/>
    <col min="14" max="14" width="5.625" style="40" customWidth="1"/>
    <col min="15" max="16" width="11.625" style="40" customWidth="1"/>
    <col min="17" max="17" width="7.5" style="40" customWidth="1"/>
    <col min="18" max="16384" width="9" style="40"/>
  </cols>
  <sheetData>
    <row r="1" spans="1:17" ht="31.5" customHeight="1">
      <c r="A1" s="87"/>
      <c r="B1" s="87"/>
      <c r="C1" s="87"/>
      <c r="D1" s="87"/>
      <c r="E1" s="87"/>
      <c r="F1" s="87"/>
      <c r="G1" s="87"/>
      <c r="H1" s="87"/>
      <c r="I1" s="87"/>
      <c r="J1" s="87"/>
      <c r="K1" s="87"/>
      <c r="L1" s="87"/>
      <c r="M1" s="87"/>
      <c r="N1" s="87"/>
      <c r="O1" s="87"/>
      <c r="Q1" s="53" t="str">
        <f>CONCATENATE(YEAR(設定メニュー!B2),"年",MONTH(設定メニュー!B2),"月",DAY(設定メニュー!B2),"日～12月31日")</f>
        <v>2017年1月1日～12月31日</v>
      </c>
    </row>
    <row r="2" spans="1:17" ht="12.95" customHeight="1" thickBot="1">
      <c r="Q2" s="53"/>
    </row>
    <row r="3" spans="1:17" s="157" customFormat="1" ht="24.95" customHeight="1" thickTop="1">
      <c r="A3" s="1007" t="s">
        <v>439</v>
      </c>
      <c r="B3" s="1009" t="s">
        <v>220</v>
      </c>
      <c r="C3" s="1012" t="s">
        <v>440</v>
      </c>
      <c r="D3" s="1013"/>
      <c r="E3" s="781" t="s">
        <v>483</v>
      </c>
      <c r="F3" s="152" t="s">
        <v>441</v>
      </c>
      <c r="G3" s="1009" t="s">
        <v>442</v>
      </c>
      <c r="H3" s="1009" t="s">
        <v>443</v>
      </c>
      <c r="I3" s="153" t="s">
        <v>444</v>
      </c>
      <c r="J3" s="153" t="s">
        <v>222</v>
      </c>
      <c r="K3" s="154" t="s">
        <v>445</v>
      </c>
      <c r="L3" s="154" t="s">
        <v>446</v>
      </c>
      <c r="M3" s="152" t="s">
        <v>447</v>
      </c>
      <c r="N3" s="152" t="s">
        <v>448</v>
      </c>
      <c r="O3" s="155" t="s">
        <v>449</v>
      </c>
      <c r="P3" s="156" t="s">
        <v>450</v>
      </c>
      <c r="Q3" s="1020" t="s">
        <v>223</v>
      </c>
    </row>
    <row r="4" spans="1:17" s="159" customFormat="1" ht="24.95" customHeight="1">
      <c r="A4" s="1008"/>
      <c r="B4" s="1010"/>
      <c r="C4" s="1014"/>
      <c r="D4" s="1015"/>
      <c r="E4" s="698" t="s">
        <v>451</v>
      </c>
      <c r="F4" s="1023" t="s">
        <v>452</v>
      </c>
      <c r="G4" s="1010"/>
      <c r="H4" s="1010"/>
      <c r="I4" s="1018" t="s">
        <v>224</v>
      </c>
      <c r="J4" s="1018" t="s">
        <v>453</v>
      </c>
      <c r="K4" s="700" t="s">
        <v>454</v>
      </c>
      <c r="L4" s="1018" t="s">
        <v>455</v>
      </c>
      <c r="M4" s="701" t="s">
        <v>456</v>
      </c>
      <c r="N4" s="1023" t="s">
        <v>457</v>
      </c>
      <c r="O4" s="701" t="s">
        <v>458</v>
      </c>
      <c r="P4" s="158" t="s">
        <v>225</v>
      </c>
      <c r="Q4" s="1021"/>
    </row>
    <row r="5" spans="1:17" s="159" customFormat="1" ht="20.100000000000001" customHeight="1" thickBot="1">
      <c r="A5" s="160" t="s">
        <v>459</v>
      </c>
      <c r="B5" s="1011"/>
      <c r="C5" s="1016"/>
      <c r="D5" s="1017"/>
      <c r="E5" s="699" t="s">
        <v>226</v>
      </c>
      <c r="F5" s="1024"/>
      <c r="G5" s="1011"/>
      <c r="H5" s="1011"/>
      <c r="I5" s="1019"/>
      <c r="J5" s="1019"/>
      <c r="K5" s="702" t="s">
        <v>460</v>
      </c>
      <c r="L5" s="1019"/>
      <c r="M5" s="161" t="s">
        <v>461</v>
      </c>
      <c r="N5" s="1024"/>
      <c r="O5" s="161" t="s">
        <v>462</v>
      </c>
      <c r="P5" s="162" t="s">
        <v>463</v>
      </c>
      <c r="Q5" s="1022"/>
    </row>
    <row r="6" spans="1:17" ht="30" customHeight="1">
      <c r="A6" s="745">
        <f>減価償却資産台帳!B5</f>
        <v>0</v>
      </c>
      <c r="B6" s="518">
        <f>減価償却資産台帳!E5</f>
        <v>0</v>
      </c>
      <c r="C6" s="518">
        <f>減価償却資産台帳!F5</f>
        <v>0</v>
      </c>
      <c r="D6" s="519">
        <f>減価償却資産台帳!G5</f>
        <v>0</v>
      </c>
      <c r="E6" s="746">
        <f>減価償却資産台帳!H5</f>
        <v>0</v>
      </c>
      <c r="F6" s="746" t="str">
        <f>減価償却資産台帳!M5</f>
        <v/>
      </c>
      <c r="G6" s="747">
        <f>減価償却資産台帳!J5</f>
        <v>0</v>
      </c>
      <c r="H6" s="519">
        <f>減価償却資産台帳!K5</f>
        <v>0</v>
      </c>
      <c r="I6" s="521" t="str">
        <f>減価償却資産台帳!N5</f>
        <v/>
      </c>
      <c r="J6" s="521">
        <f>減価償却資産台帳!R5</f>
        <v>0</v>
      </c>
      <c r="K6" s="748" t="str">
        <f>減価償却資産台帳!S5</f>
        <v/>
      </c>
      <c r="L6" s="522">
        <f>減価償却資産台帳!T5</f>
        <v>0</v>
      </c>
      <c r="M6" s="749" t="str">
        <f>減価償却資産台帳!U5</f>
        <v/>
      </c>
      <c r="N6" s="750">
        <f>減価償却資産台帳!V5</f>
        <v>0</v>
      </c>
      <c r="O6" s="751" t="str">
        <f>減価償却資産台帳!U5</f>
        <v/>
      </c>
      <c r="P6" s="752" t="str">
        <f>減価償却資産台帳!X5</f>
        <v/>
      </c>
      <c r="Q6" s="523">
        <f>減価償却資産台帳!Y5</f>
        <v>0</v>
      </c>
    </row>
    <row r="7" spans="1:17" ht="30" customHeight="1">
      <c r="A7" s="745">
        <f>減価償却資産台帳!B6</f>
        <v>0</v>
      </c>
      <c r="B7" s="518">
        <f>減価償却資産台帳!E6</f>
        <v>0</v>
      </c>
      <c r="C7" s="518">
        <f>減価償却資産台帳!F6</f>
        <v>0</v>
      </c>
      <c r="D7" s="519">
        <f>減価償却資産台帳!G6</f>
        <v>0</v>
      </c>
      <c r="E7" s="746">
        <f>減価償却資産台帳!H6</f>
        <v>0</v>
      </c>
      <c r="F7" s="753" t="str">
        <f>減価償却資産台帳!M6</f>
        <v/>
      </c>
      <c r="G7" s="747">
        <f>減価償却資産台帳!J6</f>
        <v>0</v>
      </c>
      <c r="H7" s="519">
        <f>減価償却資産台帳!K6</f>
        <v>0</v>
      </c>
      <c r="I7" s="521" t="str">
        <f>減価償却資産台帳!N6</f>
        <v/>
      </c>
      <c r="J7" s="521">
        <f>減価償却資産台帳!R6</f>
        <v>0</v>
      </c>
      <c r="K7" s="748" t="str">
        <f>減価償却資産台帳!S6</f>
        <v/>
      </c>
      <c r="L7" s="522">
        <f>減価償却資産台帳!T6</f>
        <v>0</v>
      </c>
      <c r="M7" s="749" t="str">
        <f>減価償却資産台帳!U6</f>
        <v/>
      </c>
      <c r="N7" s="750">
        <f>減価償却資産台帳!V6</f>
        <v>0</v>
      </c>
      <c r="O7" s="751" t="str">
        <f>減価償却資産台帳!U6</f>
        <v/>
      </c>
      <c r="P7" s="752" t="str">
        <f>減価償却資産台帳!X6</f>
        <v/>
      </c>
      <c r="Q7" s="523">
        <f>減価償却資産台帳!Y6</f>
        <v>0</v>
      </c>
    </row>
    <row r="8" spans="1:17" ht="30" customHeight="1">
      <c r="A8" s="745">
        <f>減価償却資産台帳!B7</f>
        <v>0</v>
      </c>
      <c r="B8" s="518">
        <f>減価償却資産台帳!E7</f>
        <v>0</v>
      </c>
      <c r="C8" s="518">
        <f>減価償却資産台帳!F7</f>
        <v>0</v>
      </c>
      <c r="D8" s="519">
        <f>減価償却資産台帳!G7</f>
        <v>0</v>
      </c>
      <c r="E8" s="746">
        <f>減価償却資産台帳!H7</f>
        <v>0</v>
      </c>
      <c r="F8" s="753" t="str">
        <f>減価償却資産台帳!M7</f>
        <v/>
      </c>
      <c r="G8" s="747">
        <f>減価償却資産台帳!J7</f>
        <v>0</v>
      </c>
      <c r="H8" s="519">
        <f>減価償却資産台帳!K7</f>
        <v>0</v>
      </c>
      <c r="I8" s="521" t="str">
        <f>減価償却資産台帳!N7</f>
        <v/>
      </c>
      <c r="J8" s="521">
        <f>減価償却資産台帳!R7</f>
        <v>0</v>
      </c>
      <c r="K8" s="748" t="str">
        <f>減価償却資産台帳!S7</f>
        <v/>
      </c>
      <c r="L8" s="522">
        <f>減価償却資産台帳!T7</f>
        <v>0</v>
      </c>
      <c r="M8" s="749" t="str">
        <f>減価償却資産台帳!U7</f>
        <v/>
      </c>
      <c r="N8" s="750">
        <f>減価償却資産台帳!V7</f>
        <v>0</v>
      </c>
      <c r="O8" s="751" t="str">
        <f>減価償却資産台帳!U7</f>
        <v/>
      </c>
      <c r="P8" s="752" t="str">
        <f>減価償却資産台帳!X7</f>
        <v/>
      </c>
      <c r="Q8" s="523">
        <f>減価償却資産台帳!Y7</f>
        <v>0</v>
      </c>
    </row>
    <row r="9" spans="1:17" ht="30" customHeight="1">
      <c r="A9" s="745">
        <f>減価償却資産台帳!B8</f>
        <v>0</v>
      </c>
      <c r="B9" s="518">
        <f>減価償却資産台帳!E8</f>
        <v>0</v>
      </c>
      <c r="C9" s="518">
        <f>減価償却資産台帳!F8</f>
        <v>0</v>
      </c>
      <c r="D9" s="519">
        <f>減価償却資産台帳!G8</f>
        <v>0</v>
      </c>
      <c r="E9" s="746">
        <f>減価償却資産台帳!H8</f>
        <v>0</v>
      </c>
      <c r="F9" s="753" t="str">
        <f>減価償却資産台帳!M8</f>
        <v/>
      </c>
      <c r="G9" s="747">
        <f>減価償却資産台帳!J8</f>
        <v>0</v>
      </c>
      <c r="H9" s="519">
        <f>減価償却資産台帳!K8</f>
        <v>0</v>
      </c>
      <c r="I9" s="521" t="str">
        <f>減価償却資産台帳!N8</f>
        <v/>
      </c>
      <c r="J9" s="521">
        <f>減価償却資産台帳!R8</f>
        <v>0</v>
      </c>
      <c r="K9" s="748" t="str">
        <f>減価償却資産台帳!S8</f>
        <v/>
      </c>
      <c r="L9" s="522">
        <f>減価償却資産台帳!T8</f>
        <v>0</v>
      </c>
      <c r="M9" s="749" t="str">
        <f>減価償却資産台帳!U8</f>
        <v/>
      </c>
      <c r="N9" s="750">
        <f>減価償却資産台帳!V8</f>
        <v>0</v>
      </c>
      <c r="O9" s="751" t="str">
        <f>減価償却資産台帳!U8</f>
        <v/>
      </c>
      <c r="P9" s="752" t="str">
        <f>減価償却資産台帳!X8</f>
        <v/>
      </c>
      <c r="Q9" s="523">
        <f>減価償却資産台帳!Y8</f>
        <v>0</v>
      </c>
    </row>
    <row r="10" spans="1:17" ht="30" customHeight="1">
      <c r="A10" s="745">
        <f>減価償却資産台帳!B9</f>
        <v>0</v>
      </c>
      <c r="B10" s="518">
        <f>減価償却資産台帳!E9</f>
        <v>0</v>
      </c>
      <c r="C10" s="518">
        <f>減価償却資産台帳!F9</f>
        <v>0</v>
      </c>
      <c r="D10" s="519">
        <f>減価償却資産台帳!G9</f>
        <v>0</v>
      </c>
      <c r="E10" s="746">
        <f>減価償却資産台帳!H9</f>
        <v>0</v>
      </c>
      <c r="F10" s="753" t="str">
        <f>減価償却資産台帳!M9</f>
        <v/>
      </c>
      <c r="G10" s="747">
        <f>減価償却資産台帳!J9</f>
        <v>0</v>
      </c>
      <c r="H10" s="519">
        <f>減価償却資産台帳!K9</f>
        <v>0</v>
      </c>
      <c r="I10" s="521" t="str">
        <f>減価償却資産台帳!N9</f>
        <v/>
      </c>
      <c r="J10" s="521">
        <f>減価償却資産台帳!R9</f>
        <v>0</v>
      </c>
      <c r="K10" s="748" t="str">
        <f>減価償却資産台帳!S9</f>
        <v/>
      </c>
      <c r="L10" s="522">
        <f>減価償却資産台帳!T9</f>
        <v>0</v>
      </c>
      <c r="M10" s="749" t="str">
        <f>減価償却資産台帳!U9</f>
        <v/>
      </c>
      <c r="N10" s="750">
        <f>減価償却資産台帳!V9</f>
        <v>0</v>
      </c>
      <c r="O10" s="751" t="str">
        <f>減価償却資産台帳!U9</f>
        <v/>
      </c>
      <c r="P10" s="752" t="str">
        <f>減価償却資産台帳!X9</f>
        <v/>
      </c>
      <c r="Q10" s="523">
        <f>減価償却資産台帳!Y9</f>
        <v>0</v>
      </c>
    </row>
    <row r="11" spans="1:17" ht="30" customHeight="1">
      <c r="A11" s="745">
        <f>減価償却資産台帳!B10</f>
        <v>0</v>
      </c>
      <c r="B11" s="518">
        <f>減価償却資産台帳!E10</f>
        <v>0</v>
      </c>
      <c r="C11" s="518">
        <f>減価償却資産台帳!F10</f>
        <v>0</v>
      </c>
      <c r="D11" s="519">
        <f>減価償却資産台帳!G10</f>
        <v>0</v>
      </c>
      <c r="E11" s="746">
        <f>減価償却資産台帳!H10</f>
        <v>0</v>
      </c>
      <c r="F11" s="753" t="str">
        <f>減価償却資産台帳!M10</f>
        <v/>
      </c>
      <c r="G11" s="747">
        <f>減価償却資産台帳!J10</f>
        <v>0</v>
      </c>
      <c r="H11" s="519">
        <f>減価償却資産台帳!K10</f>
        <v>0</v>
      </c>
      <c r="I11" s="521" t="str">
        <f>減価償却資産台帳!N10</f>
        <v/>
      </c>
      <c r="J11" s="521">
        <f>減価償却資産台帳!R10</f>
        <v>0</v>
      </c>
      <c r="K11" s="748" t="str">
        <f>減価償却資産台帳!S10</f>
        <v/>
      </c>
      <c r="L11" s="522">
        <f>減価償却資産台帳!T10</f>
        <v>0</v>
      </c>
      <c r="M11" s="749" t="str">
        <f>減価償却資産台帳!U10</f>
        <v/>
      </c>
      <c r="N11" s="750">
        <f>減価償却資産台帳!V10</f>
        <v>0</v>
      </c>
      <c r="O11" s="751" t="str">
        <f>減価償却資産台帳!U10</f>
        <v/>
      </c>
      <c r="P11" s="752" t="str">
        <f>減価償却資産台帳!X10</f>
        <v/>
      </c>
      <c r="Q11" s="523">
        <f>減価償却資産台帳!Y10</f>
        <v>0</v>
      </c>
    </row>
    <row r="12" spans="1:17" ht="30" customHeight="1">
      <c r="A12" s="745">
        <f>減価償却資産台帳!B11</f>
        <v>0</v>
      </c>
      <c r="B12" s="518">
        <f>減価償却資産台帳!E11</f>
        <v>0</v>
      </c>
      <c r="C12" s="518">
        <f>減価償却資産台帳!F11</f>
        <v>0</v>
      </c>
      <c r="D12" s="519">
        <f>減価償却資産台帳!G11</f>
        <v>0</v>
      </c>
      <c r="E12" s="746">
        <f>減価償却資産台帳!H11</f>
        <v>0</v>
      </c>
      <c r="F12" s="753" t="str">
        <f>減価償却資産台帳!M11</f>
        <v/>
      </c>
      <c r="G12" s="747">
        <f>減価償却資産台帳!J11</f>
        <v>0</v>
      </c>
      <c r="H12" s="519">
        <f>減価償却資産台帳!K11</f>
        <v>0</v>
      </c>
      <c r="I12" s="521" t="str">
        <f>減価償却資産台帳!N11</f>
        <v/>
      </c>
      <c r="J12" s="521">
        <f>減価償却資産台帳!R11</f>
        <v>0</v>
      </c>
      <c r="K12" s="748" t="str">
        <f>減価償却資産台帳!S11</f>
        <v/>
      </c>
      <c r="L12" s="522">
        <f>減価償却資産台帳!T11</f>
        <v>0</v>
      </c>
      <c r="M12" s="749" t="str">
        <f>減価償却資産台帳!U11</f>
        <v/>
      </c>
      <c r="N12" s="750">
        <f>減価償却資産台帳!V11</f>
        <v>0</v>
      </c>
      <c r="O12" s="751" t="str">
        <f>減価償却資産台帳!U11</f>
        <v/>
      </c>
      <c r="P12" s="752" t="str">
        <f>減価償却資産台帳!X11</f>
        <v/>
      </c>
      <c r="Q12" s="523">
        <f>減価償却資産台帳!Y11</f>
        <v>0</v>
      </c>
    </row>
    <row r="13" spans="1:17" ht="30" customHeight="1">
      <c r="A13" s="745">
        <f>減価償却資産台帳!B12</f>
        <v>0</v>
      </c>
      <c r="B13" s="518">
        <f>減価償却資産台帳!E12</f>
        <v>0</v>
      </c>
      <c r="C13" s="518">
        <f>減価償却資産台帳!F12</f>
        <v>0</v>
      </c>
      <c r="D13" s="519">
        <f>減価償却資産台帳!G12</f>
        <v>0</v>
      </c>
      <c r="E13" s="746">
        <f>減価償却資産台帳!H12</f>
        <v>0</v>
      </c>
      <c r="F13" s="753" t="str">
        <f>減価償却資産台帳!M12</f>
        <v/>
      </c>
      <c r="G13" s="747">
        <f>減価償却資産台帳!J12</f>
        <v>0</v>
      </c>
      <c r="H13" s="519">
        <f>減価償却資産台帳!K12</f>
        <v>0</v>
      </c>
      <c r="I13" s="521" t="str">
        <f>減価償却資産台帳!N12</f>
        <v/>
      </c>
      <c r="J13" s="521">
        <f>減価償却資産台帳!R12</f>
        <v>0</v>
      </c>
      <c r="K13" s="748" t="str">
        <f>減価償却資産台帳!S12</f>
        <v/>
      </c>
      <c r="L13" s="522">
        <f>減価償却資産台帳!T12</f>
        <v>0</v>
      </c>
      <c r="M13" s="749" t="str">
        <f>減価償却資産台帳!U12</f>
        <v/>
      </c>
      <c r="N13" s="750">
        <f>減価償却資産台帳!V12</f>
        <v>0</v>
      </c>
      <c r="O13" s="751" t="str">
        <f>減価償却資産台帳!U12</f>
        <v/>
      </c>
      <c r="P13" s="752" t="str">
        <f>減価償却資産台帳!X12</f>
        <v/>
      </c>
      <c r="Q13" s="523">
        <f>減価償却資産台帳!Y12</f>
        <v>0</v>
      </c>
    </row>
    <row r="14" spans="1:17" ht="30" customHeight="1">
      <c r="A14" s="745">
        <f>減価償却資産台帳!B13</f>
        <v>0</v>
      </c>
      <c r="B14" s="518">
        <f>減価償却資産台帳!E13</f>
        <v>0</v>
      </c>
      <c r="C14" s="518">
        <f>減価償却資産台帳!F13</f>
        <v>0</v>
      </c>
      <c r="D14" s="519">
        <f>減価償却資産台帳!G13</f>
        <v>0</v>
      </c>
      <c r="E14" s="746">
        <f>減価償却資産台帳!H13</f>
        <v>0</v>
      </c>
      <c r="F14" s="753" t="str">
        <f>減価償却資産台帳!M13</f>
        <v/>
      </c>
      <c r="G14" s="747">
        <f>減価償却資産台帳!J13</f>
        <v>0</v>
      </c>
      <c r="H14" s="519">
        <f>減価償却資産台帳!K13</f>
        <v>0</v>
      </c>
      <c r="I14" s="521" t="str">
        <f>減価償却資産台帳!N13</f>
        <v/>
      </c>
      <c r="J14" s="521">
        <f>減価償却資産台帳!R13</f>
        <v>0</v>
      </c>
      <c r="K14" s="748" t="str">
        <f>減価償却資産台帳!S13</f>
        <v/>
      </c>
      <c r="L14" s="522">
        <f>減価償却資産台帳!T13</f>
        <v>0</v>
      </c>
      <c r="M14" s="749" t="str">
        <f>減価償却資産台帳!U13</f>
        <v/>
      </c>
      <c r="N14" s="750">
        <f>減価償却資産台帳!V13</f>
        <v>0</v>
      </c>
      <c r="O14" s="751" t="str">
        <f>減価償却資産台帳!U13</f>
        <v/>
      </c>
      <c r="P14" s="752" t="str">
        <f>減価償却資産台帳!X13</f>
        <v/>
      </c>
      <c r="Q14" s="523">
        <f>減価償却資産台帳!Y13</f>
        <v>0</v>
      </c>
    </row>
    <row r="15" spans="1:17" ht="30" customHeight="1">
      <c r="A15" s="745">
        <f>減価償却資産台帳!B14</f>
        <v>0</v>
      </c>
      <c r="B15" s="518">
        <f>減価償却資産台帳!E14</f>
        <v>0</v>
      </c>
      <c r="C15" s="518">
        <f>減価償却資産台帳!F14</f>
        <v>0</v>
      </c>
      <c r="D15" s="519">
        <f>減価償却資産台帳!G14</f>
        <v>0</v>
      </c>
      <c r="E15" s="746">
        <f>減価償却資産台帳!H14</f>
        <v>0</v>
      </c>
      <c r="F15" s="753" t="str">
        <f>減価償却資産台帳!M14</f>
        <v/>
      </c>
      <c r="G15" s="747">
        <f>減価償却資産台帳!J14</f>
        <v>0</v>
      </c>
      <c r="H15" s="519">
        <f>減価償却資産台帳!K14</f>
        <v>0</v>
      </c>
      <c r="I15" s="521" t="str">
        <f>減価償却資産台帳!N14</f>
        <v/>
      </c>
      <c r="J15" s="521">
        <f>減価償却資産台帳!R14</f>
        <v>0</v>
      </c>
      <c r="K15" s="748" t="str">
        <f>減価償却資産台帳!S14</f>
        <v/>
      </c>
      <c r="L15" s="522">
        <f>減価償却資産台帳!T14</f>
        <v>0</v>
      </c>
      <c r="M15" s="749" t="str">
        <f>減価償却資産台帳!U14</f>
        <v/>
      </c>
      <c r="N15" s="750">
        <f>減価償却資産台帳!V14</f>
        <v>0</v>
      </c>
      <c r="O15" s="751" t="str">
        <f>減価償却資産台帳!U14</f>
        <v/>
      </c>
      <c r="P15" s="752" t="str">
        <f>減価償却資産台帳!X14</f>
        <v/>
      </c>
      <c r="Q15" s="523">
        <f>減価償却資産台帳!Y14</f>
        <v>0</v>
      </c>
    </row>
    <row r="16" spans="1:17" ht="30" customHeight="1" thickBot="1">
      <c r="A16" s="745">
        <f>減価償却資産台帳!B15</f>
        <v>0</v>
      </c>
      <c r="B16" s="518">
        <f>減価償却資産台帳!E15</f>
        <v>0</v>
      </c>
      <c r="C16" s="518">
        <f>減価償却資産台帳!F15</f>
        <v>0</v>
      </c>
      <c r="D16" s="519">
        <f>減価償却資産台帳!G15</f>
        <v>0</v>
      </c>
      <c r="E16" s="746">
        <f>減価償却資産台帳!H15</f>
        <v>0</v>
      </c>
      <c r="F16" s="754" t="str">
        <f>減価償却資産台帳!M15</f>
        <v/>
      </c>
      <c r="G16" s="747">
        <f>減価償却資産台帳!J15</f>
        <v>0</v>
      </c>
      <c r="H16" s="519">
        <f>減価償却資産台帳!K15</f>
        <v>0</v>
      </c>
      <c r="I16" s="521" t="str">
        <f>減価償却資産台帳!N15</f>
        <v/>
      </c>
      <c r="J16" s="521">
        <f>減価償却資産台帳!R15</f>
        <v>0</v>
      </c>
      <c r="K16" s="748" t="str">
        <f>減価償却資産台帳!S15</f>
        <v/>
      </c>
      <c r="L16" s="522">
        <f>減価償却資産台帳!T15</f>
        <v>0</v>
      </c>
      <c r="M16" s="749" t="str">
        <f>減価償却資産台帳!U15</f>
        <v/>
      </c>
      <c r="N16" s="750">
        <f>減価償却資産台帳!V15</f>
        <v>0</v>
      </c>
      <c r="O16" s="751" t="str">
        <f>減価償却資産台帳!U15</f>
        <v/>
      </c>
      <c r="P16" s="752" t="str">
        <f>減価償却資産台帳!X15</f>
        <v/>
      </c>
      <c r="Q16" s="523">
        <f>減価償却資産台帳!Y15</f>
        <v>0</v>
      </c>
    </row>
    <row r="17" spans="1:17" ht="30" customHeight="1" thickTop="1" thickBot="1">
      <c r="A17" s="524"/>
      <c r="B17" s="525"/>
      <c r="C17" s="525"/>
      <c r="D17" s="526"/>
      <c r="E17" s="526"/>
      <c r="F17" s="526"/>
      <c r="G17" s="525"/>
      <c r="H17" s="526"/>
      <c r="I17" s="526"/>
      <c r="J17" s="526"/>
      <c r="K17" s="755">
        <f>SUM(K6:K16)</f>
        <v>0</v>
      </c>
      <c r="L17" s="527">
        <f>SUM(L6:L16)</f>
        <v>0</v>
      </c>
      <c r="M17" s="755">
        <f>SUM(M6:M16)</f>
        <v>0</v>
      </c>
      <c r="N17" s="528"/>
      <c r="O17" s="529">
        <f>SUM(O6:O16)</f>
        <v>0</v>
      </c>
      <c r="P17" s="530">
        <f>SUM(P6:P16)</f>
        <v>0</v>
      </c>
      <c r="Q17" s="531"/>
    </row>
    <row r="18" spans="1:17" ht="20.100000000000001" customHeight="1" thickTop="1">
      <c r="A18" s="63"/>
      <c r="B18" s="17"/>
      <c r="C18" s="17"/>
      <c r="D18" s="136"/>
      <c r="E18" s="167"/>
      <c r="F18" s="147"/>
      <c r="G18" s="17"/>
      <c r="H18" s="136"/>
      <c r="I18" s="63"/>
      <c r="J18" s="63"/>
      <c r="K18" s="63"/>
      <c r="L18" s="63"/>
      <c r="M18" s="63"/>
      <c r="N18" s="83"/>
      <c r="O18" s="83"/>
    </row>
    <row r="19" spans="1:17" ht="20.100000000000001" customHeight="1">
      <c r="A19" s="63"/>
      <c r="B19" s="17"/>
      <c r="C19" s="17"/>
      <c r="D19" s="136"/>
      <c r="E19" s="63"/>
      <c r="F19" s="63"/>
      <c r="G19" s="148"/>
      <c r="H19" s="63"/>
      <c r="I19" s="756"/>
      <c r="J19" s="63"/>
      <c r="K19" s="63"/>
      <c r="L19" s="63"/>
      <c r="M19" s="63"/>
      <c r="N19" s="83"/>
      <c r="O19" s="83"/>
    </row>
    <row r="20" spans="1:17" ht="20.100000000000001" customHeight="1">
      <c r="A20" s="63"/>
      <c r="B20" s="17"/>
      <c r="C20" s="17"/>
      <c r="D20" s="136"/>
      <c r="E20" s="63"/>
      <c r="F20" s="63"/>
      <c r="G20" s="148"/>
      <c r="H20" s="63"/>
      <c r="I20" s="63"/>
      <c r="J20" s="63"/>
      <c r="K20" s="63"/>
      <c r="L20" s="63"/>
      <c r="M20" s="63"/>
      <c r="N20" s="83"/>
      <c r="O20" s="83"/>
    </row>
    <row r="21" spans="1:17" ht="20.100000000000001" customHeight="1">
      <c r="A21" s="83"/>
      <c r="B21" s="86"/>
      <c r="C21" s="86"/>
      <c r="D21" s="83"/>
      <c r="E21" s="83"/>
      <c r="F21" s="83"/>
      <c r="G21" s="86"/>
      <c r="H21" s="86"/>
      <c r="I21" s="83"/>
      <c r="J21" s="83"/>
      <c r="K21" s="83"/>
      <c r="L21" s="83"/>
      <c r="M21" s="83"/>
      <c r="N21" s="83"/>
      <c r="O21" s="83"/>
    </row>
    <row r="22" spans="1:17" ht="20.100000000000001" customHeight="1">
      <c r="A22" s="83"/>
      <c r="B22" s="86"/>
      <c r="C22" s="86"/>
      <c r="D22" s="83"/>
      <c r="E22" s="83"/>
      <c r="F22" s="83"/>
      <c r="G22" s="86"/>
      <c r="H22" s="86"/>
      <c r="I22" s="83"/>
      <c r="J22" s="83"/>
      <c r="K22" s="83"/>
      <c r="L22" s="83"/>
      <c r="M22" s="83"/>
      <c r="N22" s="83"/>
      <c r="O22" s="83"/>
    </row>
    <row r="23" spans="1:17" ht="20.100000000000001" customHeight="1">
      <c r="A23" s="83"/>
      <c r="B23" s="86"/>
      <c r="C23" s="86"/>
      <c r="D23" s="83"/>
      <c r="E23" s="83"/>
      <c r="F23" s="83"/>
      <c r="G23" s="86"/>
      <c r="H23" s="86"/>
      <c r="I23" s="83"/>
      <c r="J23" s="83"/>
      <c r="K23" s="83"/>
      <c r="L23" s="83"/>
      <c r="M23" s="83"/>
      <c r="N23" s="83"/>
      <c r="O23" s="83"/>
    </row>
    <row r="24" spans="1:17" ht="20.100000000000001" customHeight="1">
      <c r="A24" s="83"/>
      <c r="B24" s="86"/>
      <c r="C24" s="86"/>
      <c r="D24" s="83"/>
      <c r="E24" s="83"/>
      <c r="F24" s="83"/>
      <c r="G24" s="86"/>
      <c r="H24" s="86"/>
      <c r="I24" s="83"/>
      <c r="J24" s="83"/>
      <c r="K24" s="83"/>
      <c r="L24" s="83"/>
      <c r="M24" s="83"/>
      <c r="N24" s="83"/>
      <c r="O24" s="83"/>
    </row>
    <row r="25" spans="1:17" ht="20.100000000000001" customHeight="1">
      <c r="A25" s="83"/>
      <c r="B25" s="86"/>
      <c r="C25" s="86"/>
      <c r="D25" s="83"/>
      <c r="E25" s="83"/>
      <c r="F25" s="83"/>
      <c r="G25" s="86"/>
      <c r="H25" s="86"/>
      <c r="I25" s="83"/>
      <c r="J25" s="83"/>
      <c r="K25" s="83"/>
      <c r="L25" s="83"/>
      <c r="M25" s="83"/>
      <c r="N25" s="83"/>
      <c r="O25" s="83"/>
    </row>
    <row r="26" spans="1:17" ht="20.100000000000001" customHeight="1">
      <c r="A26" s="83"/>
      <c r="B26" s="86"/>
      <c r="C26" s="86"/>
      <c r="D26" s="83"/>
      <c r="E26" s="83"/>
      <c r="F26" s="83"/>
      <c r="G26" s="86"/>
      <c r="H26" s="86"/>
      <c r="I26" s="83"/>
      <c r="J26" s="83"/>
      <c r="K26" s="83"/>
      <c r="L26" s="83"/>
      <c r="M26" s="83"/>
      <c r="N26" s="83"/>
      <c r="O26" s="83"/>
    </row>
    <row r="27" spans="1:17" ht="20.100000000000001" customHeight="1">
      <c r="A27" s="83"/>
      <c r="B27" s="86"/>
      <c r="C27" s="86"/>
      <c r="D27" s="83"/>
      <c r="E27" s="83"/>
      <c r="F27" s="83"/>
      <c r="G27" s="86"/>
      <c r="H27" s="86"/>
      <c r="I27" s="83"/>
      <c r="J27" s="83"/>
      <c r="K27" s="83"/>
      <c r="L27" s="83"/>
      <c r="M27" s="83"/>
      <c r="N27" s="83"/>
      <c r="O27" s="83"/>
    </row>
    <row r="28" spans="1:17" ht="30" customHeight="1">
      <c r="A28" s="83"/>
      <c r="B28" s="86"/>
      <c r="C28" s="86"/>
      <c r="D28" s="83"/>
      <c r="E28" s="83"/>
      <c r="F28" s="83"/>
      <c r="G28" s="86"/>
      <c r="H28" s="86"/>
      <c r="I28" s="83"/>
      <c r="J28" s="83"/>
      <c r="K28" s="83"/>
      <c r="L28" s="83"/>
      <c r="M28" s="83"/>
      <c r="N28" s="83"/>
      <c r="O28" s="83"/>
    </row>
    <row r="29" spans="1:17" ht="20.100000000000001" customHeight="1">
      <c r="A29" s="83"/>
      <c r="B29" s="86"/>
      <c r="C29" s="86"/>
      <c r="D29" s="83"/>
      <c r="E29" s="83"/>
      <c r="F29" s="83"/>
      <c r="G29" s="86"/>
      <c r="H29" s="86"/>
      <c r="I29" s="83"/>
      <c r="J29" s="83"/>
      <c r="K29" s="83"/>
      <c r="L29" s="83"/>
      <c r="M29" s="83"/>
      <c r="N29" s="83"/>
      <c r="O29" s="83"/>
    </row>
  </sheetData>
  <mergeCells count="11">
    <mergeCell ref="Q3:Q5"/>
    <mergeCell ref="F4:F5"/>
    <mergeCell ref="J4:J5"/>
    <mergeCell ref="L4:L5"/>
    <mergeCell ref="N4:N5"/>
    <mergeCell ref="A3:A4"/>
    <mergeCell ref="B3:B5"/>
    <mergeCell ref="G3:G5"/>
    <mergeCell ref="C3:D5"/>
    <mergeCell ref="I4:I5"/>
    <mergeCell ref="H3:H5"/>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39997558519241921"/>
  </sheetPr>
  <dimension ref="A1:F29"/>
  <sheetViews>
    <sheetView zoomScaleNormal="100" workbookViewId="0">
      <selection activeCell="A2" sqref="A2"/>
    </sheetView>
  </sheetViews>
  <sheetFormatPr defaultColWidth="9" defaultRowHeight="20.100000000000001" customHeight="1"/>
  <cols>
    <col min="1" max="1" width="23.625" style="42" customWidth="1"/>
    <col min="2" max="2" width="23.625" style="40" customWidth="1"/>
    <col min="3" max="4" width="23.625" style="42" customWidth="1"/>
    <col min="5" max="6" width="23.625" style="40" customWidth="1"/>
    <col min="7" max="16384" width="9" style="40"/>
  </cols>
  <sheetData>
    <row r="1" spans="1:6" ht="31.5" customHeight="1">
      <c r="A1" s="873" t="s">
        <v>227</v>
      </c>
      <c r="B1" s="873"/>
      <c r="C1" s="873"/>
      <c r="D1" s="873"/>
      <c r="E1" s="873"/>
      <c r="F1" s="873"/>
    </row>
    <row r="2" spans="1:6" ht="12.95" customHeight="1" thickBot="1">
      <c r="F2" s="53" t="str">
        <f>CONCATENATE(YEAR(設定メニュー!B2),"年",MONTH(設定メニュー!B2),"月",DAY(設定メニュー!B2),"日～12月31日")</f>
        <v>2017年1月1日～12月31日</v>
      </c>
    </row>
    <row r="3" spans="1:6" ht="24.95" customHeight="1" thickTop="1" thickBot="1">
      <c r="A3" s="1025" t="s">
        <v>228</v>
      </c>
      <c r="B3" s="1026"/>
      <c r="C3" s="1027"/>
      <c r="D3" s="1028" t="s">
        <v>229</v>
      </c>
      <c r="E3" s="1029"/>
      <c r="F3" s="1030"/>
    </row>
    <row r="4" spans="1:6" s="42" customFormat="1" ht="24.95" customHeight="1" thickBot="1">
      <c r="A4" s="169" t="s">
        <v>65</v>
      </c>
      <c r="B4" s="170" t="str">
        <f>設定メニュー!$D$2&amp;"(期首)"</f>
        <v>(期首)</v>
      </c>
      <c r="C4" s="171" t="s">
        <v>230</v>
      </c>
      <c r="D4" s="576" t="s">
        <v>65</v>
      </c>
      <c r="E4" s="537" t="str">
        <f>設定メニュー!$D$2&amp;"(期首)"</f>
        <v>(期首)</v>
      </c>
      <c r="F4" s="536" t="s">
        <v>230</v>
      </c>
    </row>
    <row r="5" spans="1:6" ht="20.100000000000001" customHeight="1">
      <c r="A5" s="135" t="s">
        <v>19</v>
      </c>
      <c r="B5" s="541">
        <f>IFERROR(VLOOKUP(A5,合計残高試算表!$A$5:$C$44,2,0),"")</f>
        <v>0</v>
      </c>
      <c r="C5" s="542" t="str">
        <f ca="1">IFERROR(VLOOKUP(A5,精算表!$A$5:$I$33,8,0),"")</f>
        <v/>
      </c>
      <c r="D5" s="577" t="s">
        <v>231</v>
      </c>
      <c r="E5" s="541" t="str">
        <f>IFERROR(VLOOKUP(D5,合計残高試算表!$A$5:$C$44,3,0),"")</f>
        <v/>
      </c>
      <c r="F5" s="538" t="str">
        <f>IFERROR(VLOOKUP(D5,精算表!$A$5:$I$33,9,0),"")</f>
        <v/>
      </c>
    </row>
    <row r="6" spans="1:6" ht="20.100000000000001" customHeight="1">
      <c r="A6" s="138" t="s">
        <v>232</v>
      </c>
      <c r="B6" s="541" t="str">
        <f>IFERROR(VLOOKUP(A6,合計残高試算表!$A$5:$C$44,2,0),"")</f>
        <v/>
      </c>
      <c r="C6" s="542" t="str">
        <f>IFERROR(VLOOKUP(A6,精算表!$A$5:$I$33,8,0),"")</f>
        <v/>
      </c>
      <c r="D6" s="578" t="s">
        <v>233</v>
      </c>
      <c r="E6" s="541" t="str">
        <f>IFERROR(VLOOKUP(D6,合計残高試算表!$A$5:$C$44,3,0),"")</f>
        <v/>
      </c>
      <c r="F6" s="539" t="str">
        <f>IFERROR(VLOOKUP(D6,精算表!$A$5:$I$33,9,0),"")</f>
        <v/>
      </c>
    </row>
    <row r="7" spans="1:6" ht="20.100000000000001" customHeight="1">
      <c r="A7" s="138" t="s">
        <v>234</v>
      </c>
      <c r="B7" s="541" t="str">
        <f>IFERROR(VLOOKUP(A7,合計残高試算表!$A$5:$C$44,2,0),"")</f>
        <v/>
      </c>
      <c r="C7" s="542" t="str">
        <f>IFERROR(VLOOKUP(A7,精算表!$A$5:$I$33,8,0),"")</f>
        <v/>
      </c>
      <c r="D7" s="578" t="s">
        <v>235</v>
      </c>
      <c r="E7" s="541" t="str">
        <f>IFERROR(VLOOKUP(D7,合計残高試算表!$A$5:$C$44,3,0),"")</f>
        <v/>
      </c>
      <c r="F7" s="539" t="str">
        <f>IFERROR(VLOOKUP(D7,精算表!$A$5:$I$33,9,0),"")</f>
        <v/>
      </c>
    </row>
    <row r="8" spans="1:6" ht="20.100000000000001" customHeight="1">
      <c r="A8" s="757" t="s">
        <v>20</v>
      </c>
      <c r="B8" s="758">
        <f>IFERROR(VLOOKUP(A8,合計残高試算表!$A$5:$C$44,2,0),"")</f>
        <v>0</v>
      </c>
      <c r="C8" s="542" t="str">
        <f ca="1">IFERROR(VLOOKUP(A8,精算表!$A$5:$I$33,8,0),"")</f>
        <v/>
      </c>
      <c r="D8" s="578" t="s">
        <v>236</v>
      </c>
      <c r="E8" s="541">
        <f>IFERROR(VLOOKUP(D8,合計残高試算表!$A$5:$C$44,3,0),"")</f>
        <v>0</v>
      </c>
      <c r="F8" s="539" t="str">
        <f ca="1">IFERROR(VLOOKUP(D8,精算表!$A$5:$I$33,9,0),"")</f>
        <v/>
      </c>
    </row>
    <row r="9" spans="1:6" ht="20.100000000000001" customHeight="1">
      <c r="A9" s="138" t="s">
        <v>237</v>
      </c>
      <c r="B9" s="541" t="str">
        <f>IFERROR(VLOOKUP(A9,合計残高試算表!$A$5:$C$44,2,0),"")</f>
        <v/>
      </c>
      <c r="C9" s="542" t="str">
        <f>IFERROR(VLOOKUP(A9,精算表!$A$5:$I$33,8,0),"")</f>
        <v/>
      </c>
      <c r="D9" s="578" t="s">
        <v>238</v>
      </c>
      <c r="E9" s="541" t="str">
        <f>IFERROR(VLOOKUP(D9,合計残高試算表!$A$5:$C$44,3,0),"")</f>
        <v/>
      </c>
      <c r="F9" s="539" t="str">
        <f>IFERROR(VLOOKUP(D9,精算表!$A$5:$I$33,9,0),"")</f>
        <v/>
      </c>
    </row>
    <row r="10" spans="1:6" ht="20.100000000000001" customHeight="1">
      <c r="A10" s="138" t="s">
        <v>239</v>
      </c>
      <c r="B10" s="541">
        <f>IFERROR(VLOOKUP(A10,合計残高試算表!$A$5:$C$44,2,0),"")</f>
        <v>0</v>
      </c>
      <c r="C10" s="542" t="str">
        <f ca="1">IFERROR(VLOOKUP(A10,精算表!$A$5:$I$33,8,0),"")</f>
        <v/>
      </c>
      <c r="D10" s="578" t="s">
        <v>240</v>
      </c>
      <c r="E10" s="541" t="str">
        <f>IFERROR(VLOOKUP(D10,合計残高試算表!$A$5:$C$44,3,0),"")</f>
        <v/>
      </c>
      <c r="F10" s="539" t="str">
        <f>IFERROR(VLOOKUP(D10,精算表!$A$5:$I$33,9,0),"")</f>
        <v/>
      </c>
    </row>
    <row r="11" spans="1:6" ht="20.100000000000001" customHeight="1">
      <c r="A11" s="138" t="s">
        <v>241</v>
      </c>
      <c r="B11" s="541" t="str">
        <f>IFERROR(VLOOKUP(A11,合計残高試算表!$A$5:$C$44,2,0),"")</f>
        <v/>
      </c>
      <c r="C11" s="542" t="str">
        <f>IFERROR(VLOOKUP(A11,精算表!$A$5:$I$33,8,0),"")</f>
        <v/>
      </c>
      <c r="D11" s="759"/>
      <c r="E11" s="541" t="str">
        <f>IFERROR(VLOOKUP(D11,合計残高試算表!$A$5:$C$44,3,0),"")</f>
        <v/>
      </c>
      <c r="F11" s="539" t="str">
        <f>IFERROR(VLOOKUP(D11,精算表!$A$5:$I$33,9,0),"")</f>
        <v/>
      </c>
    </row>
    <row r="12" spans="1:6" ht="20.100000000000001" customHeight="1">
      <c r="A12" s="138" t="s">
        <v>242</v>
      </c>
      <c r="B12" s="541" t="str">
        <f>IFERROR(VLOOKUP(A12,合計残高試算表!$A$5:$C$44,2,0),"")</f>
        <v/>
      </c>
      <c r="C12" s="542" t="str">
        <f>IFERROR(VLOOKUP(A12,精算表!$A$5:$I$33,8,0),"")</f>
        <v/>
      </c>
      <c r="D12" s="759"/>
      <c r="E12" s="541" t="str">
        <f>IFERROR(VLOOKUP(D12,合計残高試算表!$A$5:$C$44,3,0),"")</f>
        <v/>
      </c>
      <c r="F12" s="539" t="str">
        <f>IFERROR(VLOOKUP(D12,精算表!$A$5:$I$33,9,0),"")</f>
        <v/>
      </c>
    </row>
    <row r="13" spans="1:6" ht="20.100000000000001" customHeight="1">
      <c r="A13" s="138" t="s">
        <v>243</v>
      </c>
      <c r="B13" s="541" t="str">
        <f>IFERROR(VLOOKUP(A13,合計残高試算表!$A$5:$C$44,2,0),"")</f>
        <v/>
      </c>
      <c r="C13" s="542" t="str">
        <f>IFERROR(VLOOKUP(A13,精算表!$A$5:$I$33,8,0),"")</f>
        <v/>
      </c>
      <c r="D13" s="759"/>
      <c r="E13" s="541" t="str">
        <f>IFERROR(VLOOKUP(D13,合計残高試算表!$A$5:$C$44,3,0),"")</f>
        <v/>
      </c>
      <c r="F13" s="539" t="str">
        <f>IFERROR(VLOOKUP(D13,精算表!$A$5:$I$33,9,0),"")</f>
        <v/>
      </c>
    </row>
    <row r="14" spans="1:6" ht="20.100000000000001" customHeight="1">
      <c r="A14" s="172" t="s">
        <v>244</v>
      </c>
      <c r="B14" s="541" t="str">
        <f>IFERROR(VLOOKUP(A14,合計残高試算表!$A$5:$C$44,2,0),"")</f>
        <v/>
      </c>
      <c r="C14" s="542" t="str">
        <f>IFERROR(VLOOKUP(A14,精算表!$A$5:$I$33,8,0),"")</f>
        <v/>
      </c>
      <c r="D14" s="759"/>
      <c r="E14" s="541" t="str">
        <f>IFERROR(VLOOKUP(D14,合計残高試算表!$A$5:$C$44,3,0),"")</f>
        <v/>
      </c>
      <c r="F14" s="539" t="str">
        <f>IFERROR(VLOOKUP(D14,精算表!$A$5:$I$33,9,0),"")</f>
        <v/>
      </c>
    </row>
    <row r="15" spans="1:6" ht="20.100000000000001" customHeight="1">
      <c r="A15" s="138" t="s">
        <v>245</v>
      </c>
      <c r="B15" s="541" t="str">
        <f>IFERROR(VLOOKUP(A15,合計残高試算表!$A$5:$C$44,2,0),"")</f>
        <v/>
      </c>
      <c r="C15" s="542" t="str">
        <f>IFERROR(VLOOKUP(A15,精算表!$A$5:$I$33,8,0),"")</f>
        <v/>
      </c>
      <c r="D15" s="578"/>
      <c r="E15" s="541" t="str">
        <f>IFERROR(VLOOKUP(D15,合計残高試算表!$A$5:$C$44,3,0),"")</f>
        <v/>
      </c>
      <c r="F15" s="539" t="str">
        <f>IFERROR(VLOOKUP(D15,精算表!$A$5:$I$33,9,0),"")</f>
        <v/>
      </c>
    </row>
    <row r="16" spans="1:6" ht="20.100000000000001" customHeight="1">
      <c r="A16" s="138" t="s">
        <v>246</v>
      </c>
      <c r="B16" s="541" t="str">
        <f>IFERROR(VLOOKUP(A16,合計残高試算表!$A$5:$C$44,2,0),"")</f>
        <v/>
      </c>
      <c r="C16" s="542" t="str">
        <f>IFERROR(VLOOKUP(A16,精算表!$A$5:$I$33,8,0),"")</f>
        <v/>
      </c>
      <c r="D16" s="578"/>
      <c r="E16" s="541" t="str">
        <f>IFERROR(VLOOKUP(D16,合計残高試算表!$A$5:$C$44,3,0),"")</f>
        <v/>
      </c>
      <c r="F16" s="539" t="str">
        <f>IFERROR(VLOOKUP(D16,精算表!$A$5:$I$33,9,0),"")</f>
        <v/>
      </c>
    </row>
    <row r="17" spans="1:6" ht="20.100000000000001" customHeight="1">
      <c r="A17" s="138" t="s">
        <v>247</v>
      </c>
      <c r="B17" s="541" t="str">
        <f>IFERROR(VLOOKUP(A17,合計残高試算表!$A$5:$C$44,2,0),"")</f>
        <v/>
      </c>
      <c r="C17" s="542" t="str">
        <f>IFERROR(VLOOKUP(A17,精算表!$A$5:$I$33,8,0),"")</f>
        <v/>
      </c>
      <c r="D17" s="578"/>
      <c r="E17" s="541" t="str">
        <f>IFERROR(VLOOKUP(D17,合計残高試算表!$A$5:$C$44,3,0),"")</f>
        <v/>
      </c>
      <c r="F17" s="539" t="str">
        <f>IFERROR(VLOOKUP(D17,精算表!$A$5:$I$33,9,0),"")</f>
        <v/>
      </c>
    </row>
    <row r="18" spans="1:6" ht="20.100000000000001" customHeight="1">
      <c r="A18" s="138" t="s">
        <v>248</v>
      </c>
      <c r="B18" s="541" t="str">
        <f>IFERROR(VLOOKUP(A18,合計残高試算表!$A$5:$C$44,2,0),"")</f>
        <v/>
      </c>
      <c r="C18" s="542" t="str">
        <f>IFERROR(VLOOKUP(A18,精算表!$A$5:$I$33,8,0),"")</f>
        <v/>
      </c>
      <c r="D18" s="578" t="s">
        <v>249</v>
      </c>
      <c r="E18" s="541" t="str">
        <f>IFERROR(VLOOKUP(D18,合計残高試算表!$A$5:$C$44,3,0),"")</f>
        <v/>
      </c>
      <c r="F18" s="539" t="str">
        <f>IFERROR(VLOOKUP(D18,精算表!$A$5:$I$33,9,0),"")</f>
        <v/>
      </c>
    </row>
    <row r="19" spans="1:6" ht="20.100000000000001" customHeight="1">
      <c r="A19" s="138" t="s">
        <v>285</v>
      </c>
      <c r="B19" s="541">
        <f>IFERROR(VLOOKUP(A19,合計残高試算表!$A$5:$C$44,2,0),"")</f>
        <v>0</v>
      </c>
      <c r="C19" s="542" t="str">
        <f ca="1">IFERROR(VLOOKUP(A19,精算表!$A$5:$I$33,8,0),"")</f>
        <v/>
      </c>
      <c r="D19" s="578"/>
      <c r="E19" s="541" t="str">
        <f>IFERROR(VLOOKUP(D19,合計残高試算表!$A$5:$C$44,3,0),"")</f>
        <v/>
      </c>
      <c r="F19" s="539" t="str">
        <f>IFERROR(VLOOKUP(D19,精算表!$A$5:$I$33,9,0),"")</f>
        <v/>
      </c>
    </row>
    <row r="20" spans="1:6" ht="20.100000000000001" customHeight="1">
      <c r="A20" s="138" t="s">
        <v>250</v>
      </c>
      <c r="B20" s="541" t="str">
        <f>IFERROR(VLOOKUP(A20,合計残高試算表!$A$5:$C$44,2,0),"")</f>
        <v/>
      </c>
      <c r="C20" s="542" t="str">
        <f>IFERROR(VLOOKUP(A20,精算表!$A$5:$I$33,8,0),"")</f>
        <v/>
      </c>
      <c r="D20" s="578"/>
      <c r="E20" s="541" t="str">
        <f>IFERROR(VLOOKUP(D20,合計残高試算表!$A$5:$C$44,3,0),"")</f>
        <v/>
      </c>
      <c r="F20" s="539" t="str">
        <f>IFERROR(VLOOKUP(D20,精算表!$A$5:$I$33,9,0),"")</f>
        <v/>
      </c>
    </row>
    <row r="21" spans="1:6" ht="20.100000000000001" customHeight="1">
      <c r="A21" s="760" t="s">
        <v>394</v>
      </c>
      <c r="B21" s="541">
        <f>IFERROR(VLOOKUP(A21,合計残高試算表!$A$5:$C$44,2,0),"")</f>
        <v>0</v>
      </c>
      <c r="C21" s="542" t="str">
        <f ca="1">IFERROR(VLOOKUP(A21,精算表!$A$5:$I$33,8,0),"")</f>
        <v/>
      </c>
      <c r="D21" s="578"/>
      <c r="E21" s="541" t="str">
        <f>IFERROR(VLOOKUP(D21,合計残高試算表!$A$5:$C$44,3,0),"")</f>
        <v/>
      </c>
      <c r="F21" s="539" t="str">
        <f>IFERROR(VLOOKUP(D21,精算表!$A$5:$I$33,9,0),"")</f>
        <v/>
      </c>
    </row>
    <row r="22" spans="1:6" ht="20.100000000000001" customHeight="1">
      <c r="A22" s="760" t="s">
        <v>395</v>
      </c>
      <c r="B22" s="541">
        <f>IFERROR(VLOOKUP(A22,合計残高試算表!$A$5:$C$44,2,0),"")</f>
        <v>0</v>
      </c>
      <c r="C22" s="542" t="str">
        <f ca="1">IFERROR(VLOOKUP(A22,精算表!$A$5:$I$33,8,0),"")</f>
        <v/>
      </c>
      <c r="D22" s="578"/>
      <c r="E22" s="541" t="str">
        <f>IFERROR(VLOOKUP(D22,合計残高試算表!$A$5:$C$44,3,0),"")</f>
        <v/>
      </c>
      <c r="F22" s="539" t="str">
        <f>IFERROR(VLOOKUP(D22,精算表!$A$5:$I$33,9,0),"")</f>
        <v/>
      </c>
    </row>
    <row r="23" spans="1:6" ht="20.100000000000001" customHeight="1">
      <c r="A23" s="760"/>
      <c r="B23" s="541" t="str">
        <f>IFERROR(VLOOKUP(A23,合計残高試算表!$A$5:$C$44,2,0),"")</f>
        <v/>
      </c>
      <c r="C23" s="542" t="str">
        <f>IFERROR(VLOOKUP(A23,精算表!$A$5:$I$33,8,0),"")</f>
        <v/>
      </c>
      <c r="D23" s="578"/>
      <c r="E23" s="541" t="str">
        <f>IFERROR(VLOOKUP(D23,合計残高試算表!$A$5:$C$44,3,0),"")</f>
        <v/>
      </c>
      <c r="F23" s="539" t="str">
        <f>IFERROR(VLOOKUP(D23,精算表!$A$5:$I$33,9,0),"")</f>
        <v/>
      </c>
    </row>
    <row r="24" spans="1:6" ht="20.100000000000001" customHeight="1">
      <c r="A24" s="760"/>
      <c r="B24" s="541" t="str">
        <f>IFERROR(VLOOKUP(A24,合計残高試算表!$A$5:$C$44,2,0),"")</f>
        <v/>
      </c>
      <c r="C24" s="542" t="str">
        <f>IFERROR(VLOOKUP(A24,精算表!$A$5:$I$33,8,0),"")</f>
        <v/>
      </c>
      <c r="D24" s="578"/>
      <c r="E24" s="541" t="str">
        <f>IFERROR(VLOOKUP(D24,合計残高試算表!$A$5:$C$44,3,0),"")</f>
        <v/>
      </c>
      <c r="F24" s="539" t="str">
        <f>IFERROR(VLOOKUP(D24,精算表!$A$5:$I$33,9,0),"")</f>
        <v/>
      </c>
    </row>
    <row r="25" spans="1:6" ht="20.100000000000001" customHeight="1">
      <c r="A25" s="138"/>
      <c r="B25" s="541" t="str">
        <f>IFERROR(VLOOKUP(A25,合計残高試算表!$A$5:$C$44,2,0),"")</f>
        <v/>
      </c>
      <c r="C25" s="542" t="str">
        <f>IFERROR(VLOOKUP(A25,精算表!$A$5:$I$33,8,0),"")</f>
        <v/>
      </c>
      <c r="D25" s="578" t="s">
        <v>251</v>
      </c>
      <c r="E25" s="581">
        <f>IFERROR(VLOOKUP(D25,合計残高試算表!$A$5:$C$44,3,0),"")</f>
        <v>0</v>
      </c>
      <c r="F25" s="539" t="str">
        <f ca="1">IFERROR(VLOOKUP(D25,精算表!$A$5:$I$33,9,0),"")</f>
        <v/>
      </c>
    </row>
    <row r="26" spans="1:6" ht="20.100000000000001" customHeight="1">
      <c r="A26" s="138"/>
      <c r="B26" s="541" t="str">
        <f>IFERROR(VLOOKUP(A26,合計残高試算表!$A$5:$C$44,2,0),"")</f>
        <v/>
      </c>
      <c r="C26" s="542" t="str">
        <f>IFERROR(VLOOKUP(A26,精算表!$A$5:$I$33,8,0),"")</f>
        <v/>
      </c>
      <c r="D26" s="578" t="s">
        <v>252</v>
      </c>
      <c r="E26" s="543">
        <f>IFERROR(VLOOKUP(D26,合計残高試算表!$A$5:$C$44,3,0),"")</f>
        <v>0</v>
      </c>
      <c r="F26" s="539" t="str">
        <f ca="1">IFERROR(VLOOKUP(D26,精算表!$A$5:$I$33,9,0),"")</f>
        <v/>
      </c>
    </row>
    <row r="27" spans="1:6" ht="20.100000000000001" customHeight="1" thickBot="1">
      <c r="A27" s="173" t="s">
        <v>253</v>
      </c>
      <c r="B27" s="544"/>
      <c r="C27" s="542" t="str">
        <f ca="1">IFERROR(VLOOKUP(A27,精算表!$A$5:$I$33,8,0),"")</f>
        <v/>
      </c>
      <c r="D27" s="579" t="s">
        <v>254</v>
      </c>
      <c r="E27" s="544"/>
      <c r="F27" s="540">
        <f ca="1">精算表!$I$33</f>
        <v>0</v>
      </c>
    </row>
    <row r="28" spans="1:6" ht="30" customHeight="1" thickBot="1">
      <c r="A28" s="174" t="s">
        <v>66</v>
      </c>
      <c r="B28" s="545">
        <f>SUM(B5:B27)</f>
        <v>0</v>
      </c>
      <c r="C28" s="546">
        <f ca="1">SUM(C5:C27)</f>
        <v>0</v>
      </c>
      <c r="D28" s="580" t="s">
        <v>66</v>
      </c>
      <c r="E28" s="545">
        <f>SUM(E5:E27)</f>
        <v>0</v>
      </c>
      <c r="F28" s="548">
        <f ca="1">SUM(F5:F27)</f>
        <v>0</v>
      </c>
    </row>
    <row r="29" spans="1:6" ht="20.100000000000001" customHeight="1" thickTop="1">
      <c r="A29" s="52"/>
      <c r="B29" s="83"/>
      <c r="C29" s="86"/>
      <c r="D29" s="86"/>
      <c r="E29" s="83"/>
      <c r="F29" s="83"/>
    </row>
  </sheetData>
  <mergeCells count="3">
    <mergeCell ref="A1:F1"/>
    <mergeCell ref="A3:C3"/>
    <mergeCell ref="D3:F3"/>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3" tint="0.39997558519241921"/>
  </sheetPr>
  <dimension ref="A1:M31"/>
  <sheetViews>
    <sheetView zoomScaleNormal="100" workbookViewId="0">
      <selection activeCell="A2" sqref="A2"/>
    </sheetView>
  </sheetViews>
  <sheetFormatPr defaultColWidth="9" defaultRowHeight="20.100000000000001" customHeight="1"/>
  <cols>
    <col min="1" max="2" width="5.625" style="40" customWidth="1"/>
    <col min="3" max="3" width="26.625" style="40" customWidth="1"/>
    <col min="4" max="4" width="5.625" style="42" customWidth="1"/>
    <col min="5" max="5" width="25.625" style="40" customWidth="1"/>
    <col min="6" max="7" width="5.625" style="40" customWidth="1"/>
    <col min="8" max="8" width="26.625" style="40" customWidth="1"/>
    <col min="9" max="9" width="5.625" style="42" customWidth="1"/>
    <col min="10" max="10" width="25.625" style="42" customWidth="1"/>
    <col min="11" max="11" width="9.375" style="40" customWidth="1"/>
    <col min="12" max="12" width="10.625" style="40" customWidth="1"/>
    <col min="13" max="16384" width="9" style="40"/>
  </cols>
  <sheetData>
    <row r="1" spans="1:12" ht="31.5" customHeight="1">
      <c r="A1" s="873" t="s">
        <v>255</v>
      </c>
      <c r="B1" s="873"/>
      <c r="C1" s="873"/>
      <c r="D1" s="873"/>
      <c r="E1" s="873"/>
      <c r="F1" s="873"/>
      <c r="G1" s="873"/>
      <c r="H1" s="873"/>
      <c r="I1" s="873"/>
      <c r="J1" s="873"/>
      <c r="K1" s="87"/>
      <c r="L1" s="87"/>
    </row>
    <row r="2" spans="1:12" ht="12.95" customHeight="1" thickBot="1">
      <c r="J2" s="53" t="str">
        <f>CONCATENATE(YEAR(設定メニュー!B2),"年",MONTH(設定メニュー!B2),"月",DAY(設定メニュー!B2),"日～12月31日")</f>
        <v>2017年1月1日～12月31日</v>
      </c>
    </row>
    <row r="3" spans="1:12" ht="30" customHeight="1" thickTop="1" thickBot="1">
      <c r="A3" s="1031" t="s">
        <v>65</v>
      </c>
      <c r="B3" s="1032"/>
      <c r="C3" s="1032"/>
      <c r="D3" s="1033"/>
      <c r="E3" s="176" t="s">
        <v>194</v>
      </c>
      <c r="F3" s="1031" t="s">
        <v>65</v>
      </c>
      <c r="G3" s="1032"/>
      <c r="H3" s="1032"/>
      <c r="I3" s="1034"/>
      <c r="J3" s="177" t="s">
        <v>194</v>
      </c>
      <c r="L3" s="41"/>
    </row>
    <row r="4" spans="1:12" s="42" customFormat="1" ht="26.1" customHeight="1">
      <c r="A4" s="1035" t="s">
        <v>256</v>
      </c>
      <c r="B4" s="1037" t="s">
        <v>206</v>
      </c>
      <c r="C4" s="1037"/>
      <c r="D4" s="198" t="s">
        <v>464</v>
      </c>
      <c r="E4" s="761">
        <f ca="1">SUM(精算表!G14:G15)</f>
        <v>0</v>
      </c>
      <c r="F4" s="1038" t="s">
        <v>207</v>
      </c>
      <c r="G4" s="1040" t="s">
        <v>257</v>
      </c>
      <c r="H4" s="111" t="s">
        <v>76</v>
      </c>
      <c r="I4" s="200" t="s">
        <v>222</v>
      </c>
      <c r="J4" s="532" t="str">
        <f ca="1">IFERROR(VLOOKUP(H4,精算表!$A$16:$F$32,6,0),"")</f>
        <v/>
      </c>
      <c r="K4" s="81"/>
      <c r="L4" s="52"/>
    </row>
    <row r="5" spans="1:12" ht="26.1" customHeight="1">
      <c r="A5" s="1036"/>
      <c r="B5" s="1042" t="s">
        <v>258</v>
      </c>
      <c r="C5" s="1042"/>
      <c r="D5" s="199" t="s">
        <v>465</v>
      </c>
      <c r="E5" s="178"/>
      <c r="F5" s="1039"/>
      <c r="G5" s="1041"/>
      <c r="H5" s="704" t="s">
        <v>37</v>
      </c>
      <c r="I5" s="201" t="s">
        <v>466</v>
      </c>
      <c r="J5" s="532" t="str">
        <f ca="1">IFERROR(VLOOKUP(H5,精算表!$A$16:$F$32,6,0),"")</f>
        <v/>
      </c>
      <c r="K5" s="83"/>
      <c r="L5" s="83"/>
    </row>
    <row r="6" spans="1:12" ht="26.1" customHeight="1">
      <c r="A6" s="1036"/>
      <c r="B6" s="1043" t="s">
        <v>259</v>
      </c>
      <c r="C6" s="1043"/>
      <c r="D6" s="199" t="s">
        <v>136</v>
      </c>
      <c r="E6" s="180"/>
      <c r="F6" s="1039"/>
      <c r="G6" s="1041"/>
      <c r="H6" s="704" t="s">
        <v>217</v>
      </c>
      <c r="I6" s="201" t="s">
        <v>467</v>
      </c>
      <c r="J6" s="532" t="str">
        <f>IFERROR(VLOOKUP(H6,精算表!$A$16:$F$32,6,0),"")</f>
        <v/>
      </c>
      <c r="K6" s="83"/>
      <c r="L6" s="83"/>
    </row>
    <row r="7" spans="1:12" ht="26.1" customHeight="1">
      <c r="A7" s="1036"/>
      <c r="B7" s="1043" t="s">
        <v>260</v>
      </c>
      <c r="C7" s="1043"/>
      <c r="D7" s="199" t="s">
        <v>142</v>
      </c>
      <c r="E7" s="180">
        <f ca="1">SUM(E4:E6)</f>
        <v>0</v>
      </c>
      <c r="F7" s="1039"/>
      <c r="G7" s="1041"/>
      <c r="H7" s="704" t="s">
        <v>78</v>
      </c>
      <c r="I7" s="201" t="s">
        <v>468</v>
      </c>
      <c r="J7" s="532" t="str">
        <f ca="1">IFERROR(VLOOKUP(H7,精算表!$A$16:$F$32,6,0),"")</f>
        <v/>
      </c>
      <c r="K7" s="83"/>
      <c r="L7" s="83"/>
    </row>
    <row r="8" spans="1:12" ht="26.1" customHeight="1">
      <c r="A8" s="1036" t="s">
        <v>209</v>
      </c>
      <c r="B8" s="1043" t="s">
        <v>210</v>
      </c>
      <c r="C8" s="1043"/>
      <c r="D8" s="199" t="s">
        <v>149</v>
      </c>
      <c r="E8" s="180"/>
      <c r="F8" s="1039"/>
      <c r="G8" s="1041"/>
      <c r="H8" s="704" t="s">
        <v>218</v>
      </c>
      <c r="I8" s="201" t="s">
        <v>469</v>
      </c>
      <c r="J8" s="532" t="str">
        <f>IFERROR(VLOOKUP(H8,精算表!$A$16:$F$32,6,0),"")</f>
        <v/>
      </c>
      <c r="K8" s="83"/>
      <c r="L8" s="83"/>
    </row>
    <row r="9" spans="1:12" ht="26.1" customHeight="1">
      <c r="A9" s="1036"/>
      <c r="B9" s="1043" t="s">
        <v>261</v>
      </c>
      <c r="C9" s="1043"/>
      <c r="D9" s="199" t="s">
        <v>154</v>
      </c>
      <c r="E9" s="180"/>
      <c r="F9" s="1039"/>
      <c r="G9" s="1041"/>
      <c r="H9" s="704" t="s">
        <v>219</v>
      </c>
      <c r="I9" s="201" t="s">
        <v>470</v>
      </c>
      <c r="J9" s="532" t="str">
        <f>IFERROR(VLOOKUP(H9,精算表!$A$16:$F$32,6,0),"")</f>
        <v/>
      </c>
      <c r="K9" s="83"/>
      <c r="L9" s="83"/>
    </row>
    <row r="10" spans="1:12" ht="26.1" customHeight="1">
      <c r="A10" s="1036"/>
      <c r="B10" s="1043" t="s">
        <v>262</v>
      </c>
      <c r="C10" s="1043"/>
      <c r="D10" s="199" t="s">
        <v>471</v>
      </c>
      <c r="E10" s="180">
        <f>E8+E9</f>
        <v>0</v>
      </c>
      <c r="F10" s="1039"/>
      <c r="G10" s="1041"/>
      <c r="H10" s="704" t="s">
        <v>74</v>
      </c>
      <c r="I10" s="201" t="s">
        <v>472</v>
      </c>
      <c r="J10" s="532" t="str">
        <f ca="1">IFERROR(VLOOKUP(H10,精算表!$A$16:$F$32,6,0),"")</f>
        <v/>
      </c>
      <c r="K10" s="83"/>
      <c r="L10" s="83"/>
    </row>
    <row r="11" spans="1:12" ht="26.1" customHeight="1">
      <c r="A11" s="1036"/>
      <c r="B11" s="1042" t="s">
        <v>213</v>
      </c>
      <c r="C11" s="1042"/>
      <c r="D11" s="199" t="s">
        <v>95</v>
      </c>
      <c r="E11" s="180"/>
      <c r="F11" s="1039"/>
      <c r="G11" s="1041"/>
      <c r="H11" s="704" t="s">
        <v>211</v>
      </c>
      <c r="I11" s="201" t="s">
        <v>473</v>
      </c>
      <c r="J11" s="532" t="str">
        <f>IFERROR(VLOOKUP(H11,精算表!$A$16:$F$32,6,0),"")</f>
        <v/>
      </c>
      <c r="K11" s="83"/>
      <c r="L11" s="83"/>
    </row>
    <row r="12" spans="1:12" ht="26.1" customHeight="1" thickBot="1">
      <c r="A12" s="949"/>
      <c r="B12" s="1044" t="s">
        <v>263</v>
      </c>
      <c r="C12" s="1044"/>
      <c r="D12" s="199" t="s">
        <v>96</v>
      </c>
      <c r="E12" s="180">
        <f>E10-E11</f>
        <v>0</v>
      </c>
      <c r="F12" s="1039"/>
      <c r="G12" s="1041"/>
      <c r="H12" s="762" t="s">
        <v>61</v>
      </c>
      <c r="I12" s="201" t="s">
        <v>474</v>
      </c>
      <c r="J12" s="532" t="str">
        <f ca="1">IFERROR(VLOOKUP(H12,精算表!$A$16:$F$32,6,0),"")</f>
        <v/>
      </c>
      <c r="K12" s="83"/>
      <c r="L12" s="83"/>
    </row>
    <row r="13" spans="1:12" ht="26.1" customHeight="1" thickTop="1" thickBot="1">
      <c r="A13" s="1045" t="s">
        <v>264</v>
      </c>
      <c r="B13" s="1046"/>
      <c r="C13" s="1047"/>
      <c r="D13" s="199" t="s">
        <v>97</v>
      </c>
      <c r="E13" s="180">
        <f ca="1">E7-E12</f>
        <v>0</v>
      </c>
      <c r="F13" s="1039"/>
      <c r="G13" s="1041"/>
      <c r="H13" s="734" t="s">
        <v>111</v>
      </c>
      <c r="I13" s="201" t="s">
        <v>475</v>
      </c>
      <c r="J13" s="532" t="str">
        <f ca="1">IFERROR(VLOOKUP(H13,精算表!$A$16:$F$32,6,0),"")</f>
        <v/>
      </c>
      <c r="K13" s="83"/>
      <c r="L13" s="83"/>
    </row>
    <row r="14" spans="1:12" ht="26.1" customHeight="1" thickTop="1">
      <c r="A14" s="959" t="s">
        <v>207</v>
      </c>
      <c r="B14" s="1048" t="s">
        <v>212</v>
      </c>
      <c r="C14" s="1048"/>
      <c r="D14" s="199" t="s">
        <v>98</v>
      </c>
      <c r="E14" s="180" t="str">
        <f>IFERROR(VLOOKUP(B14,精算表!$A$16:$F$32,6,0),"")</f>
        <v/>
      </c>
      <c r="F14" s="1039"/>
      <c r="G14" s="1041"/>
      <c r="H14" s="734" t="s">
        <v>169</v>
      </c>
      <c r="I14" s="201" t="s">
        <v>476</v>
      </c>
      <c r="J14" s="532" t="str">
        <f ca="1">IFERROR(VLOOKUP(H14,精算表!$A$16:$F$32,6,0),"")</f>
        <v/>
      </c>
      <c r="K14" s="83"/>
      <c r="L14" s="83"/>
    </row>
    <row r="15" spans="1:12" ht="26.1" customHeight="1">
      <c r="A15" s="950"/>
      <c r="B15" s="1043" t="s">
        <v>100</v>
      </c>
      <c r="C15" s="1043"/>
      <c r="D15" s="199" t="s">
        <v>99</v>
      </c>
      <c r="E15" s="180" t="str">
        <f ca="1">IFERROR(VLOOKUP(B15,精算表!$A$16:$F$32,6,0),"")</f>
        <v/>
      </c>
      <c r="F15" s="1039"/>
      <c r="G15" s="1041"/>
      <c r="H15" s="734" t="s">
        <v>174</v>
      </c>
      <c r="I15" s="201" t="s">
        <v>477</v>
      </c>
      <c r="J15" s="532" t="str">
        <f ca="1">IFERROR(VLOOKUP(H15,精算表!$A$16:$F$32,6,0),"")</f>
        <v/>
      </c>
      <c r="K15" s="83"/>
      <c r="L15" s="83"/>
    </row>
    <row r="16" spans="1:12" ht="26.1" customHeight="1">
      <c r="A16" s="950"/>
      <c r="B16" s="1043" t="s">
        <v>208</v>
      </c>
      <c r="C16" s="1043"/>
      <c r="D16" s="199" t="s">
        <v>90</v>
      </c>
      <c r="E16" s="180">
        <f>IFERROR(VLOOKUP(B16,精算表!$A$16:$F$32,6,0),"")</f>
        <v>0</v>
      </c>
      <c r="F16" s="1039"/>
      <c r="G16" s="1041"/>
      <c r="H16" s="734"/>
      <c r="I16" s="201" t="s">
        <v>478</v>
      </c>
      <c r="J16" s="532" t="str">
        <f>IFERROR(VLOOKUP(H16,精算表!$A$16:$F$32,6,0),"")</f>
        <v/>
      </c>
      <c r="K16" s="83"/>
      <c r="L16" s="83"/>
    </row>
    <row r="17" spans="1:13" ht="26.1" customHeight="1">
      <c r="A17" s="950"/>
      <c r="B17" s="1043" t="s">
        <v>265</v>
      </c>
      <c r="C17" s="1043"/>
      <c r="D17" s="199" t="s">
        <v>92</v>
      </c>
      <c r="E17" s="180" t="str">
        <f>IFERROR(VLOOKUP(B17,精算表!$A$16:$F$32,6,0),"")</f>
        <v/>
      </c>
      <c r="F17" s="1039"/>
      <c r="G17" s="1041"/>
      <c r="H17" s="94" t="s">
        <v>91</v>
      </c>
      <c r="I17" s="201" t="s">
        <v>479</v>
      </c>
      <c r="J17" s="532" t="str">
        <f ca="1">IFERROR(VLOOKUP(H17,精算表!$A$16:$F$32,6,0),"")</f>
        <v/>
      </c>
      <c r="K17" s="83"/>
      <c r="L17" s="83"/>
    </row>
    <row r="18" spans="1:13" ht="26.1" customHeight="1">
      <c r="A18" s="950"/>
      <c r="B18" s="1043" t="s">
        <v>214</v>
      </c>
      <c r="C18" s="1043"/>
      <c r="D18" s="199" t="s">
        <v>93</v>
      </c>
      <c r="E18" s="180" t="str">
        <f>IFERROR(VLOOKUP(B18,精算表!$A$16:$F$32,6,0),"")</f>
        <v/>
      </c>
      <c r="F18" s="1039"/>
      <c r="G18" s="1041"/>
      <c r="H18" s="94" t="s">
        <v>266</v>
      </c>
      <c r="I18" s="184" t="s">
        <v>480</v>
      </c>
      <c r="J18" s="179">
        <f ca="1">SUM(E20:E22,J4:J17)</f>
        <v>0</v>
      </c>
      <c r="K18" s="83"/>
      <c r="L18" s="83"/>
    </row>
    <row r="19" spans="1:13" ht="26.1" customHeight="1">
      <c r="A19" s="950"/>
      <c r="B19" s="1043" t="s">
        <v>267</v>
      </c>
      <c r="C19" s="1043"/>
      <c r="D19" s="199" t="s">
        <v>94</v>
      </c>
      <c r="E19" s="180" t="str">
        <f>IFERROR(VLOOKUP(B19,精算表!$A$16:$F$32,6,0),"")</f>
        <v/>
      </c>
      <c r="F19" s="1039"/>
      <c r="G19" s="1049" t="s">
        <v>481</v>
      </c>
      <c r="H19" s="1049"/>
      <c r="I19" s="184" t="s">
        <v>482</v>
      </c>
      <c r="J19" s="179">
        <f ca="1">SUM(E14:E19,J18)</f>
        <v>0</v>
      </c>
      <c r="K19" s="83"/>
      <c r="L19" s="83"/>
    </row>
    <row r="20" spans="1:13" ht="26.1" customHeight="1">
      <c r="A20" s="950"/>
      <c r="B20" s="1050" t="s">
        <v>257</v>
      </c>
      <c r="C20" s="704" t="s">
        <v>215</v>
      </c>
      <c r="D20" s="202" t="s">
        <v>483</v>
      </c>
      <c r="E20" s="180" t="str">
        <f ca="1">IFERROR(VLOOKUP(C20,精算表!$A$16:$F$32,6,0),"")</f>
        <v/>
      </c>
      <c r="F20" s="1053" t="s">
        <v>268</v>
      </c>
      <c r="G20" s="1049"/>
      <c r="H20" s="1049"/>
      <c r="I20" s="184" t="s">
        <v>484</v>
      </c>
      <c r="J20" s="179">
        <f ca="1">E13-J19</f>
        <v>0</v>
      </c>
      <c r="K20" s="83"/>
      <c r="L20" s="83"/>
    </row>
    <row r="21" spans="1:13" ht="26.1" customHeight="1">
      <c r="A21" s="950"/>
      <c r="B21" s="1051"/>
      <c r="C21" s="704" t="s">
        <v>269</v>
      </c>
      <c r="D21" s="202" t="s">
        <v>485</v>
      </c>
      <c r="E21" s="180" t="str">
        <f>IFERROR(VLOOKUP(C21,精算表!$A$16:$F$32,6,0),"")</f>
        <v/>
      </c>
      <c r="F21" s="1053" t="s">
        <v>270</v>
      </c>
      <c r="G21" s="1049"/>
      <c r="H21" s="1049"/>
      <c r="I21" s="184" t="s">
        <v>486</v>
      </c>
      <c r="J21" s="179"/>
      <c r="K21" s="83"/>
      <c r="L21" s="83"/>
      <c r="M21" s="763"/>
    </row>
    <row r="22" spans="1:13" ht="26.1" customHeight="1" thickBot="1">
      <c r="A22" s="960"/>
      <c r="B22" s="1052"/>
      <c r="C22" s="181" t="s">
        <v>216</v>
      </c>
      <c r="D22" s="203" t="s">
        <v>487</v>
      </c>
      <c r="E22" s="182" t="str">
        <f>IFERROR(VLOOKUP(C22,精算表!$A$16:$F$32,6,0),"")</f>
        <v/>
      </c>
      <c r="F22" s="1054" t="s">
        <v>271</v>
      </c>
      <c r="G22" s="1055"/>
      <c r="H22" s="1055"/>
      <c r="I22" s="185" t="s">
        <v>488</v>
      </c>
      <c r="J22" s="183">
        <f ca="1">J20-J21</f>
        <v>0</v>
      </c>
      <c r="K22" s="83"/>
      <c r="L22" s="83"/>
    </row>
    <row r="23" spans="1:13" ht="20.100000000000001" customHeight="1" thickTop="1">
      <c r="A23" s="82"/>
      <c r="B23" s="82"/>
      <c r="C23" s="83"/>
      <c r="D23" s="86"/>
      <c r="E23" s="83"/>
      <c r="F23" s="83"/>
      <c r="G23" s="83"/>
      <c r="H23" s="83"/>
      <c r="I23" s="86"/>
      <c r="J23" s="86"/>
      <c r="K23" s="83"/>
      <c r="L23" s="83"/>
    </row>
    <row r="24" spans="1:13" ht="20.100000000000001" customHeight="1">
      <c r="A24" s="82"/>
      <c r="B24" s="82"/>
      <c r="C24" s="83"/>
      <c r="D24" s="86"/>
      <c r="E24" s="83"/>
      <c r="F24" s="83"/>
      <c r="G24" s="83"/>
      <c r="H24" s="83"/>
      <c r="I24" s="86"/>
      <c r="J24" s="86"/>
      <c r="K24" s="83"/>
      <c r="L24" s="83"/>
    </row>
    <row r="25" spans="1:13" ht="20.100000000000001" customHeight="1">
      <c r="A25" s="82"/>
      <c r="B25" s="82"/>
      <c r="C25" s="83"/>
      <c r="D25" s="86"/>
      <c r="E25" s="83"/>
      <c r="F25" s="83"/>
      <c r="G25" s="83"/>
      <c r="H25" s="83"/>
      <c r="I25" s="86"/>
      <c r="J25" s="86"/>
      <c r="K25" s="83"/>
      <c r="L25" s="83"/>
    </row>
    <row r="26" spans="1:13" ht="20.100000000000001" customHeight="1">
      <c r="A26" s="82"/>
      <c r="B26" s="82"/>
      <c r="C26" s="83"/>
      <c r="D26" s="86"/>
      <c r="E26" s="83"/>
      <c r="F26" s="83"/>
      <c r="G26" s="83"/>
      <c r="H26" s="83"/>
      <c r="I26" s="86"/>
      <c r="J26" s="86"/>
      <c r="K26" s="83"/>
      <c r="L26" s="83"/>
    </row>
    <row r="27" spans="1:13" ht="20.100000000000001" customHeight="1">
      <c r="A27" s="82"/>
      <c r="B27" s="82"/>
      <c r="C27" s="83"/>
      <c r="D27" s="86"/>
      <c r="E27" s="83"/>
      <c r="F27" s="83"/>
      <c r="G27" s="83"/>
      <c r="H27" s="83"/>
      <c r="I27" s="86"/>
      <c r="J27" s="86"/>
      <c r="K27" s="83"/>
      <c r="L27" s="83"/>
    </row>
    <row r="28" spans="1:13" ht="20.100000000000001" customHeight="1">
      <c r="A28" s="82"/>
      <c r="B28" s="82"/>
      <c r="C28" s="83"/>
      <c r="D28" s="86"/>
      <c r="E28" s="83"/>
      <c r="F28" s="83"/>
      <c r="G28" s="83"/>
      <c r="H28" s="83"/>
      <c r="I28" s="86"/>
      <c r="J28" s="86"/>
      <c r="K28" s="83"/>
      <c r="L28" s="83"/>
    </row>
    <row r="29" spans="1:13" ht="20.100000000000001" customHeight="1">
      <c r="A29" s="82"/>
      <c r="B29" s="82"/>
      <c r="C29" s="83"/>
      <c r="D29" s="86"/>
      <c r="E29" s="83"/>
      <c r="F29" s="83"/>
      <c r="G29" s="83"/>
      <c r="H29" s="83"/>
      <c r="I29" s="86"/>
      <c r="J29" s="86"/>
      <c r="K29" s="83"/>
      <c r="L29" s="83"/>
    </row>
    <row r="30" spans="1:13" ht="24.95" customHeight="1">
      <c r="A30" s="84"/>
      <c r="B30" s="84"/>
      <c r="C30" s="83"/>
      <c r="D30" s="86"/>
      <c r="E30" s="83"/>
      <c r="F30" s="83"/>
      <c r="G30" s="83"/>
      <c r="H30" s="83"/>
      <c r="I30" s="86"/>
      <c r="J30" s="86"/>
      <c r="K30" s="83"/>
      <c r="L30" s="83"/>
    </row>
    <row r="31" spans="1:13" ht="30" customHeight="1">
      <c r="A31" s="85"/>
      <c r="B31" s="85"/>
      <c r="C31" s="83"/>
      <c r="D31" s="86"/>
      <c r="E31" s="83"/>
      <c r="F31" s="83"/>
      <c r="G31" s="83"/>
      <c r="H31" s="83"/>
      <c r="I31" s="86"/>
      <c r="J31" s="86"/>
      <c r="K31" s="83"/>
      <c r="L31" s="83"/>
    </row>
  </sheetData>
  <mergeCells count="29">
    <mergeCell ref="G19:H19"/>
    <mergeCell ref="B20:B22"/>
    <mergeCell ref="F20:H20"/>
    <mergeCell ref="F21:H21"/>
    <mergeCell ref="F22:H22"/>
    <mergeCell ref="A13:C13"/>
    <mergeCell ref="A14:A22"/>
    <mergeCell ref="B14:C14"/>
    <mergeCell ref="B15:C15"/>
    <mergeCell ref="B16:C16"/>
    <mergeCell ref="B17:C17"/>
    <mergeCell ref="B18:C18"/>
    <mergeCell ref="B19:C19"/>
    <mergeCell ref="A1:J1"/>
    <mergeCell ref="A3:D3"/>
    <mergeCell ref="F3:I3"/>
    <mergeCell ref="A4:A7"/>
    <mergeCell ref="B4:C4"/>
    <mergeCell ref="F4:F19"/>
    <mergeCell ref="G4:G18"/>
    <mergeCell ref="B5:C5"/>
    <mergeCell ref="B6:C6"/>
    <mergeCell ref="B7:C7"/>
    <mergeCell ref="A8:A12"/>
    <mergeCell ref="B8:C8"/>
    <mergeCell ref="B9:C9"/>
    <mergeCell ref="B10:C10"/>
    <mergeCell ref="B11:C11"/>
    <mergeCell ref="B12:C12"/>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39997558519241921"/>
  </sheetPr>
  <dimension ref="A1:Q35"/>
  <sheetViews>
    <sheetView zoomScaleNormal="100" workbookViewId="0"/>
  </sheetViews>
  <sheetFormatPr defaultColWidth="9" defaultRowHeight="20.100000000000001" customHeight="1"/>
  <cols>
    <col min="1" max="1" width="16.625" style="40" customWidth="1"/>
    <col min="2" max="2" width="5.625" style="42" customWidth="1"/>
    <col min="3" max="3" width="3.625" style="42" customWidth="1"/>
    <col min="4" max="4" width="3.625" style="40" customWidth="1"/>
    <col min="5" max="6" width="11.625" style="40" customWidth="1"/>
    <col min="7" max="7" width="8.625" style="42" customWidth="1"/>
    <col min="8" max="8" width="4.625" style="42" customWidth="1"/>
    <col min="9" max="10" width="6.625" style="40" customWidth="1"/>
    <col min="11" max="11" width="11.625" style="40" customWidth="1"/>
    <col min="12" max="12" width="5.625" style="40" customWidth="1"/>
    <col min="13" max="13" width="11.625" style="40" customWidth="1"/>
    <col min="14" max="14" width="5.625" style="40" customWidth="1"/>
    <col min="15" max="16" width="11.625" style="40" customWidth="1"/>
    <col min="17" max="17" width="7.75" style="40" customWidth="1"/>
    <col min="18" max="16384" width="9" style="40"/>
  </cols>
  <sheetData>
    <row r="1" spans="1:17" ht="31.5" customHeight="1">
      <c r="A1" s="87"/>
      <c r="B1" s="87"/>
      <c r="C1" s="87"/>
      <c r="D1" s="87"/>
      <c r="E1" s="87"/>
      <c r="F1" s="87"/>
      <c r="G1" s="87"/>
      <c r="H1" s="87"/>
      <c r="I1" s="87"/>
      <c r="J1" s="87"/>
      <c r="K1" s="87"/>
      <c r="L1" s="87"/>
      <c r="M1" s="87"/>
      <c r="N1" s="87"/>
      <c r="O1" s="87"/>
      <c r="Q1" s="53" t="str">
        <f>CONCATENATE(YEAR(設定メニュー!B2),"年",MONTH(設定メニュー!B2),"月",DAY(設定メニュー!B2),"日～12月31日")</f>
        <v>2017年1月1日～12月31日</v>
      </c>
    </row>
    <row r="2" spans="1:17" ht="12.95" customHeight="1">
      <c r="Q2" s="41"/>
    </row>
    <row r="3" spans="1:17" ht="24.95" customHeight="1" thickBot="1">
      <c r="A3" s="175" t="s">
        <v>272</v>
      </c>
      <c r="Q3" s="41"/>
    </row>
    <row r="4" spans="1:17" ht="24.95" customHeight="1" thickTop="1" thickBot="1">
      <c r="A4" s="1056" t="s">
        <v>273</v>
      </c>
      <c r="B4" s="1057"/>
      <c r="C4" s="1060" t="s">
        <v>274</v>
      </c>
      <c r="D4" s="1061"/>
      <c r="E4" s="1061"/>
      <c r="F4" s="1061"/>
      <c r="G4" s="1062"/>
      <c r="H4" s="1063" t="s">
        <v>275</v>
      </c>
      <c r="I4" s="1064"/>
      <c r="J4" s="1065"/>
      <c r="Q4" s="41"/>
    </row>
    <row r="5" spans="1:17" ht="24.95" customHeight="1">
      <c r="A5" s="1058"/>
      <c r="B5" s="1059"/>
      <c r="C5" s="1066"/>
      <c r="D5" s="1067"/>
      <c r="E5" s="1067"/>
      <c r="F5" s="1067"/>
      <c r="G5" s="1068"/>
      <c r="H5" s="1069"/>
      <c r="I5" s="1070"/>
      <c r="J5" s="1071"/>
      <c r="Q5" s="41"/>
    </row>
    <row r="6" spans="1:17" ht="24.95" customHeight="1">
      <c r="A6" s="1075"/>
      <c r="B6" s="1076"/>
      <c r="C6" s="1077"/>
      <c r="D6" s="1078"/>
      <c r="E6" s="1078"/>
      <c r="F6" s="1078"/>
      <c r="G6" s="1079"/>
      <c r="H6" s="1080"/>
      <c r="I6" s="1081"/>
      <c r="J6" s="1082"/>
      <c r="Q6" s="41"/>
    </row>
    <row r="7" spans="1:17" ht="24.95" customHeight="1">
      <c r="A7" s="1075"/>
      <c r="B7" s="1076"/>
      <c r="C7" s="1077"/>
      <c r="D7" s="1078"/>
      <c r="E7" s="1078"/>
      <c r="F7" s="1078"/>
      <c r="G7" s="1079"/>
      <c r="H7" s="1080"/>
      <c r="I7" s="1081"/>
      <c r="J7" s="1082"/>
      <c r="Q7" s="41"/>
    </row>
    <row r="8" spans="1:17" ht="24.95" customHeight="1">
      <c r="A8" s="1075"/>
      <c r="B8" s="1076"/>
      <c r="C8" s="1077"/>
      <c r="D8" s="1078"/>
      <c r="E8" s="1078"/>
      <c r="F8" s="1078"/>
      <c r="G8" s="1079"/>
      <c r="H8" s="1080"/>
      <c r="I8" s="1081"/>
      <c r="J8" s="1082"/>
      <c r="Q8" s="41"/>
    </row>
    <row r="9" spans="1:17" ht="24.95" customHeight="1" thickBot="1">
      <c r="A9" s="1083" t="s">
        <v>276</v>
      </c>
      <c r="B9" s="1084"/>
      <c r="C9" s="1084"/>
      <c r="D9" s="1084"/>
      <c r="E9" s="1084"/>
      <c r="F9" s="1084"/>
      <c r="G9" s="1085"/>
      <c r="H9" s="1086"/>
      <c r="I9" s="1084"/>
      <c r="J9" s="1087"/>
      <c r="Q9" s="41"/>
    </row>
    <row r="10" spans="1:17" ht="12.95" customHeight="1" thickTop="1">
      <c r="F10" s="1088" t="s">
        <v>204</v>
      </c>
      <c r="G10" s="1089"/>
      <c r="H10" s="1092" t="s">
        <v>489</v>
      </c>
      <c r="I10" s="1093"/>
      <c r="J10" s="1094"/>
      <c r="Q10" s="41"/>
    </row>
    <row r="11" spans="1:17" ht="24.95" customHeight="1" thickBot="1">
      <c r="F11" s="1090"/>
      <c r="G11" s="1091"/>
      <c r="H11" s="1095">
        <f>SUM(H5:J9)</f>
        <v>0</v>
      </c>
      <c r="I11" s="1096"/>
      <c r="J11" s="1097"/>
      <c r="Q11" s="41"/>
    </row>
    <row r="12" spans="1:17" ht="24.95" customHeight="1" thickTop="1">
      <c r="F12" s="118"/>
      <c r="G12" s="118"/>
      <c r="H12" s="118"/>
      <c r="I12" s="118"/>
      <c r="J12" s="118"/>
      <c r="Q12" s="41"/>
    </row>
    <row r="13" spans="1:17" ht="24.95" customHeight="1" thickBot="1">
      <c r="A13" s="175" t="s">
        <v>277</v>
      </c>
      <c r="Q13" s="41"/>
    </row>
    <row r="14" spans="1:17" s="157" customFormat="1" ht="15" customHeight="1" thickTop="1">
      <c r="A14" s="1007" t="s">
        <v>490</v>
      </c>
      <c r="B14" s="1009" t="s">
        <v>220</v>
      </c>
      <c r="C14" s="1012" t="s">
        <v>491</v>
      </c>
      <c r="D14" s="1013"/>
      <c r="E14" s="151" t="s">
        <v>221</v>
      </c>
      <c r="F14" s="152" t="s">
        <v>492</v>
      </c>
      <c r="G14" s="1009" t="s">
        <v>493</v>
      </c>
      <c r="H14" s="1009" t="s">
        <v>494</v>
      </c>
      <c r="I14" s="153" t="s">
        <v>495</v>
      </c>
      <c r="J14" s="153" t="s">
        <v>222</v>
      </c>
      <c r="K14" s="154" t="s">
        <v>496</v>
      </c>
      <c r="L14" s="154" t="s">
        <v>497</v>
      </c>
      <c r="M14" s="152" t="s">
        <v>498</v>
      </c>
      <c r="N14" s="152" t="s">
        <v>499</v>
      </c>
      <c r="O14" s="155" t="s">
        <v>500</v>
      </c>
      <c r="P14" s="156" t="s">
        <v>501</v>
      </c>
      <c r="Q14" s="1020" t="s">
        <v>223</v>
      </c>
    </row>
    <row r="15" spans="1:17" s="159" customFormat="1" ht="35.1" customHeight="1">
      <c r="A15" s="1072"/>
      <c r="B15" s="1073"/>
      <c r="C15" s="1014"/>
      <c r="D15" s="1015"/>
      <c r="E15" s="698" t="s">
        <v>502</v>
      </c>
      <c r="F15" s="1023" t="s">
        <v>503</v>
      </c>
      <c r="G15" s="1073"/>
      <c r="H15" s="1073"/>
      <c r="I15" s="1018" t="s">
        <v>224</v>
      </c>
      <c r="J15" s="1018" t="s">
        <v>504</v>
      </c>
      <c r="K15" s="700" t="s">
        <v>505</v>
      </c>
      <c r="L15" s="1018" t="s">
        <v>506</v>
      </c>
      <c r="M15" s="701" t="s">
        <v>507</v>
      </c>
      <c r="N15" s="1023" t="s">
        <v>508</v>
      </c>
      <c r="O15" s="701" t="s">
        <v>509</v>
      </c>
      <c r="P15" s="158" t="s">
        <v>225</v>
      </c>
      <c r="Q15" s="1021"/>
    </row>
    <row r="16" spans="1:17" s="159" customFormat="1" ht="35.1" customHeight="1" thickBot="1">
      <c r="A16" s="160" t="s">
        <v>510</v>
      </c>
      <c r="B16" s="1074"/>
      <c r="C16" s="1016"/>
      <c r="D16" s="1017"/>
      <c r="E16" s="699" t="s">
        <v>226</v>
      </c>
      <c r="F16" s="1024"/>
      <c r="G16" s="1074"/>
      <c r="H16" s="1074"/>
      <c r="I16" s="1019"/>
      <c r="J16" s="1019"/>
      <c r="K16" s="702" t="s">
        <v>511</v>
      </c>
      <c r="L16" s="1098"/>
      <c r="M16" s="161" t="s">
        <v>512</v>
      </c>
      <c r="N16" s="1024"/>
      <c r="O16" s="161" t="s">
        <v>513</v>
      </c>
      <c r="P16" s="162" t="s">
        <v>514</v>
      </c>
      <c r="Q16" s="1022"/>
    </row>
    <row r="17" spans="1:17" ht="24.95" customHeight="1">
      <c r="A17" s="517">
        <f>減価償却資産台帳!B5</f>
        <v>0</v>
      </c>
      <c r="B17" s="518">
        <f>減価償却資産台帳!E5</f>
        <v>0</v>
      </c>
      <c r="C17" s="518">
        <f>減価償却資産台帳!F5</f>
        <v>0</v>
      </c>
      <c r="D17" s="519">
        <f>減価償却資産台帳!G5</f>
        <v>0</v>
      </c>
      <c r="E17" s="520">
        <f>減価償却資産台帳!H5</f>
        <v>0</v>
      </c>
      <c r="F17" s="520" t="str">
        <f>減価償却資産台帳!M5</f>
        <v/>
      </c>
      <c r="G17" s="518">
        <f>減価償却資産台帳!J5</f>
        <v>0</v>
      </c>
      <c r="H17" s="519">
        <f>減価償却資産台帳!K5</f>
        <v>0</v>
      </c>
      <c r="I17" s="521" t="str">
        <f>減価償却資産台帳!N5</f>
        <v/>
      </c>
      <c r="J17" s="521">
        <f>減価償却資産台帳!R5</f>
        <v>0</v>
      </c>
      <c r="K17" s="764" t="str">
        <f>減価償却資産台帳!S5</f>
        <v/>
      </c>
      <c r="L17" s="765">
        <f>減価償却資産台帳!T5</f>
        <v>0</v>
      </c>
      <c r="M17" s="766" t="str">
        <f>減価償却資産台帳!U5</f>
        <v/>
      </c>
      <c r="N17" s="767">
        <f>減価償却資産台帳!V5</f>
        <v>0</v>
      </c>
      <c r="O17" s="768" t="str">
        <f>減価償却資産台帳!U5</f>
        <v/>
      </c>
      <c r="P17" s="769" t="str">
        <f>減価償却資産台帳!X5</f>
        <v/>
      </c>
      <c r="Q17" s="523">
        <f>減価償却資産台帳!Y5</f>
        <v>0</v>
      </c>
    </row>
    <row r="18" spans="1:17" ht="24.95" customHeight="1">
      <c r="A18" s="517">
        <f>減価償却資産台帳!B6</f>
        <v>0</v>
      </c>
      <c r="B18" s="518">
        <f>減価償却資産台帳!E6</f>
        <v>0</v>
      </c>
      <c r="C18" s="518">
        <f>減価償却資産台帳!F6</f>
        <v>0</v>
      </c>
      <c r="D18" s="519">
        <f>減価償却資産台帳!G6</f>
        <v>0</v>
      </c>
      <c r="E18" s="520">
        <f>減価償却資産台帳!H6</f>
        <v>0</v>
      </c>
      <c r="F18" s="520" t="str">
        <f>減価償却資産台帳!M6</f>
        <v/>
      </c>
      <c r="G18" s="518">
        <f>減価償却資産台帳!J6</f>
        <v>0</v>
      </c>
      <c r="H18" s="519">
        <f>減価償却資産台帳!K6</f>
        <v>0</v>
      </c>
      <c r="I18" s="521" t="str">
        <f>減価償却資産台帳!N6</f>
        <v/>
      </c>
      <c r="J18" s="521">
        <f>減価償却資産台帳!R6</f>
        <v>0</v>
      </c>
      <c r="K18" s="764" t="str">
        <f>減価償却資産台帳!S6</f>
        <v/>
      </c>
      <c r="L18" s="765">
        <f>減価償却資産台帳!T6</f>
        <v>0</v>
      </c>
      <c r="M18" s="766" t="str">
        <f>減価償却資産台帳!U6</f>
        <v/>
      </c>
      <c r="N18" s="767">
        <f>減価償却資産台帳!V6</f>
        <v>0</v>
      </c>
      <c r="O18" s="768" t="str">
        <f>減価償却資産台帳!U6</f>
        <v/>
      </c>
      <c r="P18" s="769" t="str">
        <f>減価償却資産台帳!X6</f>
        <v/>
      </c>
      <c r="Q18" s="523">
        <f>減価償却資産台帳!Y6</f>
        <v>0</v>
      </c>
    </row>
    <row r="19" spans="1:17" ht="24.95" customHeight="1">
      <c r="A19" s="517">
        <f>減価償却資産台帳!B7</f>
        <v>0</v>
      </c>
      <c r="B19" s="518">
        <f>減価償却資産台帳!E7</f>
        <v>0</v>
      </c>
      <c r="C19" s="518">
        <f>減価償却資産台帳!F7</f>
        <v>0</v>
      </c>
      <c r="D19" s="519">
        <f>減価償却資産台帳!G7</f>
        <v>0</v>
      </c>
      <c r="E19" s="520">
        <f>減価償却資産台帳!H7</f>
        <v>0</v>
      </c>
      <c r="F19" s="520" t="str">
        <f>減価償却資産台帳!M7</f>
        <v/>
      </c>
      <c r="G19" s="518">
        <f>減価償却資産台帳!J7</f>
        <v>0</v>
      </c>
      <c r="H19" s="519">
        <f>減価償却資産台帳!K7</f>
        <v>0</v>
      </c>
      <c r="I19" s="521" t="str">
        <f>減価償却資産台帳!N7</f>
        <v/>
      </c>
      <c r="J19" s="521">
        <f>減価償却資産台帳!R7</f>
        <v>0</v>
      </c>
      <c r="K19" s="764" t="str">
        <f>減価償却資産台帳!S7</f>
        <v/>
      </c>
      <c r="L19" s="765">
        <f>減価償却資産台帳!T7</f>
        <v>0</v>
      </c>
      <c r="M19" s="766" t="str">
        <f>減価償却資産台帳!U7</f>
        <v/>
      </c>
      <c r="N19" s="767">
        <f>減価償却資産台帳!V7</f>
        <v>0</v>
      </c>
      <c r="O19" s="768" t="str">
        <f>減価償却資産台帳!U7</f>
        <v/>
      </c>
      <c r="P19" s="769" t="str">
        <f>減価償却資産台帳!X7</f>
        <v/>
      </c>
      <c r="Q19" s="523">
        <f>減価償却資産台帳!Y7</f>
        <v>0</v>
      </c>
    </row>
    <row r="20" spans="1:17" ht="24.95" customHeight="1">
      <c r="A20" s="517">
        <f>減価償却資産台帳!B8</f>
        <v>0</v>
      </c>
      <c r="B20" s="518">
        <f>減価償却資産台帳!E8</f>
        <v>0</v>
      </c>
      <c r="C20" s="518">
        <f>減価償却資産台帳!F8</f>
        <v>0</v>
      </c>
      <c r="D20" s="519">
        <f>減価償却資産台帳!G8</f>
        <v>0</v>
      </c>
      <c r="E20" s="520">
        <f>減価償却資産台帳!H8</f>
        <v>0</v>
      </c>
      <c r="F20" s="520" t="str">
        <f>減価償却資産台帳!M8</f>
        <v/>
      </c>
      <c r="G20" s="518">
        <f>減価償却資産台帳!J8</f>
        <v>0</v>
      </c>
      <c r="H20" s="519">
        <f>減価償却資産台帳!K8</f>
        <v>0</v>
      </c>
      <c r="I20" s="521" t="str">
        <f>減価償却資産台帳!N8</f>
        <v/>
      </c>
      <c r="J20" s="521">
        <f>減価償却資産台帳!R8</f>
        <v>0</v>
      </c>
      <c r="K20" s="764" t="str">
        <f>減価償却資産台帳!S8</f>
        <v/>
      </c>
      <c r="L20" s="765">
        <f>減価償却資産台帳!T8</f>
        <v>0</v>
      </c>
      <c r="M20" s="766" t="str">
        <f>減価償却資産台帳!U8</f>
        <v/>
      </c>
      <c r="N20" s="767">
        <f>減価償却資産台帳!V8</f>
        <v>0</v>
      </c>
      <c r="O20" s="768" t="str">
        <f>減価償却資産台帳!U8</f>
        <v/>
      </c>
      <c r="P20" s="769" t="str">
        <f>減価償却資産台帳!X8</f>
        <v/>
      </c>
      <c r="Q20" s="523">
        <f>減価償却資産台帳!Y8</f>
        <v>0</v>
      </c>
    </row>
    <row r="21" spans="1:17" ht="24.95" customHeight="1">
      <c r="A21" s="517">
        <f>減価償却資産台帳!B9</f>
        <v>0</v>
      </c>
      <c r="B21" s="518">
        <f>減価償却資産台帳!E9</f>
        <v>0</v>
      </c>
      <c r="C21" s="518">
        <f>減価償却資産台帳!F9</f>
        <v>0</v>
      </c>
      <c r="D21" s="519">
        <f>減価償却資産台帳!G9</f>
        <v>0</v>
      </c>
      <c r="E21" s="520">
        <f>減価償却資産台帳!H9</f>
        <v>0</v>
      </c>
      <c r="F21" s="520" t="str">
        <f>減価償却資産台帳!M9</f>
        <v/>
      </c>
      <c r="G21" s="518">
        <f>減価償却資産台帳!J9</f>
        <v>0</v>
      </c>
      <c r="H21" s="519">
        <f>減価償却資産台帳!K9</f>
        <v>0</v>
      </c>
      <c r="I21" s="521" t="str">
        <f>減価償却資産台帳!N9</f>
        <v/>
      </c>
      <c r="J21" s="521">
        <f>減価償却資産台帳!R9</f>
        <v>0</v>
      </c>
      <c r="K21" s="764" t="str">
        <f>減価償却資産台帳!S9</f>
        <v/>
      </c>
      <c r="L21" s="765">
        <f>減価償却資産台帳!T9</f>
        <v>0</v>
      </c>
      <c r="M21" s="766" t="str">
        <f>減価償却資産台帳!U9</f>
        <v/>
      </c>
      <c r="N21" s="767">
        <f>減価償却資産台帳!V9</f>
        <v>0</v>
      </c>
      <c r="O21" s="768" t="str">
        <f>減価償却資産台帳!U9</f>
        <v/>
      </c>
      <c r="P21" s="769" t="str">
        <f>減価償却資産台帳!X9</f>
        <v/>
      </c>
      <c r="Q21" s="523">
        <f>減価償却資産台帳!Y9</f>
        <v>0</v>
      </c>
    </row>
    <row r="22" spans="1:17" ht="24.95" customHeight="1" thickBot="1">
      <c r="A22" s="517">
        <f>減価償却資産台帳!B10</f>
        <v>0</v>
      </c>
      <c r="B22" s="518">
        <f>減価償却資産台帳!E10</f>
        <v>0</v>
      </c>
      <c r="C22" s="518">
        <f>減価償却資産台帳!F10</f>
        <v>0</v>
      </c>
      <c r="D22" s="519">
        <f>減価償却資産台帳!G10</f>
        <v>0</v>
      </c>
      <c r="E22" s="520">
        <f>減価償却資産台帳!H10</f>
        <v>0</v>
      </c>
      <c r="F22" s="520" t="str">
        <f>減価償却資産台帳!M10</f>
        <v/>
      </c>
      <c r="G22" s="518">
        <f>減価償却資産台帳!J10</f>
        <v>0</v>
      </c>
      <c r="H22" s="519">
        <f>減価償却資産台帳!K10</f>
        <v>0</v>
      </c>
      <c r="I22" s="521" t="str">
        <f>減価償却資産台帳!N10</f>
        <v/>
      </c>
      <c r="J22" s="521">
        <f>減価償却資産台帳!R10</f>
        <v>0</v>
      </c>
      <c r="K22" s="764" t="str">
        <f>減価償却資産台帳!S10</f>
        <v/>
      </c>
      <c r="L22" s="765">
        <f>減価償却資産台帳!T10</f>
        <v>0</v>
      </c>
      <c r="M22" s="766" t="str">
        <f>減価償却資産台帳!U10</f>
        <v/>
      </c>
      <c r="N22" s="767">
        <f>減価償却資産台帳!V10</f>
        <v>0</v>
      </c>
      <c r="O22" s="768" t="str">
        <f>減価償却資産台帳!U10</f>
        <v/>
      </c>
      <c r="P22" s="769" t="str">
        <f>減価償却資産台帳!X10</f>
        <v/>
      </c>
      <c r="Q22" s="523">
        <f>減価償却資産台帳!Y10</f>
        <v>0</v>
      </c>
    </row>
    <row r="23" spans="1:17" ht="24.95" customHeight="1" thickTop="1" thickBot="1">
      <c r="A23" s="533"/>
      <c r="B23" s="163"/>
      <c r="C23" s="163"/>
      <c r="D23" s="164"/>
      <c r="E23" s="165"/>
      <c r="F23" s="166"/>
      <c r="G23" s="163"/>
      <c r="H23" s="164"/>
      <c r="I23" s="166"/>
      <c r="J23" s="166"/>
      <c r="K23" s="770">
        <f>SUM(K17:K22)</f>
        <v>0</v>
      </c>
      <c r="L23" s="771"/>
      <c r="M23" s="770">
        <f>SUM(M17:M22)</f>
        <v>0</v>
      </c>
      <c r="N23" s="772"/>
      <c r="O23" s="773">
        <f>SUM(O17:O22)</f>
        <v>0</v>
      </c>
      <c r="P23" s="774">
        <f>SUM(P17:P22)</f>
        <v>0</v>
      </c>
      <c r="Q23" s="534"/>
    </row>
    <row r="24" spans="1:17" ht="30" customHeight="1" thickTop="1">
      <c r="A24" s="63"/>
      <c r="B24" s="17"/>
      <c r="C24" s="17"/>
      <c r="D24" s="136"/>
      <c r="E24" s="167"/>
      <c r="F24" s="147"/>
      <c r="G24" s="17"/>
      <c r="H24" s="136"/>
      <c r="I24" s="63"/>
      <c r="J24" s="63"/>
      <c r="K24" s="63"/>
      <c r="L24" s="63"/>
      <c r="M24" s="63"/>
      <c r="N24" s="83"/>
      <c r="O24" s="83"/>
    </row>
    <row r="25" spans="1:17" ht="30" customHeight="1">
      <c r="A25" s="63"/>
      <c r="B25" s="17"/>
      <c r="C25" s="17"/>
      <c r="D25" s="136"/>
      <c r="E25" s="63"/>
      <c r="F25" s="63"/>
      <c r="G25" s="148"/>
      <c r="H25" s="63"/>
      <c r="I25" s="63"/>
      <c r="J25" s="63"/>
      <c r="K25" s="63"/>
      <c r="L25" s="63"/>
      <c r="M25" s="63"/>
      <c r="N25" s="83"/>
      <c r="O25" s="83"/>
    </row>
    <row r="26" spans="1:17" ht="30" customHeight="1">
      <c r="A26" s="63"/>
      <c r="B26" s="17"/>
      <c r="C26" s="17"/>
      <c r="D26" s="136"/>
      <c r="E26" s="63"/>
      <c r="F26" s="63"/>
      <c r="G26" s="148"/>
      <c r="H26" s="63"/>
      <c r="I26" s="63"/>
      <c r="J26" s="63"/>
      <c r="K26" s="63"/>
      <c r="L26" s="63"/>
      <c r="M26" s="63"/>
      <c r="N26" s="83"/>
      <c r="O26" s="83"/>
    </row>
    <row r="27" spans="1:17" ht="30" customHeight="1">
      <c r="A27" s="83"/>
      <c r="B27" s="86"/>
      <c r="C27" s="86"/>
      <c r="D27" s="83"/>
      <c r="E27" s="83"/>
      <c r="F27" s="83"/>
      <c r="G27" s="86"/>
      <c r="H27" s="86"/>
      <c r="I27" s="83"/>
      <c r="J27" s="83"/>
      <c r="K27" s="83"/>
      <c r="L27" s="83"/>
      <c r="M27" s="83"/>
      <c r="N27" s="83"/>
      <c r="O27" s="83"/>
    </row>
    <row r="28" spans="1:17" ht="20.100000000000001" customHeight="1">
      <c r="A28" s="83"/>
      <c r="B28" s="86"/>
      <c r="C28" s="86"/>
      <c r="D28" s="83"/>
      <c r="E28" s="83"/>
      <c r="F28" s="83"/>
      <c r="G28" s="86"/>
      <c r="H28" s="86"/>
      <c r="I28" s="83"/>
      <c r="J28" s="83"/>
      <c r="K28" s="83"/>
      <c r="L28" s="83"/>
      <c r="M28" s="83"/>
      <c r="N28" s="83"/>
      <c r="O28" s="83"/>
    </row>
    <row r="29" spans="1:17" ht="20.100000000000001" customHeight="1">
      <c r="A29" s="83"/>
      <c r="B29" s="86"/>
      <c r="C29" s="86"/>
      <c r="D29" s="83"/>
      <c r="E29" s="83"/>
      <c r="F29" s="83"/>
      <c r="G29" s="86"/>
      <c r="H29" s="86"/>
      <c r="I29" s="83"/>
      <c r="J29" s="83"/>
      <c r="K29" s="83"/>
      <c r="L29" s="83"/>
      <c r="M29" s="83"/>
      <c r="N29" s="83"/>
      <c r="O29" s="83"/>
    </row>
    <row r="30" spans="1:17" ht="20.100000000000001" customHeight="1">
      <c r="A30" s="83"/>
      <c r="B30" s="86"/>
      <c r="C30" s="86"/>
      <c r="D30" s="83"/>
      <c r="E30" s="83"/>
      <c r="F30" s="83"/>
      <c r="G30" s="86"/>
      <c r="H30" s="86"/>
      <c r="I30" s="83"/>
      <c r="J30" s="83"/>
      <c r="K30" s="83"/>
      <c r="L30" s="83"/>
      <c r="M30" s="83"/>
      <c r="N30" s="83"/>
      <c r="O30" s="83"/>
    </row>
    <row r="31" spans="1:17" ht="20.100000000000001" customHeight="1">
      <c r="A31" s="83"/>
      <c r="B31" s="86"/>
      <c r="C31" s="86"/>
      <c r="D31" s="83"/>
      <c r="E31" s="83"/>
      <c r="F31" s="83"/>
      <c r="G31" s="86"/>
      <c r="H31" s="86"/>
      <c r="I31" s="83"/>
      <c r="J31" s="83"/>
      <c r="K31" s="83"/>
      <c r="L31" s="83"/>
      <c r="M31" s="83"/>
      <c r="N31" s="83"/>
      <c r="O31" s="83"/>
    </row>
    <row r="32" spans="1:17" ht="20.100000000000001" customHeight="1">
      <c r="A32" s="83"/>
      <c r="B32" s="86"/>
      <c r="C32" s="86"/>
      <c r="D32" s="83"/>
      <c r="E32" s="83"/>
      <c r="F32" s="83"/>
      <c r="G32" s="86"/>
      <c r="H32" s="86"/>
      <c r="I32" s="83"/>
      <c r="J32" s="83"/>
      <c r="K32" s="83"/>
      <c r="L32" s="83"/>
      <c r="M32" s="83"/>
      <c r="N32" s="83"/>
      <c r="O32" s="83"/>
    </row>
    <row r="33" spans="1:15" ht="20.100000000000001" customHeight="1">
      <c r="A33" s="83"/>
      <c r="B33" s="86"/>
      <c r="C33" s="86"/>
      <c r="D33" s="83"/>
      <c r="E33" s="83"/>
      <c r="F33" s="83"/>
      <c r="G33" s="86"/>
      <c r="H33" s="86"/>
      <c r="I33" s="83"/>
      <c r="J33" s="83"/>
      <c r="K33" s="83"/>
      <c r="L33" s="83"/>
      <c r="M33" s="83"/>
      <c r="N33" s="83"/>
      <c r="O33" s="83"/>
    </row>
    <row r="34" spans="1:15" ht="24.95" customHeight="1">
      <c r="A34" s="83"/>
      <c r="B34" s="86"/>
      <c r="C34" s="86"/>
      <c r="D34" s="83"/>
      <c r="E34" s="83"/>
      <c r="F34" s="83"/>
      <c r="G34" s="86"/>
      <c r="H34" s="86"/>
      <c r="I34" s="83"/>
      <c r="J34" s="83"/>
      <c r="K34" s="83"/>
      <c r="L34" s="83"/>
      <c r="M34" s="83"/>
      <c r="N34" s="83"/>
      <c r="O34" s="83"/>
    </row>
    <row r="35" spans="1:15" ht="30" customHeight="1">
      <c r="A35" s="83"/>
      <c r="B35" s="86"/>
      <c r="C35" s="86"/>
      <c r="D35" s="83"/>
      <c r="E35" s="83"/>
      <c r="F35" s="83"/>
      <c r="G35" s="86"/>
      <c r="H35" s="86"/>
      <c r="I35" s="83"/>
      <c r="J35" s="83"/>
      <c r="K35" s="83"/>
      <c r="L35" s="83"/>
      <c r="M35" s="83"/>
      <c r="N35" s="83"/>
      <c r="O35" s="83"/>
    </row>
  </sheetData>
  <mergeCells count="31">
    <mergeCell ref="H10:J10"/>
    <mergeCell ref="H11:J11"/>
    <mergeCell ref="C14:D16"/>
    <mergeCell ref="H14:H16"/>
    <mergeCell ref="Q14:Q16"/>
    <mergeCell ref="F15:F16"/>
    <mergeCell ref="J15:J16"/>
    <mergeCell ref="L15:L16"/>
    <mergeCell ref="N15:N16"/>
    <mergeCell ref="A14:A15"/>
    <mergeCell ref="B14:B16"/>
    <mergeCell ref="G14:G16"/>
    <mergeCell ref="I15:I16"/>
    <mergeCell ref="A6:B6"/>
    <mergeCell ref="A7:B7"/>
    <mergeCell ref="A8:B8"/>
    <mergeCell ref="C6:G6"/>
    <mergeCell ref="H6:J6"/>
    <mergeCell ref="C7:G7"/>
    <mergeCell ref="H7:J7"/>
    <mergeCell ref="C8:G8"/>
    <mergeCell ref="H8:J8"/>
    <mergeCell ref="A9:G9"/>
    <mergeCell ref="H9:J9"/>
    <mergeCell ref="F10:G11"/>
    <mergeCell ref="A4:B4"/>
    <mergeCell ref="A5:B5"/>
    <mergeCell ref="C4:G4"/>
    <mergeCell ref="H4:J4"/>
    <mergeCell ref="C5:G5"/>
    <mergeCell ref="H5:J5"/>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N17:N22" formula="1"/>
  </ignoredError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CFC3D9"/>
  </sheetPr>
  <dimension ref="A1:H101"/>
  <sheetViews>
    <sheetView showZeros="0"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38" customWidth="1"/>
    <col min="2" max="2" width="20.625" style="39" customWidth="1"/>
    <col min="3" max="3" width="11.25" style="2" customWidth="1"/>
    <col min="4" max="4" width="5.625" style="2" customWidth="1"/>
    <col min="5" max="5" width="12.625" style="51" customWidth="1"/>
    <col min="6" max="7" width="11.625" style="4" customWidth="1"/>
    <col min="8" max="8" width="12.625" style="4" customWidth="1"/>
    <col min="9" max="16384" width="8.875" style="2"/>
  </cols>
  <sheetData>
    <row r="1" spans="1:8" ht="32.1" customHeight="1">
      <c r="A1" s="1099" t="s">
        <v>26</v>
      </c>
      <c r="B1" s="1099"/>
      <c r="C1" s="1099"/>
      <c r="D1" s="1099"/>
      <c r="E1" s="1099"/>
      <c r="F1" s="1099"/>
      <c r="G1" s="1099"/>
      <c r="H1" s="1099"/>
    </row>
    <row r="2" spans="1:8" s="6" customFormat="1" ht="12.95" customHeight="1" thickBot="1">
      <c r="A2" s="37"/>
      <c r="B2" s="32"/>
      <c r="C2" s="5"/>
      <c r="D2" s="34"/>
      <c r="E2" s="7"/>
      <c r="F2" s="8"/>
      <c r="G2" s="8"/>
      <c r="H2" s="59"/>
    </row>
    <row r="3" spans="1:8" s="51" customFormat="1" ht="30" customHeight="1" thickTop="1" thickBot="1">
      <c r="A3" s="405">
        <f>設定メニュー!$B$2</f>
        <v>42736</v>
      </c>
      <c r="B3" s="1100" t="s">
        <v>1</v>
      </c>
      <c r="C3" s="1101"/>
      <c r="D3" s="1102"/>
      <c r="E3" s="72" t="s">
        <v>63</v>
      </c>
      <c r="F3" s="71" t="s">
        <v>79</v>
      </c>
      <c r="G3" s="72" t="s">
        <v>80</v>
      </c>
      <c r="H3" s="73" t="s">
        <v>29</v>
      </c>
    </row>
    <row r="4" spans="1:8" ht="20.100000000000001" customHeight="1">
      <c r="A4" s="793">
        <f>設定メニュー!$B$2</f>
        <v>42736</v>
      </c>
      <c r="B4" s="870" t="str">
        <f>現金!B4</f>
        <v>前 期 繰 越</v>
      </c>
      <c r="C4" s="871"/>
      <c r="D4" s="1103"/>
      <c r="E4" s="794">
        <f>現金!F4</f>
        <v>0</v>
      </c>
      <c r="F4" s="795">
        <f>現金!G4</f>
        <v>0</v>
      </c>
      <c r="G4" s="795">
        <f>現金!H4</f>
        <v>0</v>
      </c>
      <c r="H4" s="796">
        <f>現金!I4</f>
        <v>0</v>
      </c>
    </row>
    <row r="5" spans="1:8" ht="20.100000000000001" customHeight="1">
      <c r="A5" s="13">
        <f>現金!A5</f>
        <v>0</v>
      </c>
      <c r="B5" s="582">
        <f>現金!B5</f>
        <v>0</v>
      </c>
      <c r="C5" s="583">
        <f>現金!C5</f>
        <v>0</v>
      </c>
      <c r="D5" s="584">
        <f>現金!D5</f>
        <v>0</v>
      </c>
      <c r="E5" s="56">
        <f>現金!F5</f>
        <v>0</v>
      </c>
      <c r="F5" s="57">
        <f>現金!G5</f>
        <v>0</v>
      </c>
      <c r="G5" s="58">
        <f>現金!H5</f>
        <v>0</v>
      </c>
      <c r="H5" s="54" t="str">
        <f>現金!I5</f>
        <v/>
      </c>
    </row>
    <row r="6" spans="1:8" ht="20.100000000000001" customHeight="1">
      <c r="A6" s="13">
        <f>現金!A6</f>
        <v>0</v>
      </c>
      <c r="B6" s="582">
        <f>現金!B6</f>
        <v>0</v>
      </c>
      <c r="C6" s="583">
        <f>現金!C6</f>
        <v>0</v>
      </c>
      <c r="D6" s="584">
        <f>現金!D6</f>
        <v>0</v>
      </c>
      <c r="E6" s="56">
        <f>現金!F6</f>
        <v>0</v>
      </c>
      <c r="F6" s="57">
        <f>現金!G6</f>
        <v>0</v>
      </c>
      <c r="G6" s="58">
        <f>現金!H6</f>
        <v>0</v>
      </c>
      <c r="H6" s="54" t="str">
        <f>現金!I6</f>
        <v/>
      </c>
    </row>
    <row r="7" spans="1:8" ht="20.100000000000001" customHeight="1">
      <c r="A7" s="13">
        <f>現金!A7</f>
        <v>0</v>
      </c>
      <c r="B7" s="582">
        <f>現金!B7</f>
        <v>0</v>
      </c>
      <c r="C7" s="583">
        <f>現金!C7</f>
        <v>0</v>
      </c>
      <c r="D7" s="584">
        <f>現金!D7</f>
        <v>0</v>
      </c>
      <c r="E7" s="56">
        <f>現金!F7</f>
        <v>0</v>
      </c>
      <c r="F7" s="57">
        <f>現金!G7</f>
        <v>0</v>
      </c>
      <c r="G7" s="58">
        <f>現金!H7</f>
        <v>0</v>
      </c>
      <c r="H7" s="54" t="str">
        <f>現金!I7</f>
        <v/>
      </c>
    </row>
    <row r="8" spans="1:8" ht="20.100000000000001" customHeight="1">
      <c r="A8" s="13">
        <f>現金!A8</f>
        <v>0</v>
      </c>
      <c r="B8" s="582">
        <f>現金!B8</f>
        <v>0</v>
      </c>
      <c r="C8" s="583">
        <f>現金!C8</f>
        <v>0</v>
      </c>
      <c r="D8" s="584">
        <f>現金!D8</f>
        <v>0</v>
      </c>
      <c r="E8" s="56">
        <f>現金!F8</f>
        <v>0</v>
      </c>
      <c r="F8" s="57">
        <f>現金!G8</f>
        <v>0</v>
      </c>
      <c r="G8" s="58">
        <f>現金!H8</f>
        <v>0</v>
      </c>
      <c r="H8" s="54" t="str">
        <f>現金!I8</f>
        <v/>
      </c>
    </row>
    <row r="9" spans="1:8" ht="20.100000000000001" customHeight="1">
      <c r="A9" s="13">
        <f>現金!A9</f>
        <v>0</v>
      </c>
      <c r="B9" s="582">
        <f>現金!B9</f>
        <v>0</v>
      </c>
      <c r="C9" s="583">
        <f>現金!C9</f>
        <v>0</v>
      </c>
      <c r="D9" s="584">
        <f>現金!D9</f>
        <v>0</v>
      </c>
      <c r="E9" s="56">
        <f>現金!F9</f>
        <v>0</v>
      </c>
      <c r="F9" s="57">
        <f>現金!G9</f>
        <v>0</v>
      </c>
      <c r="G9" s="58">
        <f>現金!H9</f>
        <v>0</v>
      </c>
      <c r="H9" s="54" t="str">
        <f>現金!I9</f>
        <v/>
      </c>
    </row>
    <row r="10" spans="1:8" ht="20.100000000000001" customHeight="1">
      <c r="A10" s="13">
        <f>現金!A10</f>
        <v>0</v>
      </c>
      <c r="B10" s="582">
        <f>現金!B10</f>
        <v>0</v>
      </c>
      <c r="C10" s="583">
        <f>現金!C10</f>
        <v>0</v>
      </c>
      <c r="D10" s="584">
        <f>現金!D10</f>
        <v>0</v>
      </c>
      <c r="E10" s="56">
        <f>現金!F10</f>
        <v>0</v>
      </c>
      <c r="F10" s="57">
        <f>現金!G10</f>
        <v>0</v>
      </c>
      <c r="G10" s="58">
        <f>現金!H10</f>
        <v>0</v>
      </c>
      <c r="H10" s="54" t="str">
        <f>現金!I10</f>
        <v/>
      </c>
    </row>
    <row r="11" spans="1:8" ht="20.100000000000001" customHeight="1">
      <c r="A11" s="13">
        <f>現金!A11</f>
        <v>0</v>
      </c>
      <c r="B11" s="582">
        <f>現金!B11</f>
        <v>0</v>
      </c>
      <c r="C11" s="583">
        <f>現金!C11</f>
        <v>0</v>
      </c>
      <c r="D11" s="584">
        <f>現金!D11</f>
        <v>0</v>
      </c>
      <c r="E11" s="56">
        <f>現金!F11</f>
        <v>0</v>
      </c>
      <c r="F11" s="57">
        <f>現金!G11</f>
        <v>0</v>
      </c>
      <c r="G11" s="58">
        <f>現金!H11</f>
        <v>0</v>
      </c>
      <c r="H11" s="54" t="str">
        <f>現金!I11</f>
        <v/>
      </c>
    </row>
    <row r="12" spans="1:8" ht="20.100000000000001" customHeight="1">
      <c r="A12" s="13">
        <f>現金!A12</f>
        <v>0</v>
      </c>
      <c r="B12" s="582">
        <f>現金!B12</f>
        <v>0</v>
      </c>
      <c r="C12" s="583">
        <f>現金!C12</f>
        <v>0</v>
      </c>
      <c r="D12" s="584">
        <f>現金!D12</f>
        <v>0</v>
      </c>
      <c r="E12" s="56">
        <f>現金!F12</f>
        <v>0</v>
      </c>
      <c r="F12" s="57">
        <f>現金!G12</f>
        <v>0</v>
      </c>
      <c r="G12" s="58">
        <f>現金!H12</f>
        <v>0</v>
      </c>
      <c r="H12" s="54" t="str">
        <f>現金!I12</f>
        <v/>
      </c>
    </row>
    <row r="13" spans="1:8" ht="20.100000000000001" customHeight="1">
      <c r="A13" s="13">
        <f>現金!A13</f>
        <v>0</v>
      </c>
      <c r="B13" s="582">
        <f>現金!B13</f>
        <v>0</v>
      </c>
      <c r="C13" s="583">
        <f>現金!C13</f>
        <v>0</v>
      </c>
      <c r="D13" s="584">
        <f>現金!D13</f>
        <v>0</v>
      </c>
      <c r="E13" s="56">
        <f>現金!F13</f>
        <v>0</v>
      </c>
      <c r="F13" s="57">
        <f>現金!G13</f>
        <v>0</v>
      </c>
      <c r="G13" s="58">
        <f>現金!H13</f>
        <v>0</v>
      </c>
      <c r="H13" s="54" t="str">
        <f>現金!I13</f>
        <v/>
      </c>
    </row>
    <row r="14" spans="1:8" ht="20.100000000000001" customHeight="1">
      <c r="A14" s="13">
        <f>現金!A14</f>
        <v>0</v>
      </c>
      <c r="B14" s="582">
        <f>現金!B14</f>
        <v>0</v>
      </c>
      <c r="C14" s="583">
        <f>現金!C14</f>
        <v>0</v>
      </c>
      <c r="D14" s="584">
        <f>現金!D14</f>
        <v>0</v>
      </c>
      <c r="E14" s="56">
        <f>現金!F14</f>
        <v>0</v>
      </c>
      <c r="F14" s="57">
        <f>現金!G14</f>
        <v>0</v>
      </c>
      <c r="G14" s="58">
        <f>現金!H14</f>
        <v>0</v>
      </c>
      <c r="H14" s="54" t="str">
        <f>現金!I14</f>
        <v/>
      </c>
    </row>
    <row r="15" spans="1:8" ht="20.100000000000001" customHeight="1">
      <c r="A15" s="13">
        <f>現金!A15</f>
        <v>0</v>
      </c>
      <c r="B15" s="582">
        <f>現金!B15</f>
        <v>0</v>
      </c>
      <c r="C15" s="583">
        <f>現金!C15</f>
        <v>0</v>
      </c>
      <c r="D15" s="584">
        <f>現金!D15</f>
        <v>0</v>
      </c>
      <c r="E15" s="56">
        <f>現金!F15</f>
        <v>0</v>
      </c>
      <c r="F15" s="57">
        <f>現金!G15</f>
        <v>0</v>
      </c>
      <c r="G15" s="58">
        <f>現金!H15</f>
        <v>0</v>
      </c>
      <c r="H15" s="54" t="str">
        <f>現金!I15</f>
        <v/>
      </c>
    </row>
    <row r="16" spans="1:8" ht="20.100000000000001" customHeight="1">
      <c r="A16" s="13">
        <f>現金!A16</f>
        <v>0</v>
      </c>
      <c r="B16" s="582">
        <f>現金!B16</f>
        <v>0</v>
      </c>
      <c r="C16" s="583">
        <f>現金!C16</f>
        <v>0</v>
      </c>
      <c r="D16" s="584">
        <f>現金!D16</f>
        <v>0</v>
      </c>
      <c r="E16" s="56">
        <f>現金!F16</f>
        <v>0</v>
      </c>
      <c r="F16" s="57">
        <f>現金!G16</f>
        <v>0</v>
      </c>
      <c r="G16" s="58">
        <f>現金!H16</f>
        <v>0</v>
      </c>
      <c r="H16" s="54" t="str">
        <f>現金!I16</f>
        <v/>
      </c>
    </row>
    <row r="17" spans="1:8" ht="20.100000000000001" customHeight="1">
      <c r="A17" s="13">
        <f>現金!A17</f>
        <v>0</v>
      </c>
      <c r="B17" s="582">
        <f>現金!B17</f>
        <v>0</v>
      </c>
      <c r="C17" s="583">
        <f>現金!C17</f>
        <v>0</v>
      </c>
      <c r="D17" s="584">
        <f>現金!D17</f>
        <v>0</v>
      </c>
      <c r="E17" s="56">
        <f>現金!F17</f>
        <v>0</v>
      </c>
      <c r="F17" s="57">
        <f>現金!G17</f>
        <v>0</v>
      </c>
      <c r="G17" s="58">
        <f>現金!H17</f>
        <v>0</v>
      </c>
      <c r="H17" s="54" t="str">
        <f>現金!I17</f>
        <v/>
      </c>
    </row>
    <row r="18" spans="1:8" ht="20.100000000000001" customHeight="1">
      <c r="A18" s="13">
        <f>現金!A18</f>
        <v>0</v>
      </c>
      <c r="B18" s="582">
        <f>現金!B18</f>
        <v>0</v>
      </c>
      <c r="C18" s="583">
        <f>現金!C18</f>
        <v>0</v>
      </c>
      <c r="D18" s="584">
        <f>現金!D18</f>
        <v>0</v>
      </c>
      <c r="E18" s="56">
        <f>現金!F18</f>
        <v>0</v>
      </c>
      <c r="F18" s="57">
        <f>現金!G18</f>
        <v>0</v>
      </c>
      <c r="G18" s="58">
        <f>現金!H18</f>
        <v>0</v>
      </c>
      <c r="H18" s="54" t="str">
        <f>現金!I18</f>
        <v/>
      </c>
    </row>
    <row r="19" spans="1:8" ht="20.100000000000001" customHeight="1">
      <c r="A19" s="13">
        <f>現金!A19</f>
        <v>0</v>
      </c>
      <c r="B19" s="582">
        <f>現金!B19</f>
        <v>0</v>
      </c>
      <c r="C19" s="583">
        <f>現金!C19</f>
        <v>0</v>
      </c>
      <c r="D19" s="584">
        <f>現金!D19</f>
        <v>0</v>
      </c>
      <c r="E19" s="56">
        <f>現金!F19</f>
        <v>0</v>
      </c>
      <c r="F19" s="57">
        <f>現金!G19</f>
        <v>0</v>
      </c>
      <c r="G19" s="58">
        <f>現金!H19</f>
        <v>0</v>
      </c>
      <c r="H19" s="54" t="str">
        <f>現金!I19</f>
        <v/>
      </c>
    </row>
    <row r="20" spans="1:8" ht="20.100000000000001" customHeight="1">
      <c r="A20" s="13">
        <f>現金!A20</f>
        <v>0</v>
      </c>
      <c r="B20" s="582">
        <f>現金!B20</f>
        <v>0</v>
      </c>
      <c r="C20" s="583">
        <f>現金!C20</f>
        <v>0</v>
      </c>
      <c r="D20" s="584">
        <f>現金!D20</f>
        <v>0</v>
      </c>
      <c r="E20" s="56">
        <f>現金!F20</f>
        <v>0</v>
      </c>
      <c r="F20" s="57">
        <f>現金!G20</f>
        <v>0</v>
      </c>
      <c r="G20" s="58">
        <f>現金!H20</f>
        <v>0</v>
      </c>
      <c r="H20" s="54" t="str">
        <f>現金!I20</f>
        <v/>
      </c>
    </row>
    <row r="21" spans="1:8" ht="20.100000000000001" customHeight="1">
      <c r="A21" s="13">
        <f>現金!A21</f>
        <v>0</v>
      </c>
      <c r="B21" s="582">
        <f>現金!B21</f>
        <v>0</v>
      </c>
      <c r="C21" s="583">
        <f>現金!C21</f>
        <v>0</v>
      </c>
      <c r="D21" s="584">
        <f>現金!D21</f>
        <v>0</v>
      </c>
      <c r="E21" s="56">
        <f>現金!F21</f>
        <v>0</v>
      </c>
      <c r="F21" s="57">
        <f>現金!G21</f>
        <v>0</v>
      </c>
      <c r="G21" s="58">
        <f>現金!H21</f>
        <v>0</v>
      </c>
      <c r="H21" s="54" t="str">
        <f>現金!I21</f>
        <v/>
      </c>
    </row>
    <row r="22" spans="1:8" ht="20.100000000000001" customHeight="1">
      <c r="A22" s="13">
        <f>現金!A22</f>
        <v>0</v>
      </c>
      <c r="B22" s="582">
        <f>現金!B22</f>
        <v>0</v>
      </c>
      <c r="C22" s="583">
        <f>現金!C22</f>
        <v>0</v>
      </c>
      <c r="D22" s="584">
        <f>現金!D22</f>
        <v>0</v>
      </c>
      <c r="E22" s="56">
        <f>現金!F22</f>
        <v>0</v>
      </c>
      <c r="F22" s="57">
        <f>現金!G22</f>
        <v>0</v>
      </c>
      <c r="G22" s="58">
        <f>現金!H22</f>
        <v>0</v>
      </c>
      <c r="H22" s="54" t="str">
        <f>現金!I22</f>
        <v/>
      </c>
    </row>
    <row r="23" spans="1:8" ht="20.100000000000001" customHeight="1">
      <c r="A23" s="13">
        <f>現金!A23</f>
        <v>0</v>
      </c>
      <c r="B23" s="582">
        <f>現金!B23</f>
        <v>0</v>
      </c>
      <c r="C23" s="583">
        <f>現金!C23</f>
        <v>0</v>
      </c>
      <c r="D23" s="584">
        <f>現金!D23</f>
        <v>0</v>
      </c>
      <c r="E23" s="56">
        <f>現金!F23</f>
        <v>0</v>
      </c>
      <c r="F23" s="57">
        <f>現金!G23</f>
        <v>0</v>
      </c>
      <c r="G23" s="58">
        <f>現金!H23</f>
        <v>0</v>
      </c>
      <c r="H23" s="54" t="str">
        <f>現金!I23</f>
        <v/>
      </c>
    </row>
    <row r="24" spans="1:8" ht="20.100000000000001" customHeight="1">
      <c r="A24" s="13">
        <f>現金!A24</f>
        <v>0</v>
      </c>
      <c r="B24" s="582">
        <f>現金!B24</f>
        <v>0</v>
      </c>
      <c r="C24" s="583">
        <f>現金!C24</f>
        <v>0</v>
      </c>
      <c r="D24" s="584">
        <f>現金!D24</f>
        <v>0</v>
      </c>
      <c r="E24" s="56">
        <f>現金!F24</f>
        <v>0</v>
      </c>
      <c r="F24" s="57">
        <f>現金!G24</f>
        <v>0</v>
      </c>
      <c r="G24" s="58">
        <f>現金!H24</f>
        <v>0</v>
      </c>
      <c r="H24" s="54" t="str">
        <f>現金!I24</f>
        <v/>
      </c>
    </row>
    <row r="25" spans="1:8" ht="20.100000000000001" customHeight="1">
      <c r="A25" s="13">
        <f>現金!A25</f>
        <v>0</v>
      </c>
      <c r="B25" s="582">
        <f>現金!B25</f>
        <v>0</v>
      </c>
      <c r="C25" s="583">
        <f>現金!C25</f>
        <v>0</v>
      </c>
      <c r="D25" s="584">
        <f>現金!D25</f>
        <v>0</v>
      </c>
      <c r="E25" s="56">
        <f>現金!F25</f>
        <v>0</v>
      </c>
      <c r="F25" s="57">
        <f>現金!G25</f>
        <v>0</v>
      </c>
      <c r="G25" s="58">
        <f>現金!H25</f>
        <v>0</v>
      </c>
      <c r="H25" s="54" t="str">
        <f>現金!I25</f>
        <v/>
      </c>
    </row>
    <row r="26" spans="1:8" ht="20.100000000000001" customHeight="1">
      <c r="A26" s="13">
        <f>現金!A26</f>
        <v>0</v>
      </c>
      <c r="B26" s="582">
        <f>現金!B26</f>
        <v>0</v>
      </c>
      <c r="C26" s="583">
        <f>現金!C26</f>
        <v>0</v>
      </c>
      <c r="D26" s="584">
        <f>現金!D26</f>
        <v>0</v>
      </c>
      <c r="E26" s="56">
        <f>現金!F26</f>
        <v>0</v>
      </c>
      <c r="F26" s="57">
        <f>現金!G26</f>
        <v>0</v>
      </c>
      <c r="G26" s="58">
        <f>現金!H26</f>
        <v>0</v>
      </c>
      <c r="H26" s="54" t="str">
        <f>現金!I26</f>
        <v/>
      </c>
    </row>
    <row r="27" spans="1:8" ht="20.100000000000001" customHeight="1">
      <c r="A27" s="13">
        <f>現金!A27</f>
        <v>0</v>
      </c>
      <c r="B27" s="582">
        <f>現金!B27</f>
        <v>0</v>
      </c>
      <c r="C27" s="583">
        <f>現金!C27</f>
        <v>0</v>
      </c>
      <c r="D27" s="584">
        <f>現金!D27</f>
        <v>0</v>
      </c>
      <c r="E27" s="56">
        <f>現金!F27</f>
        <v>0</v>
      </c>
      <c r="F27" s="57">
        <f>現金!G27</f>
        <v>0</v>
      </c>
      <c r="G27" s="58">
        <f>現金!H27</f>
        <v>0</v>
      </c>
      <c r="H27" s="54" t="str">
        <f>現金!I27</f>
        <v/>
      </c>
    </row>
    <row r="28" spans="1:8" ht="20.100000000000001" customHeight="1">
      <c r="A28" s="13">
        <f>現金!A28</f>
        <v>0</v>
      </c>
      <c r="B28" s="582">
        <f>現金!B28</f>
        <v>0</v>
      </c>
      <c r="C28" s="583">
        <f>現金!C28</f>
        <v>0</v>
      </c>
      <c r="D28" s="584">
        <f>現金!D28</f>
        <v>0</v>
      </c>
      <c r="E28" s="56">
        <f>現金!F28</f>
        <v>0</v>
      </c>
      <c r="F28" s="57">
        <f>現金!G28</f>
        <v>0</v>
      </c>
      <c r="G28" s="58">
        <f>現金!H28</f>
        <v>0</v>
      </c>
      <c r="H28" s="54" t="str">
        <f>現金!I28</f>
        <v/>
      </c>
    </row>
    <row r="29" spans="1:8" ht="20.100000000000001" customHeight="1">
      <c r="A29" s="13">
        <f>現金!A29</f>
        <v>0</v>
      </c>
      <c r="B29" s="582">
        <f>現金!B29</f>
        <v>0</v>
      </c>
      <c r="C29" s="583">
        <f>現金!C29</f>
        <v>0</v>
      </c>
      <c r="D29" s="584">
        <f>現金!D29</f>
        <v>0</v>
      </c>
      <c r="E29" s="56">
        <f>現金!F29</f>
        <v>0</v>
      </c>
      <c r="F29" s="57">
        <f>現金!G29</f>
        <v>0</v>
      </c>
      <c r="G29" s="58">
        <f>現金!H29</f>
        <v>0</v>
      </c>
      <c r="H29" s="54" t="str">
        <f>現金!I29</f>
        <v/>
      </c>
    </row>
    <row r="30" spans="1:8" ht="20.100000000000001" customHeight="1">
      <c r="A30" s="13">
        <f>現金!A30</f>
        <v>0</v>
      </c>
      <c r="B30" s="582">
        <f>現金!B30</f>
        <v>0</v>
      </c>
      <c r="C30" s="583">
        <f>現金!C30</f>
        <v>0</v>
      </c>
      <c r="D30" s="584">
        <f>現金!D30</f>
        <v>0</v>
      </c>
      <c r="E30" s="56">
        <f>現金!F30</f>
        <v>0</v>
      </c>
      <c r="F30" s="57">
        <f>現金!G30</f>
        <v>0</v>
      </c>
      <c r="G30" s="58">
        <f>現金!H30</f>
        <v>0</v>
      </c>
      <c r="H30" s="54" t="str">
        <f>現金!I30</f>
        <v/>
      </c>
    </row>
    <row r="31" spans="1:8" ht="20.100000000000001" customHeight="1">
      <c r="A31" s="13">
        <f>現金!A31</f>
        <v>0</v>
      </c>
      <c r="B31" s="582">
        <f>現金!B31</f>
        <v>0</v>
      </c>
      <c r="C31" s="583">
        <f>現金!C31</f>
        <v>0</v>
      </c>
      <c r="D31" s="584">
        <f>現金!D31</f>
        <v>0</v>
      </c>
      <c r="E31" s="56">
        <f>現金!F31</f>
        <v>0</v>
      </c>
      <c r="F31" s="57">
        <f>現金!G31</f>
        <v>0</v>
      </c>
      <c r="G31" s="58">
        <f>現金!H31</f>
        <v>0</v>
      </c>
      <c r="H31" s="54" t="str">
        <f>現金!I31</f>
        <v/>
      </c>
    </row>
    <row r="32" spans="1:8" ht="20.100000000000001" customHeight="1">
      <c r="A32" s="13">
        <f>現金!A32</f>
        <v>0</v>
      </c>
      <c r="B32" s="582">
        <f>現金!B32</f>
        <v>0</v>
      </c>
      <c r="C32" s="583">
        <f>現金!C32</f>
        <v>0</v>
      </c>
      <c r="D32" s="584">
        <f>現金!D32</f>
        <v>0</v>
      </c>
      <c r="E32" s="56">
        <f>現金!F32</f>
        <v>0</v>
      </c>
      <c r="F32" s="57">
        <f>現金!G32</f>
        <v>0</v>
      </c>
      <c r="G32" s="58">
        <f>現金!H32</f>
        <v>0</v>
      </c>
      <c r="H32" s="54" t="str">
        <f>現金!I32</f>
        <v/>
      </c>
    </row>
    <row r="33" spans="1:8" ht="20.100000000000001" customHeight="1">
      <c r="A33" s="13">
        <f>現金!A33</f>
        <v>0</v>
      </c>
      <c r="B33" s="582">
        <f>現金!B33</f>
        <v>0</v>
      </c>
      <c r="C33" s="583">
        <f>現金!C33</f>
        <v>0</v>
      </c>
      <c r="D33" s="584">
        <f>現金!D33</f>
        <v>0</v>
      </c>
      <c r="E33" s="56">
        <f>現金!F33</f>
        <v>0</v>
      </c>
      <c r="F33" s="57">
        <f>現金!G33</f>
        <v>0</v>
      </c>
      <c r="G33" s="58">
        <f>現金!H33</f>
        <v>0</v>
      </c>
      <c r="H33" s="54" t="str">
        <f>現金!I33</f>
        <v/>
      </c>
    </row>
    <row r="34" spans="1:8" ht="20.100000000000001" customHeight="1">
      <c r="A34" s="13">
        <f>現金!A34</f>
        <v>0</v>
      </c>
      <c r="B34" s="582">
        <f>現金!B34</f>
        <v>0</v>
      </c>
      <c r="C34" s="583">
        <f>現金!C34</f>
        <v>0</v>
      </c>
      <c r="D34" s="584">
        <f>現金!D34</f>
        <v>0</v>
      </c>
      <c r="E34" s="56">
        <f>現金!F34</f>
        <v>0</v>
      </c>
      <c r="F34" s="57">
        <f>現金!G34</f>
        <v>0</v>
      </c>
      <c r="G34" s="58">
        <f>現金!H34</f>
        <v>0</v>
      </c>
      <c r="H34" s="54" t="str">
        <f>現金!I34</f>
        <v/>
      </c>
    </row>
    <row r="35" spans="1:8" ht="20.100000000000001" customHeight="1">
      <c r="A35" s="13">
        <f>現金!A35</f>
        <v>0</v>
      </c>
      <c r="B35" s="582">
        <f>現金!B35</f>
        <v>0</v>
      </c>
      <c r="C35" s="583">
        <f>現金!C35</f>
        <v>0</v>
      </c>
      <c r="D35" s="584">
        <f>現金!D35</f>
        <v>0</v>
      </c>
      <c r="E35" s="56">
        <f>現金!F35</f>
        <v>0</v>
      </c>
      <c r="F35" s="57">
        <f>現金!G35</f>
        <v>0</v>
      </c>
      <c r="G35" s="58">
        <f>現金!H35</f>
        <v>0</v>
      </c>
      <c r="H35" s="54" t="str">
        <f>現金!I35</f>
        <v/>
      </c>
    </row>
    <row r="36" spans="1:8" ht="20.100000000000001" customHeight="1">
      <c r="A36" s="13">
        <f>現金!A36</f>
        <v>0</v>
      </c>
      <c r="B36" s="582">
        <f>現金!B36</f>
        <v>0</v>
      </c>
      <c r="C36" s="583">
        <f>現金!C36</f>
        <v>0</v>
      </c>
      <c r="D36" s="584">
        <f>現金!D36</f>
        <v>0</v>
      </c>
      <c r="E36" s="56">
        <f>現金!F36</f>
        <v>0</v>
      </c>
      <c r="F36" s="57">
        <f>現金!G36</f>
        <v>0</v>
      </c>
      <c r="G36" s="58">
        <f>現金!H36</f>
        <v>0</v>
      </c>
      <c r="H36" s="54" t="str">
        <f>現金!I36</f>
        <v/>
      </c>
    </row>
    <row r="37" spans="1:8" ht="20.100000000000001" customHeight="1">
      <c r="A37" s="13">
        <f>現金!A37</f>
        <v>0</v>
      </c>
      <c r="B37" s="582">
        <f>現金!B37</f>
        <v>0</v>
      </c>
      <c r="C37" s="583">
        <f>現金!C37</f>
        <v>0</v>
      </c>
      <c r="D37" s="584">
        <f>現金!D37</f>
        <v>0</v>
      </c>
      <c r="E37" s="56">
        <f>現金!F37</f>
        <v>0</v>
      </c>
      <c r="F37" s="57">
        <f>現金!G37</f>
        <v>0</v>
      </c>
      <c r="G37" s="58">
        <f>現金!H37</f>
        <v>0</v>
      </c>
      <c r="H37" s="54" t="str">
        <f>現金!I37</f>
        <v/>
      </c>
    </row>
    <row r="38" spans="1:8" ht="20.100000000000001" customHeight="1">
      <c r="A38" s="13">
        <f>現金!A38</f>
        <v>0</v>
      </c>
      <c r="B38" s="582">
        <f>現金!B38</f>
        <v>0</v>
      </c>
      <c r="C38" s="583">
        <f>現金!C38</f>
        <v>0</v>
      </c>
      <c r="D38" s="584">
        <f>現金!D38</f>
        <v>0</v>
      </c>
      <c r="E38" s="56">
        <f>現金!F38</f>
        <v>0</v>
      </c>
      <c r="F38" s="57">
        <f>現金!G38</f>
        <v>0</v>
      </c>
      <c r="G38" s="58">
        <f>現金!H38</f>
        <v>0</v>
      </c>
      <c r="H38" s="54" t="str">
        <f>現金!I38</f>
        <v/>
      </c>
    </row>
    <row r="39" spans="1:8" ht="20.100000000000001" customHeight="1">
      <c r="A39" s="13">
        <f>現金!A39</f>
        <v>0</v>
      </c>
      <c r="B39" s="582">
        <f>現金!B39</f>
        <v>0</v>
      </c>
      <c r="C39" s="583">
        <f>現金!C39</f>
        <v>0</v>
      </c>
      <c r="D39" s="584">
        <f>現金!D39</f>
        <v>0</v>
      </c>
      <c r="E39" s="56">
        <f>現金!F39</f>
        <v>0</v>
      </c>
      <c r="F39" s="57">
        <f>現金!G39</f>
        <v>0</v>
      </c>
      <c r="G39" s="58">
        <f>現金!H39</f>
        <v>0</v>
      </c>
      <c r="H39" s="54" t="str">
        <f>現金!I39</f>
        <v/>
      </c>
    </row>
    <row r="40" spans="1:8" ht="20.100000000000001" customHeight="1">
      <c r="A40" s="13">
        <f>現金!A40</f>
        <v>0</v>
      </c>
      <c r="B40" s="582">
        <f>現金!B40</f>
        <v>0</v>
      </c>
      <c r="C40" s="583">
        <f>現金!C40</f>
        <v>0</v>
      </c>
      <c r="D40" s="584">
        <f>現金!D40</f>
        <v>0</v>
      </c>
      <c r="E40" s="56">
        <f>現金!F40</f>
        <v>0</v>
      </c>
      <c r="F40" s="57">
        <f>現金!G40</f>
        <v>0</v>
      </c>
      <c r="G40" s="58">
        <f>現金!H40</f>
        <v>0</v>
      </c>
      <c r="H40" s="54" t="str">
        <f>現金!I40</f>
        <v/>
      </c>
    </row>
    <row r="41" spans="1:8" ht="20.100000000000001" customHeight="1">
      <c r="A41" s="13">
        <f>現金!A41</f>
        <v>0</v>
      </c>
      <c r="B41" s="582">
        <f>現金!B41</f>
        <v>0</v>
      </c>
      <c r="C41" s="583">
        <f>現金!C41</f>
        <v>0</v>
      </c>
      <c r="D41" s="584">
        <f>現金!D41</f>
        <v>0</v>
      </c>
      <c r="E41" s="56">
        <f>現金!F41</f>
        <v>0</v>
      </c>
      <c r="F41" s="57">
        <f>現金!G41</f>
        <v>0</v>
      </c>
      <c r="G41" s="58">
        <f>現金!H41</f>
        <v>0</v>
      </c>
      <c r="H41" s="54" t="str">
        <f>現金!I41</f>
        <v/>
      </c>
    </row>
    <row r="42" spans="1:8" ht="20.100000000000001" customHeight="1">
      <c r="A42" s="13">
        <f>現金!A42</f>
        <v>0</v>
      </c>
      <c r="B42" s="582">
        <f>現金!B42</f>
        <v>0</v>
      </c>
      <c r="C42" s="583">
        <f>現金!C42</f>
        <v>0</v>
      </c>
      <c r="D42" s="584">
        <f>現金!D42</f>
        <v>0</v>
      </c>
      <c r="E42" s="56">
        <f>現金!F42</f>
        <v>0</v>
      </c>
      <c r="F42" s="57">
        <f>現金!G42</f>
        <v>0</v>
      </c>
      <c r="G42" s="58">
        <f>現金!H42</f>
        <v>0</v>
      </c>
      <c r="H42" s="54" t="str">
        <f>現金!I42</f>
        <v/>
      </c>
    </row>
    <row r="43" spans="1:8" ht="20.100000000000001" customHeight="1">
      <c r="A43" s="13">
        <f>現金!A43</f>
        <v>0</v>
      </c>
      <c r="B43" s="582">
        <f>現金!B43</f>
        <v>0</v>
      </c>
      <c r="C43" s="583">
        <f>現金!C43</f>
        <v>0</v>
      </c>
      <c r="D43" s="584">
        <f>現金!D43</f>
        <v>0</v>
      </c>
      <c r="E43" s="56">
        <f>現金!F43</f>
        <v>0</v>
      </c>
      <c r="F43" s="57">
        <f>現金!G43</f>
        <v>0</v>
      </c>
      <c r="G43" s="58">
        <f>現金!H43</f>
        <v>0</v>
      </c>
      <c r="H43" s="54" t="str">
        <f>現金!I43</f>
        <v/>
      </c>
    </row>
    <row r="44" spans="1:8" ht="20.100000000000001" customHeight="1">
      <c r="A44" s="13">
        <f>現金!A44</f>
        <v>0</v>
      </c>
      <c r="B44" s="582">
        <f>現金!B44</f>
        <v>0</v>
      </c>
      <c r="C44" s="583">
        <f>現金!C44</f>
        <v>0</v>
      </c>
      <c r="D44" s="584">
        <f>現金!D44</f>
        <v>0</v>
      </c>
      <c r="E44" s="56">
        <f>現金!F44</f>
        <v>0</v>
      </c>
      <c r="F44" s="57">
        <f>現金!G44</f>
        <v>0</v>
      </c>
      <c r="G44" s="58">
        <f>現金!H44</f>
        <v>0</v>
      </c>
      <c r="H44" s="54" t="str">
        <f>現金!I44</f>
        <v/>
      </c>
    </row>
    <row r="45" spans="1:8" ht="20.100000000000001" customHeight="1">
      <c r="A45" s="13">
        <f>現金!A45</f>
        <v>0</v>
      </c>
      <c r="B45" s="582">
        <f>現金!B45</f>
        <v>0</v>
      </c>
      <c r="C45" s="583">
        <f>現金!C45</f>
        <v>0</v>
      </c>
      <c r="D45" s="584">
        <f>現金!D45</f>
        <v>0</v>
      </c>
      <c r="E45" s="56">
        <f>現金!F45</f>
        <v>0</v>
      </c>
      <c r="F45" s="57">
        <f>現金!G45</f>
        <v>0</v>
      </c>
      <c r="G45" s="58">
        <f>現金!H45</f>
        <v>0</v>
      </c>
      <c r="H45" s="54" t="str">
        <f>現金!I45</f>
        <v/>
      </c>
    </row>
    <row r="46" spans="1:8" ht="20.100000000000001" customHeight="1">
      <c r="A46" s="13">
        <f>現金!A46</f>
        <v>0</v>
      </c>
      <c r="B46" s="582">
        <f>現金!B46</f>
        <v>0</v>
      </c>
      <c r="C46" s="583">
        <f>現金!C46</f>
        <v>0</v>
      </c>
      <c r="D46" s="584">
        <f>現金!D46</f>
        <v>0</v>
      </c>
      <c r="E46" s="56">
        <f>現金!F46</f>
        <v>0</v>
      </c>
      <c r="F46" s="57">
        <f>現金!G46</f>
        <v>0</v>
      </c>
      <c r="G46" s="58">
        <f>現金!H46</f>
        <v>0</v>
      </c>
      <c r="H46" s="54" t="str">
        <f>現金!I46</f>
        <v/>
      </c>
    </row>
    <row r="47" spans="1:8" ht="20.100000000000001" customHeight="1">
      <c r="A47" s="13">
        <f>現金!A47</f>
        <v>0</v>
      </c>
      <c r="B47" s="582">
        <f>現金!B47</f>
        <v>0</v>
      </c>
      <c r="C47" s="583">
        <f>現金!C47</f>
        <v>0</v>
      </c>
      <c r="D47" s="584">
        <f>現金!D47</f>
        <v>0</v>
      </c>
      <c r="E47" s="56">
        <f>現金!F47</f>
        <v>0</v>
      </c>
      <c r="F47" s="57">
        <f>現金!G47</f>
        <v>0</v>
      </c>
      <c r="G47" s="58">
        <f>現金!H47</f>
        <v>0</v>
      </c>
      <c r="H47" s="54" t="str">
        <f>現金!I47</f>
        <v/>
      </c>
    </row>
    <row r="48" spans="1:8" ht="20.100000000000001" customHeight="1">
      <c r="A48" s="13">
        <f>現金!A48</f>
        <v>0</v>
      </c>
      <c r="B48" s="582">
        <f>現金!B48</f>
        <v>0</v>
      </c>
      <c r="C48" s="583">
        <f>現金!C48</f>
        <v>0</v>
      </c>
      <c r="D48" s="584">
        <f>現金!D48</f>
        <v>0</v>
      </c>
      <c r="E48" s="56">
        <f>現金!F48</f>
        <v>0</v>
      </c>
      <c r="F48" s="57">
        <f>現金!G48</f>
        <v>0</v>
      </c>
      <c r="G48" s="58">
        <f>現金!H48</f>
        <v>0</v>
      </c>
      <c r="H48" s="54" t="str">
        <f>現金!I48</f>
        <v/>
      </c>
    </row>
    <row r="49" spans="1:8" ht="20.100000000000001" customHeight="1">
      <c r="A49" s="13">
        <f>現金!A49</f>
        <v>0</v>
      </c>
      <c r="B49" s="582">
        <f>現金!B49</f>
        <v>0</v>
      </c>
      <c r="C49" s="583">
        <f>現金!C49</f>
        <v>0</v>
      </c>
      <c r="D49" s="584">
        <f>現金!D49</f>
        <v>0</v>
      </c>
      <c r="E49" s="56">
        <f>現金!F49</f>
        <v>0</v>
      </c>
      <c r="F49" s="57">
        <f>現金!G49</f>
        <v>0</v>
      </c>
      <c r="G49" s="58">
        <f>現金!H49</f>
        <v>0</v>
      </c>
      <c r="H49" s="54" t="str">
        <f>現金!I49</f>
        <v/>
      </c>
    </row>
    <row r="50" spans="1:8" ht="20.100000000000001" customHeight="1">
      <c r="A50" s="13">
        <f>現金!A50</f>
        <v>0</v>
      </c>
      <c r="B50" s="582">
        <f>現金!B50</f>
        <v>0</v>
      </c>
      <c r="C50" s="583">
        <f>現金!C50</f>
        <v>0</v>
      </c>
      <c r="D50" s="584">
        <f>現金!D50</f>
        <v>0</v>
      </c>
      <c r="E50" s="56">
        <f>現金!F50</f>
        <v>0</v>
      </c>
      <c r="F50" s="57">
        <f>現金!G50</f>
        <v>0</v>
      </c>
      <c r="G50" s="58">
        <f>現金!H50</f>
        <v>0</v>
      </c>
      <c r="H50" s="54" t="str">
        <f>現金!I50</f>
        <v/>
      </c>
    </row>
    <row r="51" spans="1:8" ht="20.100000000000001" customHeight="1">
      <c r="A51" s="13">
        <f>現金!A51</f>
        <v>0</v>
      </c>
      <c r="B51" s="582">
        <f>現金!B51</f>
        <v>0</v>
      </c>
      <c r="C51" s="583">
        <f>現金!C51</f>
        <v>0</v>
      </c>
      <c r="D51" s="584">
        <f>現金!D51</f>
        <v>0</v>
      </c>
      <c r="E51" s="56">
        <f>現金!F51</f>
        <v>0</v>
      </c>
      <c r="F51" s="57">
        <f>現金!G51</f>
        <v>0</v>
      </c>
      <c r="G51" s="58">
        <f>現金!H51</f>
        <v>0</v>
      </c>
      <c r="H51" s="54" t="str">
        <f>現金!I51</f>
        <v/>
      </c>
    </row>
    <row r="52" spans="1:8" ht="20.100000000000001" customHeight="1">
      <c r="A52" s="13">
        <f>現金!A52</f>
        <v>0</v>
      </c>
      <c r="B52" s="582">
        <f>現金!B52</f>
        <v>0</v>
      </c>
      <c r="C52" s="583">
        <f>現金!C52</f>
        <v>0</v>
      </c>
      <c r="D52" s="584">
        <f>現金!D52</f>
        <v>0</v>
      </c>
      <c r="E52" s="56">
        <f>現金!F52</f>
        <v>0</v>
      </c>
      <c r="F52" s="57">
        <f>現金!G52</f>
        <v>0</v>
      </c>
      <c r="G52" s="58">
        <f>現金!H52</f>
        <v>0</v>
      </c>
      <c r="H52" s="54" t="str">
        <f>現金!I52</f>
        <v/>
      </c>
    </row>
    <row r="53" spans="1:8" ht="20.100000000000001" customHeight="1">
      <c r="A53" s="13">
        <f>現金!A53</f>
        <v>0</v>
      </c>
      <c r="B53" s="582">
        <f>現金!B53</f>
        <v>0</v>
      </c>
      <c r="C53" s="583">
        <f>現金!C53</f>
        <v>0</v>
      </c>
      <c r="D53" s="584">
        <f>現金!D53</f>
        <v>0</v>
      </c>
      <c r="E53" s="56">
        <f>現金!F53</f>
        <v>0</v>
      </c>
      <c r="F53" s="57">
        <f>現金!G53</f>
        <v>0</v>
      </c>
      <c r="G53" s="58">
        <f>現金!H53</f>
        <v>0</v>
      </c>
      <c r="H53" s="54" t="str">
        <f>現金!I53</f>
        <v/>
      </c>
    </row>
    <row r="54" spans="1:8" ht="20.100000000000001" customHeight="1">
      <c r="A54" s="13">
        <f>現金!A54</f>
        <v>0</v>
      </c>
      <c r="B54" s="582">
        <f>現金!B54</f>
        <v>0</v>
      </c>
      <c r="C54" s="583">
        <f>現金!C54</f>
        <v>0</v>
      </c>
      <c r="D54" s="584">
        <f>現金!D54</f>
        <v>0</v>
      </c>
      <c r="E54" s="56">
        <f>現金!F54</f>
        <v>0</v>
      </c>
      <c r="F54" s="57">
        <f>現金!G54</f>
        <v>0</v>
      </c>
      <c r="G54" s="58">
        <f>現金!H54</f>
        <v>0</v>
      </c>
      <c r="H54" s="54" t="str">
        <f>現金!I54</f>
        <v/>
      </c>
    </row>
    <row r="55" spans="1:8" ht="20.100000000000001" customHeight="1">
      <c r="A55" s="13">
        <f>現金!A55</f>
        <v>0</v>
      </c>
      <c r="B55" s="582">
        <f>現金!B55</f>
        <v>0</v>
      </c>
      <c r="C55" s="583">
        <f>現金!C55</f>
        <v>0</v>
      </c>
      <c r="D55" s="584">
        <f>現金!D55</f>
        <v>0</v>
      </c>
      <c r="E55" s="56">
        <f>現金!F55</f>
        <v>0</v>
      </c>
      <c r="F55" s="57">
        <f>現金!G55</f>
        <v>0</v>
      </c>
      <c r="G55" s="58">
        <f>現金!H55</f>
        <v>0</v>
      </c>
      <c r="H55" s="54" t="str">
        <f>現金!I55</f>
        <v/>
      </c>
    </row>
    <row r="56" spans="1:8" ht="20.100000000000001" customHeight="1">
      <c r="A56" s="13">
        <f>現金!A56</f>
        <v>0</v>
      </c>
      <c r="B56" s="582">
        <f>現金!B56</f>
        <v>0</v>
      </c>
      <c r="C56" s="583">
        <f>現金!C56</f>
        <v>0</v>
      </c>
      <c r="D56" s="584">
        <f>現金!D56</f>
        <v>0</v>
      </c>
      <c r="E56" s="56">
        <f>現金!F56</f>
        <v>0</v>
      </c>
      <c r="F56" s="57">
        <f>現金!G56</f>
        <v>0</v>
      </c>
      <c r="G56" s="58">
        <f>現金!H56</f>
        <v>0</v>
      </c>
      <c r="H56" s="54" t="str">
        <f>現金!I56</f>
        <v/>
      </c>
    </row>
    <row r="57" spans="1:8" ht="20.100000000000001" customHeight="1">
      <c r="A57" s="13">
        <f>現金!A57</f>
        <v>0</v>
      </c>
      <c r="B57" s="582">
        <f>現金!B57</f>
        <v>0</v>
      </c>
      <c r="C57" s="583">
        <f>現金!C57</f>
        <v>0</v>
      </c>
      <c r="D57" s="584">
        <f>現金!D57</f>
        <v>0</v>
      </c>
      <c r="E57" s="56">
        <f>現金!F57</f>
        <v>0</v>
      </c>
      <c r="F57" s="57">
        <f>現金!G57</f>
        <v>0</v>
      </c>
      <c r="G57" s="58">
        <f>現金!H57</f>
        <v>0</v>
      </c>
      <c r="H57" s="54" t="str">
        <f>現金!I57</f>
        <v/>
      </c>
    </row>
    <row r="58" spans="1:8" ht="20.100000000000001" customHeight="1">
      <c r="A58" s="13">
        <f>現金!A58</f>
        <v>0</v>
      </c>
      <c r="B58" s="582">
        <f>現金!B58</f>
        <v>0</v>
      </c>
      <c r="C58" s="583">
        <f>現金!C58</f>
        <v>0</v>
      </c>
      <c r="D58" s="584">
        <f>現金!D58</f>
        <v>0</v>
      </c>
      <c r="E58" s="56">
        <f>現金!F58</f>
        <v>0</v>
      </c>
      <c r="F58" s="57">
        <f>現金!G58</f>
        <v>0</v>
      </c>
      <c r="G58" s="58">
        <f>現金!H58</f>
        <v>0</v>
      </c>
      <c r="H58" s="54" t="str">
        <f>現金!I58</f>
        <v/>
      </c>
    </row>
    <row r="59" spans="1:8" ht="20.100000000000001" customHeight="1">
      <c r="A59" s="13">
        <f>現金!A59</f>
        <v>0</v>
      </c>
      <c r="B59" s="582">
        <f>現金!B59</f>
        <v>0</v>
      </c>
      <c r="C59" s="583">
        <f>現金!C59</f>
        <v>0</v>
      </c>
      <c r="D59" s="584">
        <f>現金!D59</f>
        <v>0</v>
      </c>
      <c r="E59" s="56">
        <f>現金!F59</f>
        <v>0</v>
      </c>
      <c r="F59" s="57">
        <f>現金!G59</f>
        <v>0</v>
      </c>
      <c r="G59" s="58">
        <f>現金!H59</f>
        <v>0</v>
      </c>
      <c r="H59" s="54" t="str">
        <f>現金!I59</f>
        <v/>
      </c>
    </row>
    <row r="60" spans="1:8" ht="20.100000000000001" customHeight="1">
      <c r="A60" s="13">
        <f>現金!A60</f>
        <v>0</v>
      </c>
      <c r="B60" s="582">
        <f>現金!B60</f>
        <v>0</v>
      </c>
      <c r="C60" s="583">
        <f>現金!C60</f>
        <v>0</v>
      </c>
      <c r="D60" s="584">
        <f>現金!D60</f>
        <v>0</v>
      </c>
      <c r="E60" s="56">
        <f>現金!F60</f>
        <v>0</v>
      </c>
      <c r="F60" s="57">
        <f>現金!G60</f>
        <v>0</v>
      </c>
      <c r="G60" s="58">
        <f>現金!H60</f>
        <v>0</v>
      </c>
      <c r="H60" s="54" t="str">
        <f>現金!I60</f>
        <v/>
      </c>
    </row>
    <row r="61" spans="1:8" ht="20.100000000000001" customHeight="1">
      <c r="A61" s="13">
        <f>現金!A61</f>
        <v>0</v>
      </c>
      <c r="B61" s="582">
        <f>現金!B61</f>
        <v>0</v>
      </c>
      <c r="C61" s="583">
        <f>現金!C61</f>
        <v>0</v>
      </c>
      <c r="D61" s="584">
        <f>現金!D61</f>
        <v>0</v>
      </c>
      <c r="E61" s="56">
        <f>現金!F61</f>
        <v>0</v>
      </c>
      <c r="F61" s="57">
        <f>現金!G61</f>
        <v>0</v>
      </c>
      <c r="G61" s="58">
        <f>現金!H61</f>
        <v>0</v>
      </c>
      <c r="H61" s="54" t="str">
        <f>現金!I61</f>
        <v/>
      </c>
    </row>
    <row r="62" spans="1:8" ht="20.100000000000001" customHeight="1">
      <c r="A62" s="13">
        <f>現金!A62</f>
        <v>0</v>
      </c>
      <c r="B62" s="582">
        <f>現金!B62</f>
        <v>0</v>
      </c>
      <c r="C62" s="583">
        <f>現金!C62</f>
        <v>0</v>
      </c>
      <c r="D62" s="584">
        <f>現金!D62</f>
        <v>0</v>
      </c>
      <c r="E62" s="56">
        <f>現金!F62</f>
        <v>0</v>
      </c>
      <c r="F62" s="57">
        <f>現金!G62</f>
        <v>0</v>
      </c>
      <c r="G62" s="58">
        <f>現金!H62</f>
        <v>0</v>
      </c>
      <c r="H62" s="54" t="str">
        <f>現金!I62</f>
        <v/>
      </c>
    </row>
    <row r="63" spans="1:8" ht="20.100000000000001" customHeight="1">
      <c r="A63" s="13">
        <f>現金!A63</f>
        <v>0</v>
      </c>
      <c r="B63" s="582">
        <f>現金!B63</f>
        <v>0</v>
      </c>
      <c r="C63" s="583">
        <f>現金!C63</f>
        <v>0</v>
      </c>
      <c r="D63" s="584">
        <f>現金!D63</f>
        <v>0</v>
      </c>
      <c r="E63" s="56">
        <f>現金!F63</f>
        <v>0</v>
      </c>
      <c r="F63" s="57">
        <f>現金!G63</f>
        <v>0</v>
      </c>
      <c r="G63" s="58">
        <f>現金!H63</f>
        <v>0</v>
      </c>
      <c r="H63" s="54" t="str">
        <f>現金!I63</f>
        <v/>
      </c>
    </row>
    <row r="64" spans="1:8" ht="20.100000000000001" customHeight="1">
      <c r="A64" s="13">
        <f>現金!A64</f>
        <v>0</v>
      </c>
      <c r="B64" s="582">
        <f>現金!B64</f>
        <v>0</v>
      </c>
      <c r="C64" s="583">
        <f>現金!C64</f>
        <v>0</v>
      </c>
      <c r="D64" s="584">
        <f>現金!D64</f>
        <v>0</v>
      </c>
      <c r="E64" s="56">
        <f>現金!F64</f>
        <v>0</v>
      </c>
      <c r="F64" s="57">
        <f>現金!G64</f>
        <v>0</v>
      </c>
      <c r="G64" s="58">
        <f>現金!H64</f>
        <v>0</v>
      </c>
      <c r="H64" s="54" t="str">
        <f>現金!I64</f>
        <v/>
      </c>
    </row>
    <row r="65" spans="1:8" ht="20.100000000000001" customHeight="1">
      <c r="A65" s="13">
        <f>現金!A65</f>
        <v>0</v>
      </c>
      <c r="B65" s="582">
        <f>現金!B65</f>
        <v>0</v>
      </c>
      <c r="C65" s="583">
        <f>現金!C65</f>
        <v>0</v>
      </c>
      <c r="D65" s="584">
        <f>現金!D65</f>
        <v>0</v>
      </c>
      <c r="E65" s="56">
        <f>現金!F65</f>
        <v>0</v>
      </c>
      <c r="F65" s="57">
        <f>現金!G65</f>
        <v>0</v>
      </c>
      <c r="G65" s="58">
        <f>現金!H65</f>
        <v>0</v>
      </c>
      <c r="H65" s="54" t="str">
        <f>現金!I65</f>
        <v/>
      </c>
    </row>
    <row r="66" spans="1:8" ht="20.100000000000001" customHeight="1">
      <c r="A66" s="13">
        <f>現金!A66</f>
        <v>0</v>
      </c>
      <c r="B66" s="582">
        <f>現金!B66</f>
        <v>0</v>
      </c>
      <c r="C66" s="583">
        <f>現金!C66</f>
        <v>0</v>
      </c>
      <c r="D66" s="584">
        <f>現金!D66</f>
        <v>0</v>
      </c>
      <c r="E66" s="56">
        <f>現金!F66</f>
        <v>0</v>
      </c>
      <c r="F66" s="57">
        <f>現金!G66</f>
        <v>0</v>
      </c>
      <c r="G66" s="58">
        <f>現金!H66</f>
        <v>0</v>
      </c>
      <c r="H66" s="54" t="str">
        <f>現金!I66</f>
        <v/>
      </c>
    </row>
    <row r="67" spans="1:8" ht="20.100000000000001" customHeight="1">
      <c r="A67" s="13">
        <f>現金!A67</f>
        <v>0</v>
      </c>
      <c r="B67" s="582">
        <f>現金!B67</f>
        <v>0</v>
      </c>
      <c r="C67" s="583">
        <f>現金!C67</f>
        <v>0</v>
      </c>
      <c r="D67" s="584">
        <f>現金!D67</f>
        <v>0</v>
      </c>
      <c r="E67" s="56">
        <f>現金!F67</f>
        <v>0</v>
      </c>
      <c r="F67" s="57">
        <f>現金!G67</f>
        <v>0</v>
      </c>
      <c r="G67" s="58">
        <f>現金!H67</f>
        <v>0</v>
      </c>
      <c r="H67" s="54" t="str">
        <f>現金!I67</f>
        <v/>
      </c>
    </row>
    <row r="68" spans="1:8" ht="20.100000000000001" customHeight="1">
      <c r="A68" s="13">
        <f>現金!A68</f>
        <v>0</v>
      </c>
      <c r="B68" s="582">
        <f>現金!B68</f>
        <v>0</v>
      </c>
      <c r="C68" s="583">
        <f>現金!C68</f>
        <v>0</v>
      </c>
      <c r="D68" s="584">
        <f>現金!D68</f>
        <v>0</v>
      </c>
      <c r="E68" s="56">
        <f>現金!F68</f>
        <v>0</v>
      </c>
      <c r="F68" s="57">
        <f>現金!G68</f>
        <v>0</v>
      </c>
      <c r="G68" s="58">
        <f>現金!H68</f>
        <v>0</v>
      </c>
      <c r="H68" s="54" t="str">
        <f>現金!I68</f>
        <v/>
      </c>
    </row>
    <row r="69" spans="1:8" ht="20.100000000000001" customHeight="1">
      <c r="A69" s="13">
        <f>現金!A69</f>
        <v>0</v>
      </c>
      <c r="B69" s="582">
        <f>現金!B69</f>
        <v>0</v>
      </c>
      <c r="C69" s="583">
        <f>現金!C69</f>
        <v>0</v>
      </c>
      <c r="D69" s="584">
        <f>現金!D69</f>
        <v>0</v>
      </c>
      <c r="E69" s="56">
        <f>現金!F69</f>
        <v>0</v>
      </c>
      <c r="F69" s="57">
        <f>現金!G69</f>
        <v>0</v>
      </c>
      <c r="G69" s="58">
        <f>現金!H69</f>
        <v>0</v>
      </c>
      <c r="H69" s="54" t="str">
        <f>現金!I69</f>
        <v/>
      </c>
    </row>
    <row r="70" spans="1:8" ht="20.100000000000001" customHeight="1">
      <c r="A70" s="13">
        <f>現金!A70</f>
        <v>0</v>
      </c>
      <c r="B70" s="582">
        <f>現金!B70</f>
        <v>0</v>
      </c>
      <c r="C70" s="583">
        <f>現金!C70</f>
        <v>0</v>
      </c>
      <c r="D70" s="584">
        <f>現金!D70</f>
        <v>0</v>
      </c>
      <c r="E70" s="56">
        <f>現金!F70</f>
        <v>0</v>
      </c>
      <c r="F70" s="57">
        <f>現金!G70</f>
        <v>0</v>
      </c>
      <c r="G70" s="58">
        <f>現金!H70</f>
        <v>0</v>
      </c>
      <c r="H70" s="54" t="str">
        <f>現金!I70</f>
        <v/>
      </c>
    </row>
    <row r="71" spans="1:8" ht="20.100000000000001" customHeight="1">
      <c r="A71" s="13">
        <f>現金!A71</f>
        <v>0</v>
      </c>
      <c r="B71" s="582">
        <f>現金!B71</f>
        <v>0</v>
      </c>
      <c r="C71" s="583">
        <f>現金!C71</f>
        <v>0</v>
      </c>
      <c r="D71" s="584">
        <f>現金!D71</f>
        <v>0</v>
      </c>
      <c r="E71" s="56">
        <f>現金!F71</f>
        <v>0</v>
      </c>
      <c r="F71" s="57">
        <f>現金!G71</f>
        <v>0</v>
      </c>
      <c r="G71" s="58">
        <f>現金!H71</f>
        <v>0</v>
      </c>
      <c r="H71" s="54" t="str">
        <f>現金!I71</f>
        <v/>
      </c>
    </row>
    <row r="72" spans="1:8" ht="20.100000000000001" customHeight="1">
      <c r="A72" s="13">
        <f>現金!A72</f>
        <v>0</v>
      </c>
      <c r="B72" s="582">
        <f>現金!B72</f>
        <v>0</v>
      </c>
      <c r="C72" s="583">
        <f>現金!C72</f>
        <v>0</v>
      </c>
      <c r="D72" s="584">
        <f>現金!D72</f>
        <v>0</v>
      </c>
      <c r="E72" s="56">
        <f>現金!F72</f>
        <v>0</v>
      </c>
      <c r="F72" s="57">
        <f>現金!G72</f>
        <v>0</v>
      </c>
      <c r="G72" s="58">
        <f>現金!H72</f>
        <v>0</v>
      </c>
      <c r="H72" s="54" t="str">
        <f>現金!I72</f>
        <v/>
      </c>
    </row>
    <row r="73" spans="1:8" ht="20.100000000000001" customHeight="1">
      <c r="A73" s="13">
        <f>現金!A73</f>
        <v>0</v>
      </c>
      <c r="B73" s="582">
        <f>現金!B73</f>
        <v>0</v>
      </c>
      <c r="C73" s="583">
        <f>現金!C73</f>
        <v>0</v>
      </c>
      <c r="D73" s="584">
        <f>現金!D73</f>
        <v>0</v>
      </c>
      <c r="E73" s="56">
        <f>現金!F73</f>
        <v>0</v>
      </c>
      <c r="F73" s="57">
        <f>現金!G73</f>
        <v>0</v>
      </c>
      <c r="G73" s="58">
        <f>現金!H73</f>
        <v>0</v>
      </c>
      <c r="H73" s="54" t="str">
        <f>現金!I73</f>
        <v/>
      </c>
    </row>
    <row r="74" spans="1:8" ht="20.100000000000001" customHeight="1">
      <c r="A74" s="13">
        <f>現金!A74</f>
        <v>0</v>
      </c>
      <c r="B74" s="582">
        <f>現金!B74</f>
        <v>0</v>
      </c>
      <c r="C74" s="583">
        <f>現金!C74</f>
        <v>0</v>
      </c>
      <c r="D74" s="584">
        <f>現金!D74</f>
        <v>0</v>
      </c>
      <c r="E74" s="56">
        <f>現金!F74</f>
        <v>0</v>
      </c>
      <c r="F74" s="57">
        <f>現金!G74</f>
        <v>0</v>
      </c>
      <c r="G74" s="58">
        <f>現金!H74</f>
        <v>0</v>
      </c>
      <c r="H74" s="54" t="str">
        <f>現金!I74</f>
        <v/>
      </c>
    </row>
    <row r="75" spans="1:8" ht="20.100000000000001" customHeight="1">
      <c r="A75" s="13">
        <f>現金!A75</f>
        <v>0</v>
      </c>
      <c r="B75" s="582">
        <f>現金!B75</f>
        <v>0</v>
      </c>
      <c r="C75" s="583">
        <f>現金!C75</f>
        <v>0</v>
      </c>
      <c r="D75" s="584">
        <f>現金!D75</f>
        <v>0</v>
      </c>
      <c r="E75" s="56">
        <f>現金!F75</f>
        <v>0</v>
      </c>
      <c r="F75" s="57">
        <f>現金!G75</f>
        <v>0</v>
      </c>
      <c r="G75" s="58">
        <f>現金!H75</f>
        <v>0</v>
      </c>
      <c r="H75" s="54" t="str">
        <f>現金!I75</f>
        <v/>
      </c>
    </row>
    <row r="76" spans="1:8" ht="20.100000000000001" customHeight="1">
      <c r="A76" s="13">
        <f>現金!A76</f>
        <v>0</v>
      </c>
      <c r="B76" s="582">
        <f>現金!B76</f>
        <v>0</v>
      </c>
      <c r="C76" s="583">
        <f>現金!C76</f>
        <v>0</v>
      </c>
      <c r="D76" s="584">
        <f>現金!D76</f>
        <v>0</v>
      </c>
      <c r="E76" s="56">
        <f>現金!F76</f>
        <v>0</v>
      </c>
      <c r="F76" s="57">
        <f>現金!G76</f>
        <v>0</v>
      </c>
      <c r="G76" s="58">
        <f>現金!H76</f>
        <v>0</v>
      </c>
      <c r="H76" s="54" t="str">
        <f>現金!I76</f>
        <v/>
      </c>
    </row>
    <row r="77" spans="1:8" ht="20.100000000000001" customHeight="1">
      <c r="A77" s="13">
        <f>現金!A77</f>
        <v>0</v>
      </c>
      <c r="B77" s="582">
        <f>現金!B77</f>
        <v>0</v>
      </c>
      <c r="C77" s="583">
        <f>現金!C77</f>
        <v>0</v>
      </c>
      <c r="D77" s="584">
        <f>現金!D77</f>
        <v>0</v>
      </c>
      <c r="E77" s="56">
        <f>現金!F77</f>
        <v>0</v>
      </c>
      <c r="F77" s="57">
        <f>現金!G77</f>
        <v>0</v>
      </c>
      <c r="G77" s="58">
        <f>現金!H77</f>
        <v>0</v>
      </c>
      <c r="H77" s="54" t="str">
        <f>現金!I77</f>
        <v/>
      </c>
    </row>
    <row r="78" spans="1:8" ht="20.100000000000001" customHeight="1">
      <c r="A78" s="13">
        <f>現金!A78</f>
        <v>0</v>
      </c>
      <c r="B78" s="582">
        <f>現金!B78</f>
        <v>0</v>
      </c>
      <c r="C78" s="583">
        <f>現金!C78</f>
        <v>0</v>
      </c>
      <c r="D78" s="584">
        <f>現金!D78</f>
        <v>0</v>
      </c>
      <c r="E78" s="56">
        <f>現金!F78</f>
        <v>0</v>
      </c>
      <c r="F78" s="57">
        <f>現金!G78</f>
        <v>0</v>
      </c>
      <c r="G78" s="58">
        <f>現金!H78</f>
        <v>0</v>
      </c>
      <c r="H78" s="54" t="str">
        <f>現金!I78</f>
        <v/>
      </c>
    </row>
    <row r="79" spans="1:8" ht="20.100000000000001" customHeight="1">
      <c r="A79" s="13">
        <f>現金!A79</f>
        <v>0</v>
      </c>
      <c r="B79" s="582">
        <f>現金!B79</f>
        <v>0</v>
      </c>
      <c r="C79" s="583">
        <f>現金!C79</f>
        <v>0</v>
      </c>
      <c r="D79" s="584">
        <f>現金!D79</f>
        <v>0</v>
      </c>
      <c r="E79" s="56">
        <f>現金!F79</f>
        <v>0</v>
      </c>
      <c r="F79" s="57">
        <f>現金!G79</f>
        <v>0</v>
      </c>
      <c r="G79" s="58">
        <f>現金!H79</f>
        <v>0</v>
      </c>
      <c r="H79" s="54" t="str">
        <f>現金!I79</f>
        <v/>
      </c>
    </row>
    <row r="80" spans="1:8" ht="20.100000000000001" customHeight="1">
      <c r="A80" s="13">
        <f>現金!A80</f>
        <v>0</v>
      </c>
      <c r="B80" s="582">
        <f>現金!B80</f>
        <v>0</v>
      </c>
      <c r="C80" s="583">
        <f>現金!C80</f>
        <v>0</v>
      </c>
      <c r="D80" s="584">
        <f>現金!D80</f>
        <v>0</v>
      </c>
      <c r="E80" s="56">
        <f>現金!F80</f>
        <v>0</v>
      </c>
      <c r="F80" s="57">
        <f>現金!G80</f>
        <v>0</v>
      </c>
      <c r="G80" s="58">
        <f>現金!H80</f>
        <v>0</v>
      </c>
      <c r="H80" s="54" t="str">
        <f>現金!I80</f>
        <v/>
      </c>
    </row>
    <row r="81" spans="1:8" ht="20.100000000000001" customHeight="1">
      <c r="A81" s="13">
        <f>現金!A81</f>
        <v>0</v>
      </c>
      <c r="B81" s="582">
        <f>現金!B81</f>
        <v>0</v>
      </c>
      <c r="C81" s="583">
        <f>現金!C81</f>
        <v>0</v>
      </c>
      <c r="D81" s="584">
        <f>現金!D81</f>
        <v>0</v>
      </c>
      <c r="E81" s="56">
        <f>現金!F81</f>
        <v>0</v>
      </c>
      <c r="F81" s="57">
        <f>現金!G81</f>
        <v>0</v>
      </c>
      <c r="G81" s="58">
        <f>現金!H81</f>
        <v>0</v>
      </c>
      <c r="H81" s="54" t="str">
        <f>現金!I81</f>
        <v/>
      </c>
    </row>
    <row r="82" spans="1:8" ht="20.100000000000001" customHeight="1">
      <c r="A82" s="13">
        <f>現金!A82</f>
        <v>0</v>
      </c>
      <c r="B82" s="582">
        <f>現金!B82</f>
        <v>0</v>
      </c>
      <c r="C82" s="583">
        <f>現金!C82</f>
        <v>0</v>
      </c>
      <c r="D82" s="584">
        <f>現金!D82</f>
        <v>0</v>
      </c>
      <c r="E82" s="56">
        <f>現金!F82</f>
        <v>0</v>
      </c>
      <c r="F82" s="57">
        <f>現金!G82</f>
        <v>0</v>
      </c>
      <c r="G82" s="58">
        <f>現金!H82</f>
        <v>0</v>
      </c>
      <c r="H82" s="54" t="str">
        <f>現金!I82</f>
        <v/>
      </c>
    </row>
    <row r="83" spans="1:8" ht="20.100000000000001" customHeight="1">
      <c r="A83" s="13">
        <f>現金!A83</f>
        <v>0</v>
      </c>
      <c r="B83" s="582">
        <f>現金!B83</f>
        <v>0</v>
      </c>
      <c r="C83" s="583">
        <f>現金!C83</f>
        <v>0</v>
      </c>
      <c r="D83" s="584">
        <f>現金!D83</f>
        <v>0</v>
      </c>
      <c r="E83" s="56">
        <f>現金!F83</f>
        <v>0</v>
      </c>
      <c r="F83" s="57">
        <f>現金!G83</f>
        <v>0</v>
      </c>
      <c r="G83" s="58">
        <f>現金!H83</f>
        <v>0</v>
      </c>
      <c r="H83" s="54" t="str">
        <f>現金!I83</f>
        <v/>
      </c>
    </row>
    <row r="84" spans="1:8" ht="20.100000000000001" customHeight="1">
      <c r="A84" s="13">
        <f>現金!A84</f>
        <v>0</v>
      </c>
      <c r="B84" s="582">
        <f>現金!B84</f>
        <v>0</v>
      </c>
      <c r="C84" s="583">
        <f>現金!C84</f>
        <v>0</v>
      </c>
      <c r="D84" s="584">
        <f>現金!D84</f>
        <v>0</v>
      </c>
      <c r="E84" s="56">
        <f>現金!F84</f>
        <v>0</v>
      </c>
      <c r="F84" s="57">
        <f>現金!G84</f>
        <v>0</v>
      </c>
      <c r="G84" s="58">
        <f>現金!H84</f>
        <v>0</v>
      </c>
      <c r="H84" s="54" t="str">
        <f>現金!I84</f>
        <v/>
      </c>
    </row>
    <row r="85" spans="1:8" ht="20.100000000000001" customHeight="1">
      <c r="A85" s="13">
        <f>現金!A85</f>
        <v>0</v>
      </c>
      <c r="B85" s="582">
        <f>現金!B85</f>
        <v>0</v>
      </c>
      <c r="C85" s="583">
        <f>現金!C85</f>
        <v>0</v>
      </c>
      <c r="D85" s="584">
        <f>現金!D85</f>
        <v>0</v>
      </c>
      <c r="E85" s="56">
        <f>現金!F85</f>
        <v>0</v>
      </c>
      <c r="F85" s="57">
        <f>現金!G85</f>
        <v>0</v>
      </c>
      <c r="G85" s="58">
        <f>現金!H85</f>
        <v>0</v>
      </c>
      <c r="H85" s="54" t="str">
        <f>現金!I85</f>
        <v/>
      </c>
    </row>
    <row r="86" spans="1:8" ht="20.100000000000001" customHeight="1">
      <c r="A86" s="13">
        <f>現金!A86</f>
        <v>0</v>
      </c>
      <c r="B86" s="582">
        <f>現金!B86</f>
        <v>0</v>
      </c>
      <c r="C86" s="583">
        <f>現金!C86</f>
        <v>0</v>
      </c>
      <c r="D86" s="584">
        <f>現金!D86</f>
        <v>0</v>
      </c>
      <c r="E86" s="56">
        <f>現金!F86</f>
        <v>0</v>
      </c>
      <c r="F86" s="57">
        <f>現金!G86</f>
        <v>0</v>
      </c>
      <c r="G86" s="58">
        <f>現金!H86</f>
        <v>0</v>
      </c>
      <c r="H86" s="54" t="str">
        <f>現金!I86</f>
        <v/>
      </c>
    </row>
    <row r="87" spans="1:8" ht="20.100000000000001" customHeight="1">
      <c r="A87" s="13">
        <f>現金!A87</f>
        <v>0</v>
      </c>
      <c r="B87" s="582">
        <f>現金!B87</f>
        <v>0</v>
      </c>
      <c r="C87" s="583">
        <f>現金!C87</f>
        <v>0</v>
      </c>
      <c r="D87" s="584">
        <f>現金!D87</f>
        <v>0</v>
      </c>
      <c r="E87" s="56">
        <f>現金!F87</f>
        <v>0</v>
      </c>
      <c r="F87" s="57">
        <f>現金!G87</f>
        <v>0</v>
      </c>
      <c r="G87" s="58">
        <f>現金!H87</f>
        <v>0</v>
      </c>
      <c r="H87" s="54" t="str">
        <f>現金!I87</f>
        <v/>
      </c>
    </row>
    <row r="88" spans="1:8" ht="20.100000000000001" customHeight="1">
      <c r="A88" s="13">
        <f>現金!A88</f>
        <v>0</v>
      </c>
      <c r="B88" s="582">
        <f>現金!B88</f>
        <v>0</v>
      </c>
      <c r="C88" s="583">
        <f>現金!C88</f>
        <v>0</v>
      </c>
      <c r="D88" s="584">
        <f>現金!D88</f>
        <v>0</v>
      </c>
      <c r="E88" s="56">
        <f>現金!F88</f>
        <v>0</v>
      </c>
      <c r="F88" s="57">
        <f>現金!G88</f>
        <v>0</v>
      </c>
      <c r="G88" s="58">
        <f>現金!H88</f>
        <v>0</v>
      </c>
      <c r="H88" s="54" t="str">
        <f>現金!I88</f>
        <v/>
      </c>
    </row>
    <row r="89" spans="1:8" ht="20.100000000000001" customHeight="1">
      <c r="A89" s="13">
        <f>現金!A89</f>
        <v>0</v>
      </c>
      <c r="B89" s="582">
        <f>現金!B89</f>
        <v>0</v>
      </c>
      <c r="C89" s="583">
        <f>現金!C89</f>
        <v>0</v>
      </c>
      <c r="D89" s="584">
        <f>現金!D89</f>
        <v>0</v>
      </c>
      <c r="E89" s="56">
        <f>現金!F89</f>
        <v>0</v>
      </c>
      <c r="F89" s="57">
        <f>現金!G89</f>
        <v>0</v>
      </c>
      <c r="G89" s="58">
        <f>現金!H89</f>
        <v>0</v>
      </c>
      <c r="H89" s="54" t="str">
        <f>現金!I89</f>
        <v/>
      </c>
    </row>
    <row r="90" spans="1:8" ht="20.100000000000001" customHeight="1">
      <c r="A90" s="13">
        <f>現金!A90</f>
        <v>0</v>
      </c>
      <c r="B90" s="582">
        <f>現金!B90</f>
        <v>0</v>
      </c>
      <c r="C90" s="583">
        <f>現金!C90</f>
        <v>0</v>
      </c>
      <c r="D90" s="584">
        <f>現金!D90</f>
        <v>0</v>
      </c>
      <c r="E90" s="56">
        <f>現金!F90</f>
        <v>0</v>
      </c>
      <c r="F90" s="57">
        <f>現金!G90</f>
        <v>0</v>
      </c>
      <c r="G90" s="58">
        <f>現金!H90</f>
        <v>0</v>
      </c>
      <c r="H90" s="54" t="str">
        <f>現金!I90</f>
        <v/>
      </c>
    </row>
    <row r="91" spans="1:8" ht="20.100000000000001" customHeight="1">
      <c r="A91" s="13">
        <f>現金!A91</f>
        <v>0</v>
      </c>
      <c r="B91" s="582">
        <f>現金!B91</f>
        <v>0</v>
      </c>
      <c r="C91" s="583">
        <f>現金!C91</f>
        <v>0</v>
      </c>
      <c r="D91" s="584">
        <f>現金!D91</f>
        <v>0</v>
      </c>
      <c r="E91" s="56">
        <f>現金!F91</f>
        <v>0</v>
      </c>
      <c r="F91" s="57">
        <f>現金!G91</f>
        <v>0</v>
      </c>
      <c r="G91" s="58">
        <f>現金!H91</f>
        <v>0</v>
      </c>
      <c r="H91" s="54" t="str">
        <f>現金!I91</f>
        <v/>
      </c>
    </row>
    <row r="92" spans="1:8" ht="20.100000000000001" customHeight="1">
      <c r="A92" s="13">
        <f>現金!A92</f>
        <v>0</v>
      </c>
      <c r="B92" s="582">
        <f>現金!B92</f>
        <v>0</v>
      </c>
      <c r="C92" s="583">
        <f>現金!C92</f>
        <v>0</v>
      </c>
      <c r="D92" s="584">
        <f>現金!D92</f>
        <v>0</v>
      </c>
      <c r="E92" s="56">
        <f>現金!F92</f>
        <v>0</v>
      </c>
      <c r="F92" s="57">
        <f>現金!G92</f>
        <v>0</v>
      </c>
      <c r="G92" s="58">
        <f>現金!H92</f>
        <v>0</v>
      </c>
      <c r="H92" s="54" t="str">
        <f>現金!I92</f>
        <v/>
      </c>
    </row>
    <row r="93" spans="1:8" ht="20.100000000000001" customHeight="1">
      <c r="A93" s="13">
        <f>現金!A93</f>
        <v>0</v>
      </c>
      <c r="B93" s="582">
        <f>現金!B93</f>
        <v>0</v>
      </c>
      <c r="C93" s="583">
        <f>現金!C93</f>
        <v>0</v>
      </c>
      <c r="D93" s="584">
        <f>現金!D93</f>
        <v>0</v>
      </c>
      <c r="E93" s="56">
        <f>現金!F93</f>
        <v>0</v>
      </c>
      <c r="F93" s="57">
        <f>現金!G93</f>
        <v>0</v>
      </c>
      <c r="G93" s="58">
        <f>現金!H93</f>
        <v>0</v>
      </c>
      <c r="H93" s="54" t="str">
        <f>現金!I93</f>
        <v/>
      </c>
    </row>
    <row r="94" spans="1:8" ht="20.100000000000001" customHeight="1">
      <c r="A94" s="13">
        <f>現金!A94</f>
        <v>0</v>
      </c>
      <c r="B94" s="582">
        <f>現金!B94</f>
        <v>0</v>
      </c>
      <c r="C94" s="583">
        <f>現金!C94</f>
        <v>0</v>
      </c>
      <c r="D94" s="584">
        <f>現金!D94</f>
        <v>0</v>
      </c>
      <c r="E94" s="56">
        <f>現金!F94</f>
        <v>0</v>
      </c>
      <c r="F94" s="57">
        <f>現金!G94</f>
        <v>0</v>
      </c>
      <c r="G94" s="58">
        <f>現金!H94</f>
        <v>0</v>
      </c>
      <c r="H94" s="54" t="str">
        <f>現金!I94</f>
        <v/>
      </c>
    </row>
    <row r="95" spans="1:8" ht="20.100000000000001" customHeight="1">
      <c r="A95" s="13">
        <f>現金!A95</f>
        <v>0</v>
      </c>
      <c r="B95" s="582">
        <f>現金!B95</f>
        <v>0</v>
      </c>
      <c r="C95" s="583">
        <f>現金!C95</f>
        <v>0</v>
      </c>
      <c r="D95" s="584">
        <f>現金!D95</f>
        <v>0</v>
      </c>
      <c r="E95" s="56">
        <f>現金!F95</f>
        <v>0</v>
      </c>
      <c r="F95" s="57">
        <f>現金!G95</f>
        <v>0</v>
      </c>
      <c r="G95" s="58">
        <f>現金!H95</f>
        <v>0</v>
      </c>
      <c r="H95" s="54" t="str">
        <f>現金!I95</f>
        <v/>
      </c>
    </row>
    <row r="96" spans="1:8" ht="20.100000000000001" customHeight="1">
      <c r="A96" s="13">
        <f>現金!A96</f>
        <v>0</v>
      </c>
      <c r="B96" s="582">
        <f>現金!B96</f>
        <v>0</v>
      </c>
      <c r="C96" s="583">
        <f>現金!C96</f>
        <v>0</v>
      </c>
      <c r="D96" s="584">
        <f>現金!D96</f>
        <v>0</v>
      </c>
      <c r="E96" s="56">
        <f>現金!F96</f>
        <v>0</v>
      </c>
      <c r="F96" s="57">
        <f>現金!G96</f>
        <v>0</v>
      </c>
      <c r="G96" s="58">
        <f>現金!H96</f>
        <v>0</v>
      </c>
      <c r="H96" s="54" t="str">
        <f>現金!I96</f>
        <v/>
      </c>
    </row>
    <row r="97" spans="1:8" ht="20.100000000000001" customHeight="1">
      <c r="A97" s="13">
        <f>現金!A97</f>
        <v>0</v>
      </c>
      <c r="B97" s="582">
        <f>現金!B97</f>
        <v>0</v>
      </c>
      <c r="C97" s="583">
        <f>現金!C97</f>
        <v>0</v>
      </c>
      <c r="D97" s="584">
        <f>現金!D97</f>
        <v>0</v>
      </c>
      <c r="E97" s="56">
        <f>現金!F97</f>
        <v>0</v>
      </c>
      <c r="F97" s="57">
        <f>現金!G97</f>
        <v>0</v>
      </c>
      <c r="G97" s="58">
        <f>現金!H97</f>
        <v>0</v>
      </c>
      <c r="H97" s="54" t="str">
        <f>現金!I97</f>
        <v/>
      </c>
    </row>
    <row r="98" spans="1:8" ht="20.100000000000001" customHeight="1">
      <c r="A98" s="13">
        <f>現金!A98</f>
        <v>0</v>
      </c>
      <c r="B98" s="582">
        <f>現金!B98</f>
        <v>0</v>
      </c>
      <c r="C98" s="583">
        <f>現金!C98</f>
        <v>0</v>
      </c>
      <c r="D98" s="584">
        <f>現金!D98</f>
        <v>0</v>
      </c>
      <c r="E98" s="56">
        <f>現金!F98</f>
        <v>0</v>
      </c>
      <c r="F98" s="797">
        <f>現金!G98</f>
        <v>0</v>
      </c>
      <c r="G98" s="798">
        <f>現金!H98</f>
        <v>0</v>
      </c>
      <c r="H98" s="799" t="str">
        <f>現金!I98</f>
        <v/>
      </c>
    </row>
    <row r="99" spans="1:8" ht="20.100000000000001" customHeight="1">
      <c r="A99" s="13">
        <f>現金!A99</f>
        <v>0</v>
      </c>
      <c r="B99" s="1107" t="str">
        <f>現金!B99</f>
        <v>小　計　</v>
      </c>
      <c r="C99" s="1108"/>
      <c r="D99" s="1109"/>
      <c r="E99" s="56">
        <f>現金!F99</f>
        <v>0</v>
      </c>
      <c r="F99" s="800">
        <f>現金!G99</f>
        <v>0</v>
      </c>
      <c r="G99" s="801">
        <f>現金!H99</f>
        <v>0</v>
      </c>
      <c r="H99" s="802">
        <f>現金!I99</f>
        <v>0</v>
      </c>
    </row>
    <row r="100" spans="1:8" ht="20.100000000000001" customHeight="1" thickBot="1">
      <c r="A100" s="211"/>
      <c r="B100" s="1104" t="str">
        <f>現金!B100</f>
        <v>次 期 繰 越</v>
      </c>
      <c r="C100" s="1105"/>
      <c r="D100" s="1106"/>
      <c r="E100" s="215">
        <f>現金!F100</f>
        <v>0</v>
      </c>
      <c r="F100" s="212">
        <f>現金!G100</f>
        <v>0</v>
      </c>
      <c r="G100" s="213">
        <f>現金!H100</f>
        <v>0</v>
      </c>
      <c r="H100" s="214">
        <f>現金!I100</f>
        <v>0</v>
      </c>
    </row>
    <row r="101" spans="1:8" ht="20.100000000000001" customHeight="1">
      <c r="F101" s="216">
        <f>現金!G101</f>
        <v>0</v>
      </c>
      <c r="G101" s="216">
        <f>現金!H101</f>
        <v>0</v>
      </c>
      <c r="H101" s="216" t="str">
        <f>現金!I101</f>
        <v/>
      </c>
    </row>
  </sheetData>
  <sortState ref="A5:H98">
    <sortCondition ref="A5:A98"/>
  </sortState>
  <mergeCells count="5">
    <mergeCell ref="A1:H1"/>
    <mergeCell ref="B3:D3"/>
    <mergeCell ref="B4:D4"/>
    <mergeCell ref="B100:D100"/>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FC3D9"/>
  </sheetPr>
  <dimension ref="A1:H101"/>
  <sheetViews>
    <sheetView showZeros="0"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38" customWidth="1"/>
    <col min="2" max="2" width="20.625" style="39" customWidth="1"/>
    <col min="3" max="3" width="11.25" style="2" customWidth="1"/>
    <col min="4" max="4" width="5.625" style="2" customWidth="1"/>
    <col min="5" max="5" width="12.625" style="51" customWidth="1"/>
    <col min="6" max="7" width="11.625" style="4" customWidth="1"/>
    <col min="8" max="8" width="12.625" style="4" customWidth="1"/>
    <col min="9" max="16384" width="8.875" style="2"/>
  </cols>
  <sheetData>
    <row r="1" spans="1:8" ht="32.1" customHeight="1">
      <c r="A1" s="1099" t="s">
        <v>64</v>
      </c>
      <c r="B1" s="1099"/>
      <c r="C1" s="1099"/>
      <c r="D1" s="1099"/>
      <c r="E1" s="1099"/>
      <c r="F1" s="1099"/>
      <c r="G1" s="1099"/>
      <c r="H1" s="1099"/>
    </row>
    <row r="2" spans="1:8" s="6" customFormat="1" ht="12.95" customHeight="1" thickBot="1">
      <c r="A2" s="37"/>
      <c r="B2" s="32"/>
      <c r="C2" s="5"/>
      <c r="D2" s="34"/>
      <c r="E2" s="7"/>
      <c r="F2" s="8"/>
      <c r="G2" s="8"/>
      <c r="H2" s="59"/>
    </row>
    <row r="3" spans="1:8" s="51" customFormat="1" ht="30" customHeight="1" thickTop="1" thickBot="1">
      <c r="A3" s="405">
        <f>設定メニュー!$B$2</f>
        <v>42736</v>
      </c>
      <c r="B3" s="1100" t="s">
        <v>1</v>
      </c>
      <c r="C3" s="1101"/>
      <c r="D3" s="1102"/>
      <c r="E3" s="72" t="s">
        <v>63</v>
      </c>
      <c r="F3" s="71" t="s">
        <v>79</v>
      </c>
      <c r="G3" s="72" t="s">
        <v>80</v>
      </c>
      <c r="H3" s="73" t="s">
        <v>29</v>
      </c>
    </row>
    <row r="4" spans="1:8" ht="20.100000000000001" customHeight="1">
      <c r="A4" s="793">
        <f>設定メニュー!$B$2</f>
        <v>42736</v>
      </c>
      <c r="B4" s="870" t="str">
        <f>普通預金!B4</f>
        <v>前 期 繰 越</v>
      </c>
      <c r="C4" s="871"/>
      <c r="D4" s="1103"/>
      <c r="E4" s="794">
        <f>普通預金!F4</f>
        <v>0</v>
      </c>
      <c r="F4" s="795">
        <f>普通預金!G4</f>
        <v>0</v>
      </c>
      <c r="G4" s="795">
        <f>普通預金!H4</f>
        <v>0</v>
      </c>
      <c r="H4" s="796">
        <f>普通預金!I4</f>
        <v>0</v>
      </c>
    </row>
    <row r="5" spans="1:8" ht="20.100000000000001" customHeight="1">
      <c r="A5" s="13">
        <f>普通預金!A5</f>
        <v>0</v>
      </c>
      <c r="B5" s="582">
        <f>普通預金!B5</f>
        <v>0</v>
      </c>
      <c r="C5" s="583">
        <f>普通預金!C5</f>
        <v>0</v>
      </c>
      <c r="D5" s="584">
        <f>普通預金!D5</f>
        <v>0</v>
      </c>
      <c r="E5" s="56">
        <f>普通預金!F5</f>
        <v>0</v>
      </c>
      <c r="F5" s="57">
        <f>普通預金!G5</f>
        <v>0</v>
      </c>
      <c r="G5" s="58">
        <f>普通預金!H5</f>
        <v>0</v>
      </c>
      <c r="H5" s="54" t="str">
        <f>普通預金!I5</f>
        <v/>
      </c>
    </row>
    <row r="6" spans="1:8" ht="20.100000000000001" customHeight="1">
      <c r="A6" s="13">
        <f>普通預金!A6</f>
        <v>0</v>
      </c>
      <c r="B6" s="582">
        <f>普通預金!B6</f>
        <v>0</v>
      </c>
      <c r="C6" s="583">
        <f>普通預金!C6</f>
        <v>0</v>
      </c>
      <c r="D6" s="584">
        <f>普通預金!D6</f>
        <v>0</v>
      </c>
      <c r="E6" s="56">
        <f>普通預金!F6</f>
        <v>0</v>
      </c>
      <c r="F6" s="57">
        <f>普通預金!G6</f>
        <v>0</v>
      </c>
      <c r="G6" s="58">
        <f>普通預金!H6</f>
        <v>0</v>
      </c>
      <c r="H6" s="54" t="str">
        <f>普通預金!I6</f>
        <v/>
      </c>
    </row>
    <row r="7" spans="1:8" ht="20.100000000000001" customHeight="1">
      <c r="A7" s="13">
        <f>普通預金!A7</f>
        <v>0</v>
      </c>
      <c r="B7" s="582">
        <f>普通預金!B7</f>
        <v>0</v>
      </c>
      <c r="C7" s="583">
        <f>普通預金!C7</f>
        <v>0</v>
      </c>
      <c r="D7" s="584">
        <f>普通預金!D7</f>
        <v>0</v>
      </c>
      <c r="E7" s="56">
        <f>普通預金!F7</f>
        <v>0</v>
      </c>
      <c r="F7" s="57">
        <f>普通預金!G7</f>
        <v>0</v>
      </c>
      <c r="G7" s="58">
        <f>普通預金!H7</f>
        <v>0</v>
      </c>
      <c r="H7" s="54" t="str">
        <f>普通預金!I7</f>
        <v/>
      </c>
    </row>
    <row r="8" spans="1:8" ht="20.100000000000001" customHeight="1">
      <c r="A8" s="13">
        <f>普通預金!A8</f>
        <v>0</v>
      </c>
      <c r="B8" s="582">
        <f>普通預金!B8</f>
        <v>0</v>
      </c>
      <c r="C8" s="583">
        <f>普通預金!C8</f>
        <v>0</v>
      </c>
      <c r="D8" s="584">
        <f>普通預金!D8</f>
        <v>0</v>
      </c>
      <c r="E8" s="56">
        <f>普通預金!F8</f>
        <v>0</v>
      </c>
      <c r="F8" s="57">
        <f>普通預金!G8</f>
        <v>0</v>
      </c>
      <c r="G8" s="58">
        <f>普通預金!H8</f>
        <v>0</v>
      </c>
      <c r="H8" s="54" t="str">
        <f>普通預金!I8</f>
        <v/>
      </c>
    </row>
    <row r="9" spans="1:8" ht="20.100000000000001" customHeight="1">
      <c r="A9" s="13">
        <f>普通預金!A9</f>
        <v>0</v>
      </c>
      <c r="B9" s="582">
        <f>普通預金!B9</f>
        <v>0</v>
      </c>
      <c r="C9" s="583">
        <f>普通預金!C9</f>
        <v>0</v>
      </c>
      <c r="D9" s="584">
        <f>普通預金!D9</f>
        <v>0</v>
      </c>
      <c r="E9" s="56">
        <f>普通預金!F9</f>
        <v>0</v>
      </c>
      <c r="F9" s="57">
        <f>普通預金!G9</f>
        <v>0</v>
      </c>
      <c r="G9" s="58">
        <f>普通預金!H9</f>
        <v>0</v>
      </c>
      <c r="H9" s="54" t="str">
        <f>普通預金!I9</f>
        <v/>
      </c>
    </row>
    <row r="10" spans="1:8" ht="20.100000000000001" customHeight="1">
      <c r="A10" s="13">
        <f>普通預金!A10</f>
        <v>0</v>
      </c>
      <c r="B10" s="582">
        <f>普通預金!B10</f>
        <v>0</v>
      </c>
      <c r="C10" s="583">
        <f>普通預金!C10</f>
        <v>0</v>
      </c>
      <c r="D10" s="584">
        <f>普通預金!D10</f>
        <v>0</v>
      </c>
      <c r="E10" s="56">
        <f>普通預金!F10</f>
        <v>0</v>
      </c>
      <c r="F10" s="57">
        <f>普通預金!G10</f>
        <v>0</v>
      </c>
      <c r="G10" s="58">
        <f>普通預金!H10</f>
        <v>0</v>
      </c>
      <c r="H10" s="54" t="str">
        <f>普通預金!I10</f>
        <v/>
      </c>
    </row>
    <row r="11" spans="1:8" ht="20.100000000000001" customHeight="1">
      <c r="A11" s="13">
        <f>普通預金!A11</f>
        <v>0</v>
      </c>
      <c r="B11" s="582">
        <f>普通預金!B11</f>
        <v>0</v>
      </c>
      <c r="C11" s="583">
        <f>普通預金!C11</f>
        <v>0</v>
      </c>
      <c r="D11" s="584">
        <f>普通預金!D11</f>
        <v>0</v>
      </c>
      <c r="E11" s="56">
        <f>普通預金!F11</f>
        <v>0</v>
      </c>
      <c r="F11" s="57">
        <f>普通預金!G11</f>
        <v>0</v>
      </c>
      <c r="G11" s="58">
        <f>普通預金!H11</f>
        <v>0</v>
      </c>
      <c r="H11" s="54" t="str">
        <f>普通預金!I11</f>
        <v/>
      </c>
    </row>
    <row r="12" spans="1:8" ht="20.100000000000001" customHeight="1">
      <c r="A12" s="13">
        <f>普通預金!A12</f>
        <v>0</v>
      </c>
      <c r="B12" s="582">
        <f>普通預金!B12</f>
        <v>0</v>
      </c>
      <c r="C12" s="583">
        <f>普通預金!C12</f>
        <v>0</v>
      </c>
      <c r="D12" s="584">
        <f>普通預金!D12</f>
        <v>0</v>
      </c>
      <c r="E12" s="56">
        <f>普通預金!F12</f>
        <v>0</v>
      </c>
      <c r="F12" s="57">
        <f>普通預金!G12</f>
        <v>0</v>
      </c>
      <c r="G12" s="58">
        <f>普通預金!H12</f>
        <v>0</v>
      </c>
      <c r="H12" s="54" t="str">
        <f>普通預金!I12</f>
        <v/>
      </c>
    </row>
    <row r="13" spans="1:8" ht="20.100000000000001" customHeight="1">
      <c r="A13" s="13">
        <f>普通預金!A13</f>
        <v>0</v>
      </c>
      <c r="B13" s="582">
        <f>普通預金!B13</f>
        <v>0</v>
      </c>
      <c r="C13" s="583">
        <f>普通預金!C13</f>
        <v>0</v>
      </c>
      <c r="D13" s="584">
        <f>普通預金!D13</f>
        <v>0</v>
      </c>
      <c r="E13" s="56">
        <f>普通預金!F13</f>
        <v>0</v>
      </c>
      <c r="F13" s="57">
        <f>普通預金!G13</f>
        <v>0</v>
      </c>
      <c r="G13" s="58">
        <f>普通預金!H13</f>
        <v>0</v>
      </c>
      <c r="H13" s="54" t="str">
        <f>普通預金!I13</f>
        <v/>
      </c>
    </row>
    <row r="14" spans="1:8" ht="20.100000000000001" customHeight="1">
      <c r="A14" s="13">
        <f>普通預金!A14</f>
        <v>0</v>
      </c>
      <c r="B14" s="582">
        <f>普通預金!B14</f>
        <v>0</v>
      </c>
      <c r="C14" s="583">
        <f>普通預金!C14</f>
        <v>0</v>
      </c>
      <c r="D14" s="584">
        <f>普通預金!D14</f>
        <v>0</v>
      </c>
      <c r="E14" s="56">
        <f>普通預金!F14</f>
        <v>0</v>
      </c>
      <c r="F14" s="57">
        <f>普通預金!G14</f>
        <v>0</v>
      </c>
      <c r="G14" s="58">
        <f>普通預金!H14</f>
        <v>0</v>
      </c>
      <c r="H14" s="54" t="str">
        <f>普通預金!I14</f>
        <v/>
      </c>
    </row>
    <row r="15" spans="1:8" ht="20.100000000000001" customHeight="1">
      <c r="A15" s="13">
        <f>普通預金!A15</f>
        <v>0</v>
      </c>
      <c r="B15" s="582">
        <f>普通預金!B15</f>
        <v>0</v>
      </c>
      <c r="C15" s="583">
        <f>普通預金!C15</f>
        <v>0</v>
      </c>
      <c r="D15" s="584">
        <f>普通預金!D15</f>
        <v>0</v>
      </c>
      <c r="E15" s="56">
        <f>普通預金!F15</f>
        <v>0</v>
      </c>
      <c r="F15" s="57">
        <f>普通預金!G15</f>
        <v>0</v>
      </c>
      <c r="G15" s="58">
        <f>普通預金!H15</f>
        <v>0</v>
      </c>
      <c r="H15" s="54" t="str">
        <f>普通預金!I15</f>
        <v/>
      </c>
    </row>
    <row r="16" spans="1:8" ht="20.100000000000001" customHeight="1">
      <c r="A16" s="13">
        <f>普通預金!A16</f>
        <v>0</v>
      </c>
      <c r="B16" s="582">
        <f>普通預金!B16</f>
        <v>0</v>
      </c>
      <c r="C16" s="583">
        <f>普通預金!C16</f>
        <v>0</v>
      </c>
      <c r="D16" s="584">
        <f>普通預金!D16</f>
        <v>0</v>
      </c>
      <c r="E16" s="56">
        <f>普通預金!F16</f>
        <v>0</v>
      </c>
      <c r="F16" s="57">
        <f>普通預金!G16</f>
        <v>0</v>
      </c>
      <c r="G16" s="58">
        <f>普通預金!H16</f>
        <v>0</v>
      </c>
      <c r="H16" s="54" t="str">
        <f>普通預金!I16</f>
        <v/>
      </c>
    </row>
    <row r="17" spans="1:8" ht="20.100000000000001" customHeight="1">
      <c r="A17" s="13">
        <f>普通預金!A17</f>
        <v>0</v>
      </c>
      <c r="B17" s="582">
        <f>普通預金!B17</f>
        <v>0</v>
      </c>
      <c r="C17" s="583">
        <f>普通預金!C17</f>
        <v>0</v>
      </c>
      <c r="D17" s="584">
        <f>普通預金!D17</f>
        <v>0</v>
      </c>
      <c r="E17" s="56">
        <f>普通預金!F17</f>
        <v>0</v>
      </c>
      <c r="F17" s="57">
        <f>普通預金!G17</f>
        <v>0</v>
      </c>
      <c r="G17" s="58">
        <f>普通預金!H17</f>
        <v>0</v>
      </c>
      <c r="H17" s="54" t="str">
        <f>普通預金!I17</f>
        <v/>
      </c>
    </row>
    <row r="18" spans="1:8" ht="20.100000000000001" customHeight="1">
      <c r="A18" s="13">
        <f>普通預金!A18</f>
        <v>0</v>
      </c>
      <c r="B18" s="582">
        <f>普通預金!B18</f>
        <v>0</v>
      </c>
      <c r="C18" s="583">
        <f>普通預金!C18</f>
        <v>0</v>
      </c>
      <c r="D18" s="584">
        <f>普通預金!D18</f>
        <v>0</v>
      </c>
      <c r="E18" s="56">
        <f>普通預金!F18</f>
        <v>0</v>
      </c>
      <c r="F18" s="57">
        <f>普通預金!G18</f>
        <v>0</v>
      </c>
      <c r="G18" s="58">
        <f>普通預金!H18</f>
        <v>0</v>
      </c>
      <c r="H18" s="54" t="str">
        <f>普通預金!I18</f>
        <v/>
      </c>
    </row>
    <row r="19" spans="1:8" ht="20.100000000000001" customHeight="1">
      <c r="A19" s="13">
        <f>普通預金!A19</f>
        <v>0</v>
      </c>
      <c r="B19" s="582">
        <f>普通預金!B19</f>
        <v>0</v>
      </c>
      <c r="C19" s="583">
        <f>普通預金!C19</f>
        <v>0</v>
      </c>
      <c r="D19" s="584">
        <f>普通預金!D19</f>
        <v>0</v>
      </c>
      <c r="E19" s="56">
        <f>普通預金!F19</f>
        <v>0</v>
      </c>
      <c r="F19" s="57">
        <f>普通預金!G19</f>
        <v>0</v>
      </c>
      <c r="G19" s="58">
        <f>普通預金!H19</f>
        <v>0</v>
      </c>
      <c r="H19" s="54" t="str">
        <f>普通預金!I19</f>
        <v/>
      </c>
    </row>
    <row r="20" spans="1:8" ht="20.100000000000001" customHeight="1">
      <c r="A20" s="13">
        <f>普通預金!A20</f>
        <v>0</v>
      </c>
      <c r="B20" s="582">
        <f>普通預金!B20</f>
        <v>0</v>
      </c>
      <c r="C20" s="583">
        <f>普通預金!C20</f>
        <v>0</v>
      </c>
      <c r="D20" s="584">
        <f>普通預金!D20</f>
        <v>0</v>
      </c>
      <c r="E20" s="56">
        <f>普通預金!F20</f>
        <v>0</v>
      </c>
      <c r="F20" s="57">
        <f>普通預金!G20</f>
        <v>0</v>
      </c>
      <c r="G20" s="58">
        <f>普通預金!H20</f>
        <v>0</v>
      </c>
      <c r="H20" s="54" t="str">
        <f>普通預金!I20</f>
        <v/>
      </c>
    </row>
    <row r="21" spans="1:8" ht="20.100000000000001" customHeight="1">
      <c r="A21" s="13">
        <f>普通預金!A21</f>
        <v>0</v>
      </c>
      <c r="B21" s="582">
        <f>普通預金!B21</f>
        <v>0</v>
      </c>
      <c r="C21" s="583">
        <f>普通預金!C21</f>
        <v>0</v>
      </c>
      <c r="D21" s="584">
        <f>普通預金!D21</f>
        <v>0</v>
      </c>
      <c r="E21" s="56">
        <f>普通預金!F21</f>
        <v>0</v>
      </c>
      <c r="F21" s="57">
        <f>普通預金!G21</f>
        <v>0</v>
      </c>
      <c r="G21" s="58">
        <f>普通預金!H21</f>
        <v>0</v>
      </c>
      <c r="H21" s="54" t="str">
        <f>普通預金!I21</f>
        <v/>
      </c>
    </row>
    <row r="22" spans="1:8" ht="20.100000000000001" customHeight="1">
      <c r="A22" s="13">
        <f>普通預金!A22</f>
        <v>0</v>
      </c>
      <c r="B22" s="582">
        <f>普通預金!B22</f>
        <v>0</v>
      </c>
      <c r="C22" s="583">
        <f>普通預金!C22</f>
        <v>0</v>
      </c>
      <c r="D22" s="584">
        <f>普通預金!D22</f>
        <v>0</v>
      </c>
      <c r="E22" s="56">
        <f>普通預金!F22</f>
        <v>0</v>
      </c>
      <c r="F22" s="57">
        <f>普通預金!G22</f>
        <v>0</v>
      </c>
      <c r="G22" s="58">
        <f>普通預金!H22</f>
        <v>0</v>
      </c>
      <c r="H22" s="54" t="str">
        <f>普通預金!I22</f>
        <v/>
      </c>
    </row>
    <row r="23" spans="1:8" ht="20.100000000000001" customHeight="1">
      <c r="A23" s="13">
        <f>普通預金!A23</f>
        <v>0</v>
      </c>
      <c r="B23" s="582">
        <f>普通預金!B23</f>
        <v>0</v>
      </c>
      <c r="C23" s="583">
        <f>普通預金!C23</f>
        <v>0</v>
      </c>
      <c r="D23" s="584">
        <f>普通預金!D23</f>
        <v>0</v>
      </c>
      <c r="E23" s="56">
        <f>普通預金!F23</f>
        <v>0</v>
      </c>
      <c r="F23" s="57">
        <f>普通預金!G23</f>
        <v>0</v>
      </c>
      <c r="G23" s="58">
        <f>普通預金!H23</f>
        <v>0</v>
      </c>
      <c r="H23" s="54" t="str">
        <f>普通預金!I23</f>
        <v/>
      </c>
    </row>
    <row r="24" spans="1:8" ht="20.100000000000001" customHeight="1">
      <c r="A24" s="13">
        <f>普通預金!A24</f>
        <v>0</v>
      </c>
      <c r="B24" s="582">
        <f>普通預金!B24</f>
        <v>0</v>
      </c>
      <c r="C24" s="583">
        <f>普通預金!C24</f>
        <v>0</v>
      </c>
      <c r="D24" s="584">
        <f>普通預金!D24</f>
        <v>0</v>
      </c>
      <c r="E24" s="56">
        <f>普通預金!F24</f>
        <v>0</v>
      </c>
      <c r="F24" s="57">
        <f>普通預金!G24</f>
        <v>0</v>
      </c>
      <c r="G24" s="58">
        <f>普通預金!H24</f>
        <v>0</v>
      </c>
      <c r="H24" s="54" t="str">
        <f>普通預金!I24</f>
        <v/>
      </c>
    </row>
    <row r="25" spans="1:8" ht="20.100000000000001" customHeight="1">
      <c r="A25" s="13">
        <f>普通預金!A25</f>
        <v>0</v>
      </c>
      <c r="B25" s="582">
        <f>普通預金!B25</f>
        <v>0</v>
      </c>
      <c r="C25" s="583">
        <f>普通預金!C25</f>
        <v>0</v>
      </c>
      <c r="D25" s="584">
        <f>普通預金!D25</f>
        <v>0</v>
      </c>
      <c r="E25" s="56">
        <f>普通預金!F25</f>
        <v>0</v>
      </c>
      <c r="F25" s="57">
        <f>普通預金!G25</f>
        <v>0</v>
      </c>
      <c r="G25" s="58">
        <f>普通預金!H25</f>
        <v>0</v>
      </c>
      <c r="H25" s="54" t="str">
        <f>普通預金!I25</f>
        <v/>
      </c>
    </row>
    <row r="26" spans="1:8" ht="20.100000000000001" customHeight="1">
      <c r="A26" s="13">
        <f>普通預金!A26</f>
        <v>0</v>
      </c>
      <c r="B26" s="582">
        <f>普通預金!B26</f>
        <v>0</v>
      </c>
      <c r="C26" s="583">
        <f>普通預金!C26</f>
        <v>0</v>
      </c>
      <c r="D26" s="584">
        <f>普通預金!D26</f>
        <v>0</v>
      </c>
      <c r="E26" s="56">
        <f>普通預金!F26</f>
        <v>0</v>
      </c>
      <c r="F26" s="57">
        <f>普通預金!G26</f>
        <v>0</v>
      </c>
      <c r="G26" s="58">
        <f>普通預金!H26</f>
        <v>0</v>
      </c>
      <c r="H26" s="54" t="str">
        <f>普通預金!I26</f>
        <v/>
      </c>
    </row>
    <row r="27" spans="1:8" ht="20.100000000000001" customHeight="1">
      <c r="A27" s="13">
        <f>普通預金!A27</f>
        <v>0</v>
      </c>
      <c r="B27" s="582">
        <f>普通預金!B27</f>
        <v>0</v>
      </c>
      <c r="C27" s="583">
        <f>普通預金!C27</f>
        <v>0</v>
      </c>
      <c r="D27" s="584">
        <f>普通預金!D27</f>
        <v>0</v>
      </c>
      <c r="E27" s="56">
        <f>普通預金!F27</f>
        <v>0</v>
      </c>
      <c r="F27" s="57">
        <f>普通預金!G27</f>
        <v>0</v>
      </c>
      <c r="G27" s="58">
        <f>普通預金!H27</f>
        <v>0</v>
      </c>
      <c r="H27" s="54" t="str">
        <f>普通預金!I27</f>
        <v/>
      </c>
    </row>
    <row r="28" spans="1:8" ht="20.100000000000001" customHeight="1">
      <c r="A28" s="13">
        <f>普通預金!A28</f>
        <v>0</v>
      </c>
      <c r="B28" s="582">
        <f>普通預金!B28</f>
        <v>0</v>
      </c>
      <c r="C28" s="583">
        <f>普通預金!C28</f>
        <v>0</v>
      </c>
      <c r="D28" s="584">
        <f>普通預金!D28</f>
        <v>0</v>
      </c>
      <c r="E28" s="56">
        <f>普通預金!F28</f>
        <v>0</v>
      </c>
      <c r="F28" s="57">
        <f>普通預金!G28</f>
        <v>0</v>
      </c>
      <c r="G28" s="58">
        <f>普通預金!H28</f>
        <v>0</v>
      </c>
      <c r="H28" s="54" t="str">
        <f>普通預金!I28</f>
        <v/>
      </c>
    </row>
    <row r="29" spans="1:8" ht="20.100000000000001" customHeight="1">
      <c r="A29" s="13">
        <f>普通預金!A29</f>
        <v>0</v>
      </c>
      <c r="B29" s="582">
        <f>普通預金!B29</f>
        <v>0</v>
      </c>
      <c r="C29" s="583">
        <f>普通預金!C29</f>
        <v>0</v>
      </c>
      <c r="D29" s="584">
        <f>普通預金!D29</f>
        <v>0</v>
      </c>
      <c r="E29" s="56">
        <f>普通預金!F29</f>
        <v>0</v>
      </c>
      <c r="F29" s="57">
        <f>普通預金!G29</f>
        <v>0</v>
      </c>
      <c r="G29" s="58">
        <f>普通預金!H29</f>
        <v>0</v>
      </c>
      <c r="H29" s="54" t="str">
        <f>普通預金!I29</f>
        <v/>
      </c>
    </row>
    <row r="30" spans="1:8" ht="20.100000000000001" customHeight="1">
      <c r="A30" s="13">
        <f>普通預金!A30</f>
        <v>0</v>
      </c>
      <c r="B30" s="582">
        <f>普通預金!B30</f>
        <v>0</v>
      </c>
      <c r="C30" s="583">
        <f>普通預金!C30</f>
        <v>0</v>
      </c>
      <c r="D30" s="584">
        <f>普通預金!D30</f>
        <v>0</v>
      </c>
      <c r="E30" s="56">
        <f>普通預金!F30</f>
        <v>0</v>
      </c>
      <c r="F30" s="57">
        <f>普通預金!G30</f>
        <v>0</v>
      </c>
      <c r="G30" s="58">
        <f>普通預金!H30</f>
        <v>0</v>
      </c>
      <c r="H30" s="54" t="str">
        <f>普通預金!I30</f>
        <v/>
      </c>
    </row>
    <row r="31" spans="1:8" ht="20.100000000000001" customHeight="1">
      <c r="A31" s="13">
        <f>普通預金!A31</f>
        <v>0</v>
      </c>
      <c r="B31" s="582">
        <f>普通預金!B31</f>
        <v>0</v>
      </c>
      <c r="C31" s="583">
        <f>普通預金!C31</f>
        <v>0</v>
      </c>
      <c r="D31" s="584">
        <f>普通預金!D31</f>
        <v>0</v>
      </c>
      <c r="E31" s="56">
        <f>普通預金!F31</f>
        <v>0</v>
      </c>
      <c r="F31" s="57">
        <f>普通預金!G31</f>
        <v>0</v>
      </c>
      <c r="G31" s="58">
        <f>普通預金!H31</f>
        <v>0</v>
      </c>
      <c r="H31" s="54" t="str">
        <f>普通預金!I31</f>
        <v/>
      </c>
    </row>
    <row r="32" spans="1:8" ht="20.100000000000001" customHeight="1">
      <c r="A32" s="13">
        <f>普通預金!A32</f>
        <v>0</v>
      </c>
      <c r="B32" s="582">
        <f>普通預金!B32</f>
        <v>0</v>
      </c>
      <c r="C32" s="583">
        <f>普通預金!C32</f>
        <v>0</v>
      </c>
      <c r="D32" s="584">
        <f>普通預金!D32</f>
        <v>0</v>
      </c>
      <c r="E32" s="56">
        <f>普通預金!F32</f>
        <v>0</v>
      </c>
      <c r="F32" s="57">
        <f>普通預金!G32</f>
        <v>0</v>
      </c>
      <c r="G32" s="58">
        <f>普通預金!H32</f>
        <v>0</v>
      </c>
      <c r="H32" s="54" t="str">
        <f>普通預金!I32</f>
        <v/>
      </c>
    </row>
    <row r="33" spans="1:8" ht="20.100000000000001" customHeight="1">
      <c r="A33" s="13">
        <f>普通預金!A33</f>
        <v>0</v>
      </c>
      <c r="B33" s="582">
        <f>普通預金!B33</f>
        <v>0</v>
      </c>
      <c r="C33" s="583">
        <f>普通預金!C33</f>
        <v>0</v>
      </c>
      <c r="D33" s="584">
        <f>普通預金!D33</f>
        <v>0</v>
      </c>
      <c r="E33" s="56">
        <f>普通預金!F33</f>
        <v>0</v>
      </c>
      <c r="F33" s="57">
        <f>普通預金!G33</f>
        <v>0</v>
      </c>
      <c r="G33" s="58">
        <f>普通預金!H33</f>
        <v>0</v>
      </c>
      <c r="H33" s="54" t="str">
        <f>普通預金!I33</f>
        <v/>
      </c>
    </row>
    <row r="34" spans="1:8" ht="20.100000000000001" customHeight="1">
      <c r="A34" s="13">
        <f>普通預金!A34</f>
        <v>0</v>
      </c>
      <c r="B34" s="582">
        <f>普通預金!B34</f>
        <v>0</v>
      </c>
      <c r="C34" s="583">
        <f>普通預金!C34</f>
        <v>0</v>
      </c>
      <c r="D34" s="584">
        <f>普通預金!D34</f>
        <v>0</v>
      </c>
      <c r="E34" s="56">
        <f>普通預金!F34</f>
        <v>0</v>
      </c>
      <c r="F34" s="57">
        <f>普通預金!G34</f>
        <v>0</v>
      </c>
      <c r="G34" s="58">
        <f>普通預金!H34</f>
        <v>0</v>
      </c>
      <c r="H34" s="54" t="str">
        <f>普通預金!I34</f>
        <v/>
      </c>
    </row>
    <row r="35" spans="1:8" ht="20.100000000000001" customHeight="1">
      <c r="A35" s="13">
        <f>普通預金!A35</f>
        <v>0</v>
      </c>
      <c r="B35" s="582">
        <f>普通預金!B35</f>
        <v>0</v>
      </c>
      <c r="C35" s="583">
        <f>普通預金!C35</f>
        <v>0</v>
      </c>
      <c r="D35" s="584">
        <f>普通預金!D35</f>
        <v>0</v>
      </c>
      <c r="E35" s="56">
        <f>普通預金!F35</f>
        <v>0</v>
      </c>
      <c r="F35" s="57">
        <f>普通預金!G35</f>
        <v>0</v>
      </c>
      <c r="G35" s="58">
        <f>普通預金!H35</f>
        <v>0</v>
      </c>
      <c r="H35" s="54" t="str">
        <f>普通預金!I35</f>
        <v/>
      </c>
    </row>
    <row r="36" spans="1:8" ht="20.100000000000001" customHeight="1">
      <c r="A36" s="13">
        <f>普通預金!A36</f>
        <v>0</v>
      </c>
      <c r="B36" s="582">
        <f>普通預金!B36</f>
        <v>0</v>
      </c>
      <c r="C36" s="583">
        <f>普通預金!C36</f>
        <v>0</v>
      </c>
      <c r="D36" s="584">
        <f>普通預金!D36</f>
        <v>0</v>
      </c>
      <c r="E36" s="56">
        <f>普通預金!F36</f>
        <v>0</v>
      </c>
      <c r="F36" s="57">
        <f>普通預金!G36</f>
        <v>0</v>
      </c>
      <c r="G36" s="58">
        <f>普通預金!H36</f>
        <v>0</v>
      </c>
      <c r="H36" s="54" t="str">
        <f>普通預金!I36</f>
        <v/>
      </c>
    </row>
    <row r="37" spans="1:8" ht="20.100000000000001" customHeight="1">
      <c r="A37" s="13">
        <f>普通預金!A37</f>
        <v>0</v>
      </c>
      <c r="B37" s="582">
        <f>普通預金!B37</f>
        <v>0</v>
      </c>
      <c r="C37" s="583">
        <f>普通預金!C37</f>
        <v>0</v>
      </c>
      <c r="D37" s="584">
        <f>普通預金!D37</f>
        <v>0</v>
      </c>
      <c r="E37" s="56">
        <f>普通預金!F37</f>
        <v>0</v>
      </c>
      <c r="F37" s="57">
        <f>普通預金!G37</f>
        <v>0</v>
      </c>
      <c r="G37" s="58">
        <f>普通預金!H37</f>
        <v>0</v>
      </c>
      <c r="H37" s="54" t="str">
        <f>普通預金!I37</f>
        <v/>
      </c>
    </row>
    <row r="38" spans="1:8" ht="20.100000000000001" customHeight="1">
      <c r="A38" s="13">
        <f>普通預金!A38</f>
        <v>0</v>
      </c>
      <c r="B38" s="582">
        <f>普通預金!B38</f>
        <v>0</v>
      </c>
      <c r="C38" s="583">
        <f>普通預金!C38</f>
        <v>0</v>
      </c>
      <c r="D38" s="584">
        <f>普通預金!D38</f>
        <v>0</v>
      </c>
      <c r="E38" s="56">
        <f>普通預金!F38</f>
        <v>0</v>
      </c>
      <c r="F38" s="57">
        <f>普通預金!G38</f>
        <v>0</v>
      </c>
      <c r="G38" s="58">
        <f>普通預金!H38</f>
        <v>0</v>
      </c>
      <c r="H38" s="54" t="str">
        <f>普通預金!I38</f>
        <v/>
      </c>
    </row>
    <row r="39" spans="1:8" ht="20.100000000000001" customHeight="1">
      <c r="A39" s="13">
        <f>普通預金!A39</f>
        <v>0</v>
      </c>
      <c r="B39" s="582">
        <f>普通預金!B39</f>
        <v>0</v>
      </c>
      <c r="C39" s="583">
        <f>普通預金!C39</f>
        <v>0</v>
      </c>
      <c r="D39" s="584">
        <f>普通預金!D39</f>
        <v>0</v>
      </c>
      <c r="E39" s="56">
        <f>普通預金!F39</f>
        <v>0</v>
      </c>
      <c r="F39" s="57">
        <f>普通預金!G39</f>
        <v>0</v>
      </c>
      <c r="G39" s="58">
        <f>普通預金!H39</f>
        <v>0</v>
      </c>
      <c r="H39" s="54" t="str">
        <f>普通預金!I39</f>
        <v/>
      </c>
    </row>
    <row r="40" spans="1:8" ht="20.100000000000001" customHeight="1">
      <c r="A40" s="13">
        <f>普通預金!A40</f>
        <v>0</v>
      </c>
      <c r="B40" s="582">
        <f>普通預金!B40</f>
        <v>0</v>
      </c>
      <c r="C40" s="583">
        <f>普通預金!C40</f>
        <v>0</v>
      </c>
      <c r="D40" s="584">
        <f>普通預金!D40</f>
        <v>0</v>
      </c>
      <c r="E40" s="56">
        <f>普通預金!F40</f>
        <v>0</v>
      </c>
      <c r="F40" s="57">
        <f>普通預金!G40</f>
        <v>0</v>
      </c>
      <c r="G40" s="58">
        <f>普通預金!H40</f>
        <v>0</v>
      </c>
      <c r="H40" s="54" t="str">
        <f>普通預金!I40</f>
        <v/>
      </c>
    </row>
    <row r="41" spans="1:8" ht="20.100000000000001" customHeight="1">
      <c r="A41" s="13">
        <f>普通預金!A41</f>
        <v>0</v>
      </c>
      <c r="B41" s="582">
        <f>普通預金!B41</f>
        <v>0</v>
      </c>
      <c r="C41" s="583">
        <f>普通預金!C41</f>
        <v>0</v>
      </c>
      <c r="D41" s="584">
        <f>普通預金!D41</f>
        <v>0</v>
      </c>
      <c r="E41" s="56">
        <f>普通預金!F41</f>
        <v>0</v>
      </c>
      <c r="F41" s="57">
        <f>普通預金!G41</f>
        <v>0</v>
      </c>
      <c r="G41" s="58">
        <f>普通預金!H41</f>
        <v>0</v>
      </c>
      <c r="H41" s="54" t="str">
        <f>普通預金!I41</f>
        <v/>
      </c>
    </row>
    <row r="42" spans="1:8" ht="20.100000000000001" customHeight="1">
      <c r="A42" s="13">
        <f>普通預金!A42</f>
        <v>0</v>
      </c>
      <c r="B42" s="582">
        <f>普通預金!B42</f>
        <v>0</v>
      </c>
      <c r="C42" s="583">
        <f>普通預金!C42</f>
        <v>0</v>
      </c>
      <c r="D42" s="584">
        <f>普通預金!D42</f>
        <v>0</v>
      </c>
      <c r="E42" s="56">
        <f>普通預金!F42</f>
        <v>0</v>
      </c>
      <c r="F42" s="57">
        <f>普通預金!G42</f>
        <v>0</v>
      </c>
      <c r="G42" s="58">
        <f>普通預金!H42</f>
        <v>0</v>
      </c>
      <c r="H42" s="54" t="str">
        <f>普通預金!I42</f>
        <v/>
      </c>
    </row>
    <row r="43" spans="1:8" ht="20.100000000000001" customHeight="1">
      <c r="A43" s="13">
        <f>普通預金!A43</f>
        <v>0</v>
      </c>
      <c r="B43" s="582">
        <f>普通預金!B43</f>
        <v>0</v>
      </c>
      <c r="C43" s="583">
        <f>普通預金!C43</f>
        <v>0</v>
      </c>
      <c r="D43" s="584">
        <f>普通預金!D43</f>
        <v>0</v>
      </c>
      <c r="E43" s="56">
        <f>普通預金!F43</f>
        <v>0</v>
      </c>
      <c r="F43" s="57">
        <f>普通預金!G43</f>
        <v>0</v>
      </c>
      <c r="G43" s="58">
        <f>普通預金!H43</f>
        <v>0</v>
      </c>
      <c r="H43" s="54" t="str">
        <f>普通預金!I43</f>
        <v/>
      </c>
    </row>
    <row r="44" spans="1:8" ht="20.100000000000001" customHeight="1">
      <c r="A44" s="13">
        <f>普通預金!A44</f>
        <v>0</v>
      </c>
      <c r="B44" s="582">
        <f>普通預金!B44</f>
        <v>0</v>
      </c>
      <c r="C44" s="583">
        <f>普通預金!C44</f>
        <v>0</v>
      </c>
      <c r="D44" s="584">
        <f>普通預金!D44</f>
        <v>0</v>
      </c>
      <c r="E44" s="56">
        <f>普通預金!F44</f>
        <v>0</v>
      </c>
      <c r="F44" s="57">
        <f>普通預金!G44</f>
        <v>0</v>
      </c>
      <c r="G44" s="58">
        <f>普通預金!H44</f>
        <v>0</v>
      </c>
      <c r="H44" s="54" t="str">
        <f>普通預金!I44</f>
        <v/>
      </c>
    </row>
    <row r="45" spans="1:8" ht="20.100000000000001" customHeight="1">
      <c r="A45" s="13">
        <f>普通預金!A45</f>
        <v>0</v>
      </c>
      <c r="B45" s="582">
        <f>普通預金!B45</f>
        <v>0</v>
      </c>
      <c r="C45" s="583">
        <f>普通預金!C45</f>
        <v>0</v>
      </c>
      <c r="D45" s="584">
        <f>普通預金!D45</f>
        <v>0</v>
      </c>
      <c r="E45" s="56">
        <f>普通預金!F45</f>
        <v>0</v>
      </c>
      <c r="F45" s="57">
        <f>普通預金!G45</f>
        <v>0</v>
      </c>
      <c r="G45" s="58">
        <f>普通預金!H45</f>
        <v>0</v>
      </c>
      <c r="H45" s="54" t="str">
        <f>普通預金!I45</f>
        <v/>
      </c>
    </row>
    <row r="46" spans="1:8" ht="20.100000000000001" customHeight="1">
      <c r="A46" s="13">
        <f>普通預金!A46</f>
        <v>0</v>
      </c>
      <c r="B46" s="582">
        <f>普通預金!B46</f>
        <v>0</v>
      </c>
      <c r="C46" s="583">
        <f>普通預金!C46</f>
        <v>0</v>
      </c>
      <c r="D46" s="584">
        <f>普通預金!D46</f>
        <v>0</v>
      </c>
      <c r="E46" s="56">
        <f>普通預金!F46</f>
        <v>0</v>
      </c>
      <c r="F46" s="57">
        <f>普通預金!G46</f>
        <v>0</v>
      </c>
      <c r="G46" s="58">
        <f>普通預金!H46</f>
        <v>0</v>
      </c>
      <c r="H46" s="54" t="str">
        <f>普通預金!I46</f>
        <v/>
      </c>
    </row>
    <row r="47" spans="1:8" ht="20.100000000000001" customHeight="1">
      <c r="A47" s="13">
        <f>普通預金!A47</f>
        <v>0</v>
      </c>
      <c r="B47" s="582">
        <f>普通預金!B47</f>
        <v>0</v>
      </c>
      <c r="C47" s="583">
        <f>普通預金!C47</f>
        <v>0</v>
      </c>
      <c r="D47" s="584">
        <f>普通預金!D47</f>
        <v>0</v>
      </c>
      <c r="E47" s="56">
        <f>普通預金!F47</f>
        <v>0</v>
      </c>
      <c r="F47" s="57">
        <f>普通預金!G47</f>
        <v>0</v>
      </c>
      <c r="G47" s="58">
        <f>普通預金!H47</f>
        <v>0</v>
      </c>
      <c r="H47" s="54" t="str">
        <f>普通預金!I47</f>
        <v/>
      </c>
    </row>
    <row r="48" spans="1:8" ht="20.100000000000001" customHeight="1">
      <c r="A48" s="13">
        <f>普通預金!A48</f>
        <v>0</v>
      </c>
      <c r="B48" s="582">
        <f>普通預金!B48</f>
        <v>0</v>
      </c>
      <c r="C48" s="583">
        <f>普通預金!C48</f>
        <v>0</v>
      </c>
      <c r="D48" s="584">
        <f>普通預金!D48</f>
        <v>0</v>
      </c>
      <c r="E48" s="56">
        <f>普通預金!F48</f>
        <v>0</v>
      </c>
      <c r="F48" s="57">
        <f>普通預金!G48</f>
        <v>0</v>
      </c>
      <c r="G48" s="58">
        <f>普通預金!H48</f>
        <v>0</v>
      </c>
      <c r="H48" s="54" t="str">
        <f>普通預金!I48</f>
        <v/>
      </c>
    </row>
    <row r="49" spans="1:8" ht="20.100000000000001" customHeight="1">
      <c r="A49" s="13">
        <f>普通預金!A49</f>
        <v>0</v>
      </c>
      <c r="B49" s="582">
        <f>普通預金!B49</f>
        <v>0</v>
      </c>
      <c r="C49" s="583">
        <f>普通預金!C49</f>
        <v>0</v>
      </c>
      <c r="D49" s="584">
        <f>普通預金!D49</f>
        <v>0</v>
      </c>
      <c r="E49" s="56">
        <f>普通預金!F49</f>
        <v>0</v>
      </c>
      <c r="F49" s="57">
        <f>普通預金!G49</f>
        <v>0</v>
      </c>
      <c r="G49" s="58">
        <f>普通預金!H49</f>
        <v>0</v>
      </c>
      <c r="H49" s="54" t="str">
        <f>普通預金!I49</f>
        <v/>
      </c>
    </row>
    <row r="50" spans="1:8" ht="20.100000000000001" customHeight="1">
      <c r="A50" s="13">
        <f>普通預金!A50</f>
        <v>0</v>
      </c>
      <c r="B50" s="582">
        <f>普通預金!B50</f>
        <v>0</v>
      </c>
      <c r="C50" s="583">
        <f>普通預金!C50</f>
        <v>0</v>
      </c>
      <c r="D50" s="584">
        <f>普通預金!D50</f>
        <v>0</v>
      </c>
      <c r="E50" s="56">
        <f>普通預金!F50</f>
        <v>0</v>
      </c>
      <c r="F50" s="57">
        <f>普通預金!G50</f>
        <v>0</v>
      </c>
      <c r="G50" s="58">
        <f>普通預金!H50</f>
        <v>0</v>
      </c>
      <c r="H50" s="54" t="str">
        <f>普通預金!I50</f>
        <v/>
      </c>
    </row>
    <row r="51" spans="1:8" ht="20.100000000000001" customHeight="1">
      <c r="A51" s="13">
        <f>普通預金!A51</f>
        <v>0</v>
      </c>
      <c r="B51" s="582">
        <f>普通預金!B51</f>
        <v>0</v>
      </c>
      <c r="C51" s="583">
        <f>普通預金!C51</f>
        <v>0</v>
      </c>
      <c r="D51" s="584">
        <f>普通預金!D51</f>
        <v>0</v>
      </c>
      <c r="E51" s="56">
        <f>普通預金!F51</f>
        <v>0</v>
      </c>
      <c r="F51" s="57">
        <f>普通預金!G51</f>
        <v>0</v>
      </c>
      <c r="G51" s="58">
        <f>普通預金!H51</f>
        <v>0</v>
      </c>
      <c r="H51" s="54" t="str">
        <f>普通預金!I51</f>
        <v/>
      </c>
    </row>
    <row r="52" spans="1:8" ht="20.100000000000001" customHeight="1">
      <c r="A52" s="13">
        <f>普通預金!A52</f>
        <v>0</v>
      </c>
      <c r="B52" s="582">
        <f>普通預金!B52</f>
        <v>0</v>
      </c>
      <c r="C52" s="583">
        <f>普通預金!C52</f>
        <v>0</v>
      </c>
      <c r="D52" s="584">
        <f>普通預金!D52</f>
        <v>0</v>
      </c>
      <c r="E52" s="56">
        <f>普通預金!F52</f>
        <v>0</v>
      </c>
      <c r="F52" s="57">
        <f>普通預金!G52</f>
        <v>0</v>
      </c>
      <c r="G52" s="58">
        <f>普通預金!H52</f>
        <v>0</v>
      </c>
      <c r="H52" s="54" t="str">
        <f>普通預金!I52</f>
        <v/>
      </c>
    </row>
    <row r="53" spans="1:8" ht="20.100000000000001" customHeight="1">
      <c r="A53" s="13">
        <f>普通預金!A53</f>
        <v>0</v>
      </c>
      <c r="B53" s="582">
        <f>普通預金!B53</f>
        <v>0</v>
      </c>
      <c r="C53" s="583">
        <f>普通預金!C53</f>
        <v>0</v>
      </c>
      <c r="D53" s="584">
        <f>普通預金!D53</f>
        <v>0</v>
      </c>
      <c r="E53" s="56">
        <f>普通預金!F53</f>
        <v>0</v>
      </c>
      <c r="F53" s="57">
        <f>普通預金!G53</f>
        <v>0</v>
      </c>
      <c r="G53" s="58">
        <f>普通預金!H53</f>
        <v>0</v>
      </c>
      <c r="H53" s="54" t="str">
        <f>普通預金!I53</f>
        <v/>
      </c>
    </row>
    <row r="54" spans="1:8" ht="20.100000000000001" customHeight="1">
      <c r="A54" s="13">
        <f>普通預金!A54</f>
        <v>0</v>
      </c>
      <c r="B54" s="582">
        <f>普通預金!B54</f>
        <v>0</v>
      </c>
      <c r="C54" s="583">
        <f>普通預金!C54</f>
        <v>0</v>
      </c>
      <c r="D54" s="584">
        <f>普通預金!D54</f>
        <v>0</v>
      </c>
      <c r="E54" s="56">
        <f>普通預金!F54</f>
        <v>0</v>
      </c>
      <c r="F54" s="57">
        <f>普通預金!G54</f>
        <v>0</v>
      </c>
      <c r="G54" s="58">
        <f>普通預金!H54</f>
        <v>0</v>
      </c>
      <c r="H54" s="54" t="str">
        <f>普通預金!I54</f>
        <v/>
      </c>
    </row>
    <row r="55" spans="1:8" ht="20.100000000000001" customHeight="1">
      <c r="A55" s="13">
        <f>普通預金!A55</f>
        <v>0</v>
      </c>
      <c r="B55" s="582">
        <f>普通預金!B55</f>
        <v>0</v>
      </c>
      <c r="C55" s="583">
        <f>普通預金!C55</f>
        <v>0</v>
      </c>
      <c r="D55" s="584">
        <f>普通預金!D55</f>
        <v>0</v>
      </c>
      <c r="E55" s="56">
        <f>普通預金!F55</f>
        <v>0</v>
      </c>
      <c r="F55" s="57">
        <f>普通預金!G55</f>
        <v>0</v>
      </c>
      <c r="G55" s="58">
        <f>普通預金!H55</f>
        <v>0</v>
      </c>
      <c r="H55" s="54" t="str">
        <f>普通預金!I55</f>
        <v/>
      </c>
    </row>
    <row r="56" spans="1:8" ht="20.100000000000001" customHeight="1">
      <c r="A56" s="13">
        <f>普通預金!A56</f>
        <v>0</v>
      </c>
      <c r="B56" s="582">
        <f>普通預金!B56</f>
        <v>0</v>
      </c>
      <c r="C56" s="583">
        <f>普通預金!C56</f>
        <v>0</v>
      </c>
      <c r="D56" s="584">
        <f>普通預金!D56</f>
        <v>0</v>
      </c>
      <c r="E56" s="56">
        <f>普通預金!F56</f>
        <v>0</v>
      </c>
      <c r="F56" s="57">
        <f>普通預金!G56</f>
        <v>0</v>
      </c>
      <c r="G56" s="58">
        <f>普通預金!H56</f>
        <v>0</v>
      </c>
      <c r="H56" s="54" t="str">
        <f>普通預金!I56</f>
        <v/>
      </c>
    </row>
    <row r="57" spans="1:8" ht="20.100000000000001" customHeight="1">
      <c r="A57" s="13">
        <f>普通預金!A57</f>
        <v>0</v>
      </c>
      <c r="B57" s="582">
        <f>普通預金!B57</f>
        <v>0</v>
      </c>
      <c r="C57" s="583">
        <f>普通預金!C57</f>
        <v>0</v>
      </c>
      <c r="D57" s="584">
        <f>普通預金!D57</f>
        <v>0</v>
      </c>
      <c r="E57" s="56">
        <f>普通預金!F57</f>
        <v>0</v>
      </c>
      <c r="F57" s="57">
        <f>普通預金!G57</f>
        <v>0</v>
      </c>
      <c r="G57" s="58">
        <f>普通預金!H57</f>
        <v>0</v>
      </c>
      <c r="H57" s="54" t="str">
        <f>普通預金!I57</f>
        <v/>
      </c>
    </row>
    <row r="58" spans="1:8" ht="20.100000000000001" customHeight="1">
      <c r="A58" s="13">
        <f>普通預金!A58</f>
        <v>0</v>
      </c>
      <c r="B58" s="582">
        <f>普通預金!B58</f>
        <v>0</v>
      </c>
      <c r="C58" s="583">
        <f>普通預金!C58</f>
        <v>0</v>
      </c>
      <c r="D58" s="584">
        <f>普通預金!D58</f>
        <v>0</v>
      </c>
      <c r="E58" s="56">
        <f>普通預金!F58</f>
        <v>0</v>
      </c>
      <c r="F58" s="57">
        <f>普通預金!G58</f>
        <v>0</v>
      </c>
      <c r="G58" s="58">
        <f>普通預金!H58</f>
        <v>0</v>
      </c>
      <c r="H58" s="54" t="str">
        <f>普通預金!I58</f>
        <v/>
      </c>
    </row>
    <row r="59" spans="1:8" ht="20.100000000000001" customHeight="1">
      <c r="A59" s="13">
        <f>普通預金!A59</f>
        <v>0</v>
      </c>
      <c r="B59" s="582">
        <f>普通預金!B59</f>
        <v>0</v>
      </c>
      <c r="C59" s="583">
        <f>普通預金!C59</f>
        <v>0</v>
      </c>
      <c r="D59" s="584">
        <f>普通預金!D59</f>
        <v>0</v>
      </c>
      <c r="E59" s="56">
        <f>普通預金!F59</f>
        <v>0</v>
      </c>
      <c r="F59" s="57">
        <f>普通預金!G59</f>
        <v>0</v>
      </c>
      <c r="G59" s="58">
        <f>普通預金!H59</f>
        <v>0</v>
      </c>
      <c r="H59" s="54" t="str">
        <f>普通預金!I59</f>
        <v/>
      </c>
    </row>
    <row r="60" spans="1:8" ht="20.100000000000001" customHeight="1">
      <c r="A60" s="13">
        <f>普通預金!A60</f>
        <v>0</v>
      </c>
      <c r="B60" s="582">
        <f>普通預金!B60</f>
        <v>0</v>
      </c>
      <c r="C60" s="583">
        <f>普通預金!C60</f>
        <v>0</v>
      </c>
      <c r="D60" s="584">
        <f>普通預金!D60</f>
        <v>0</v>
      </c>
      <c r="E60" s="56">
        <f>普通預金!F60</f>
        <v>0</v>
      </c>
      <c r="F60" s="57">
        <f>普通預金!G60</f>
        <v>0</v>
      </c>
      <c r="G60" s="58">
        <f>普通預金!H60</f>
        <v>0</v>
      </c>
      <c r="H60" s="54" t="str">
        <f>普通預金!I60</f>
        <v/>
      </c>
    </row>
    <row r="61" spans="1:8" ht="20.100000000000001" customHeight="1">
      <c r="A61" s="13">
        <f>普通預金!A61</f>
        <v>0</v>
      </c>
      <c r="B61" s="582">
        <f>普通預金!B61</f>
        <v>0</v>
      </c>
      <c r="C61" s="583">
        <f>普通預金!C61</f>
        <v>0</v>
      </c>
      <c r="D61" s="584">
        <f>普通預金!D61</f>
        <v>0</v>
      </c>
      <c r="E61" s="56">
        <f>普通預金!F61</f>
        <v>0</v>
      </c>
      <c r="F61" s="57">
        <f>普通預金!G61</f>
        <v>0</v>
      </c>
      <c r="G61" s="58">
        <f>普通預金!H61</f>
        <v>0</v>
      </c>
      <c r="H61" s="54" t="str">
        <f>普通預金!I61</f>
        <v/>
      </c>
    </row>
    <row r="62" spans="1:8" ht="20.100000000000001" customHeight="1">
      <c r="A62" s="13">
        <f>普通預金!A62</f>
        <v>0</v>
      </c>
      <c r="B62" s="582">
        <f>普通預金!B62</f>
        <v>0</v>
      </c>
      <c r="C62" s="583">
        <f>普通預金!C62</f>
        <v>0</v>
      </c>
      <c r="D62" s="584">
        <f>普通預金!D62</f>
        <v>0</v>
      </c>
      <c r="E62" s="56">
        <f>普通預金!F62</f>
        <v>0</v>
      </c>
      <c r="F62" s="57">
        <f>普通預金!G62</f>
        <v>0</v>
      </c>
      <c r="G62" s="58">
        <f>普通預金!H62</f>
        <v>0</v>
      </c>
      <c r="H62" s="54" t="str">
        <f>普通預金!I62</f>
        <v/>
      </c>
    </row>
    <row r="63" spans="1:8" ht="20.100000000000001" customHeight="1">
      <c r="A63" s="13">
        <f>普通預金!A63</f>
        <v>0</v>
      </c>
      <c r="B63" s="582">
        <f>普通預金!B63</f>
        <v>0</v>
      </c>
      <c r="C63" s="583">
        <f>普通預金!C63</f>
        <v>0</v>
      </c>
      <c r="D63" s="584">
        <f>普通預金!D63</f>
        <v>0</v>
      </c>
      <c r="E63" s="56">
        <f>普通預金!F63</f>
        <v>0</v>
      </c>
      <c r="F63" s="57">
        <f>普通預金!G63</f>
        <v>0</v>
      </c>
      <c r="G63" s="58">
        <f>普通預金!H63</f>
        <v>0</v>
      </c>
      <c r="H63" s="54" t="str">
        <f>普通預金!I63</f>
        <v/>
      </c>
    </row>
    <row r="64" spans="1:8" ht="20.100000000000001" customHeight="1">
      <c r="A64" s="13">
        <f>普通預金!A64</f>
        <v>0</v>
      </c>
      <c r="B64" s="582">
        <f>普通預金!B64</f>
        <v>0</v>
      </c>
      <c r="C64" s="583">
        <f>普通預金!C64</f>
        <v>0</v>
      </c>
      <c r="D64" s="584">
        <f>普通預金!D64</f>
        <v>0</v>
      </c>
      <c r="E64" s="56">
        <f>普通預金!F64</f>
        <v>0</v>
      </c>
      <c r="F64" s="57">
        <f>普通預金!G64</f>
        <v>0</v>
      </c>
      <c r="G64" s="58">
        <f>普通預金!H64</f>
        <v>0</v>
      </c>
      <c r="H64" s="54" t="str">
        <f>普通預金!I64</f>
        <v/>
      </c>
    </row>
    <row r="65" spans="1:8" ht="20.100000000000001" customHeight="1">
      <c r="A65" s="13">
        <f>普通預金!A65</f>
        <v>0</v>
      </c>
      <c r="B65" s="582">
        <f>普通預金!B65</f>
        <v>0</v>
      </c>
      <c r="C65" s="583">
        <f>普通預金!C65</f>
        <v>0</v>
      </c>
      <c r="D65" s="584">
        <f>普通預金!D65</f>
        <v>0</v>
      </c>
      <c r="E65" s="56">
        <f>普通預金!F65</f>
        <v>0</v>
      </c>
      <c r="F65" s="57">
        <f>普通預金!G65</f>
        <v>0</v>
      </c>
      <c r="G65" s="58">
        <f>普通預金!H65</f>
        <v>0</v>
      </c>
      <c r="H65" s="54" t="str">
        <f>普通預金!I65</f>
        <v/>
      </c>
    </row>
    <row r="66" spans="1:8" ht="20.100000000000001" customHeight="1">
      <c r="A66" s="13">
        <f>普通預金!A66</f>
        <v>0</v>
      </c>
      <c r="B66" s="582">
        <f>普通預金!B66</f>
        <v>0</v>
      </c>
      <c r="C66" s="583">
        <f>普通預金!C66</f>
        <v>0</v>
      </c>
      <c r="D66" s="584">
        <f>普通預金!D66</f>
        <v>0</v>
      </c>
      <c r="E66" s="56">
        <f>普通預金!F66</f>
        <v>0</v>
      </c>
      <c r="F66" s="57">
        <f>普通預金!G66</f>
        <v>0</v>
      </c>
      <c r="G66" s="58">
        <f>普通預金!H66</f>
        <v>0</v>
      </c>
      <c r="H66" s="54" t="str">
        <f>普通預金!I66</f>
        <v/>
      </c>
    </row>
    <row r="67" spans="1:8" ht="20.100000000000001" customHeight="1">
      <c r="A67" s="13">
        <f>普通預金!A67</f>
        <v>0</v>
      </c>
      <c r="B67" s="582">
        <f>普通預金!B67</f>
        <v>0</v>
      </c>
      <c r="C67" s="583">
        <f>普通預金!C67</f>
        <v>0</v>
      </c>
      <c r="D67" s="584">
        <f>普通預金!D67</f>
        <v>0</v>
      </c>
      <c r="E67" s="56">
        <f>普通預金!F67</f>
        <v>0</v>
      </c>
      <c r="F67" s="57">
        <f>普通預金!G67</f>
        <v>0</v>
      </c>
      <c r="G67" s="58">
        <f>普通預金!H67</f>
        <v>0</v>
      </c>
      <c r="H67" s="54" t="str">
        <f>普通預金!I67</f>
        <v/>
      </c>
    </row>
    <row r="68" spans="1:8" ht="20.100000000000001" customHeight="1">
      <c r="A68" s="13">
        <f>普通預金!A68</f>
        <v>0</v>
      </c>
      <c r="B68" s="582">
        <f>普通預金!B68</f>
        <v>0</v>
      </c>
      <c r="C68" s="583">
        <f>普通預金!C68</f>
        <v>0</v>
      </c>
      <c r="D68" s="584">
        <f>普通預金!D68</f>
        <v>0</v>
      </c>
      <c r="E68" s="56">
        <f>普通預金!F68</f>
        <v>0</v>
      </c>
      <c r="F68" s="57">
        <f>普通預金!G68</f>
        <v>0</v>
      </c>
      <c r="G68" s="58">
        <f>普通預金!H68</f>
        <v>0</v>
      </c>
      <c r="H68" s="54" t="str">
        <f>普通預金!I68</f>
        <v/>
      </c>
    </row>
    <row r="69" spans="1:8" ht="20.100000000000001" customHeight="1">
      <c r="A69" s="13">
        <f>普通預金!A69</f>
        <v>0</v>
      </c>
      <c r="B69" s="582">
        <f>普通預金!B69</f>
        <v>0</v>
      </c>
      <c r="C69" s="583">
        <f>普通預金!C69</f>
        <v>0</v>
      </c>
      <c r="D69" s="584">
        <f>普通預金!D69</f>
        <v>0</v>
      </c>
      <c r="E69" s="56">
        <f>普通預金!F69</f>
        <v>0</v>
      </c>
      <c r="F69" s="57">
        <f>普通預金!G69</f>
        <v>0</v>
      </c>
      <c r="G69" s="58">
        <f>普通預金!H69</f>
        <v>0</v>
      </c>
      <c r="H69" s="54" t="str">
        <f>普通預金!I69</f>
        <v/>
      </c>
    </row>
    <row r="70" spans="1:8" ht="20.100000000000001" customHeight="1">
      <c r="A70" s="13">
        <f>普通預金!A70</f>
        <v>0</v>
      </c>
      <c r="B70" s="582">
        <f>普通預金!B70</f>
        <v>0</v>
      </c>
      <c r="C70" s="583">
        <f>普通預金!C70</f>
        <v>0</v>
      </c>
      <c r="D70" s="584">
        <f>普通預金!D70</f>
        <v>0</v>
      </c>
      <c r="E70" s="56">
        <f>普通預金!F70</f>
        <v>0</v>
      </c>
      <c r="F70" s="57">
        <f>普通預金!G70</f>
        <v>0</v>
      </c>
      <c r="G70" s="58">
        <f>普通預金!H70</f>
        <v>0</v>
      </c>
      <c r="H70" s="54" t="str">
        <f>普通預金!I70</f>
        <v/>
      </c>
    </row>
    <row r="71" spans="1:8" ht="20.100000000000001" customHeight="1">
      <c r="A71" s="13">
        <f>普通預金!A71</f>
        <v>0</v>
      </c>
      <c r="B71" s="582">
        <f>普通預金!B71</f>
        <v>0</v>
      </c>
      <c r="C71" s="583">
        <f>普通預金!C71</f>
        <v>0</v>
      </c>
      <c r="D71" s="584">
        <f>普通預金!D71</f>
        <v>0</v>
      </c>
      <c r="E71" s="56">
        <f>普通預金!F71</f>
        <v>0</v>
      </c>
      <c r="F71" s="57">
        <f>普通預金!G71</f>
        <v>0</v>
      </c>
      <c r="G71" s="58">
        <f>普通預金!H71</f>
        <v>0</v>
      </c>
      <c r="H71" s="54" t="str">
        <f>普通預金!I71</f>
        <v/>
      </c>
    </row>
    <row r="72" spans="1:8" ht="20.100000000000001" customHeight="1">
      <c r="A72" s="13">
        <f>普通預金!A72</f>
        <v>0</v>
      </c>
      <c r="B72" s="582">
        <f>普通預金!B72</f>
        <v>0</v>
      </c>
      <c r="C72" s="583">
        <f>普通預金!C72</f>
        <v>0</v>
      </c>
      <c r="D72" s="584">
        <f>普通預金!D72</f>
        <v>0</v>
      </c>
      <c r="E72" s="56">
        <f>普通預金!F72</f>
        <v>0</v>
      </c>
      <c r="F72" s="57">
        <f>普通預金!G72</f>
        <v>0</v>
      </c>
      <c r="G72" s="58">
        <f>普通預金!H72</f>
        <v>0</v>
      </c>
      <c r="H72" s="54" t="str">
        <f>普通預金!I72</f>
        <v/>
      </c>
    </row>
    <row r="73" spans="1:8" ht="20.100000000000001" customHeight="1">
      <c r="A73" s="13">
        <f>普通預金!A73</f>
        <v>0</v>
      </c>
      <c r="B73" s="582">
        <f>普通預金!B73</f>
        <v>0</v>
      </c>
      <c r="C73" s="583">
        <f>普通預金!C73</f>
        <v>0</v>
      </c>
      <c r="D73" s="584">
        <f>普通預金!D73</f>
        <v>0</v>
      </c>
      <c r="E73" s="56">
        <f>普通預金!F73</f>
        <v>0</v>
      </c>
      <c r="F73" s="57">
        <f>普通預金!G73</f>
        <v>0</v>
      </c>
      <c r="G73" s="58">
        <f>普通預金!H73</f>
        <v>0</v>
      </c>
      <c r="H73" s="54" t="str">
        <f>普通預金!I73</f>
        <v/>
      </c>
    </row>
    <row r="74" spans="1:8" ht="20.100000000000001" customHeight="1">
      <c r="A74" s="13">
        <f>普通預金!A74</f>
        <v>0</v>
      </c>
      <c r="B74" s="582">
        <f>普通預金!B74</f>
        <v>0</v>
      </c>
      <c r="C74" s="583">
        <f>普通預金!C74</f>
        <v>0</v>
      </c>
      <c r="D74" s="584">
        <f>普通預金!D74</f>
        <v>0</v>
      </c>
      <c r="E74" s="56">
        <f>普通預金!F74</f>
        <v>0</v>
      </c>
      <c r="F74" s="57">
        <f>普通預金!G74</f>
        <v>0</v>
      </c>
      <c r="G74" s="58">
        <f>普通預金!H74</f>
        <v>0</v>
      </c>
      <c r="H74" s="54" t="str">
        <f>普通預金!I74</f>
        <v/>
      </c>
    </row>
    <row r="75" spans="1:8" ht="20.100000000000001" customHeight="1">
      <c r="A75" s="13">
        <f>普通預金!A75</f>
        <v>0</v>
      </c>
      <c r="B75" s="582">
        <f>普通預金!B75</f>
        <v>0</v>
      </c>
      <c r="C75" s="583">
        <f>普通預金!C75</f>
        <v>0</v>
      </c>
      <c r="D75" s="584">
        <f>普通預金!D75</f>
        <v>0</v>
      </c>
      <c r="E75" s="56">
        <f>普通預金!F75</f>
        <v>0</v>
      </c>
      <c r="F75" s="57">
        <f>普通預金!G75</f>
        <v>0</v>
      </c>
      <c r="G75" s="58">
        <f>普通預金!H75</f>
        <v>0</v>
      </c>
      <c r="H75" s="54" t="str">
        <f>普通預金!I75</f>
        <v/>
      </c>
    </row>
    <row r="76" spans="1:8" ht="20.100000000000001" customHeight="1">
      <c r="A76" s="13">
        <f>普通預金!A76</f>
        <v>0</v>
      </c>
      <c r="B76" s="582">
        <f>普通預金!B76</f>
        <v>0</v>
      </c>
      <c r="C76" s="583">
        <f>普通預金!C76</f>
        <v>0</v>
      </c>
      <c r="D76" s="584">
        <f>普通預金!D76</f>
        <v>0</v>
      </c>
      <c r="E76" s="56">
        <f>普通預金!F76</f>
        <v>0</v>
      </c>
      <c r="F76" s="57">
        <f>普通預金!G76</f>
        <v>0</v>
      </c>
      <c r="G76" s="58">
        <f>普通預金!H76</f>
        <v>0</v>
      </c>
      <c r="H76" s="54" t="str">
        <f>普通預金!I76</f>
        <v/>
      </c>
    </row>
    <row r="77" spans="1:8" ht="20.100000000000001" customHeight="1">
      <c r="A77" s="13">
        <f>普通預金!A77</f>
        <v>0</v>
      </c>
      <c r="B77" s="582">
        <f>普通預金!B77</f>
        <v>0</v>
      </c>
      <c r="C77" s="583">
        <f>普通預金!C77</f>
        <v>0</v>
      </c>
      <c r="D77" s="584">
        <f>普通預金!D77</f>
        <v>0</v>
      </c>
      <c r="E77" s="56">
        <f>普通預金!F77</f>
        <v>0</v>
      </c>
      <c r="F77" s="57">
        <f>普通預金!G77</f>
        <v>0</v>
      </c>
      <c r="G77" s="58">
        <f>普通預金!H77</f>
        <v>0</v>
      </c>
      <c r="H77" s="54" t="str">
        <f>普通預金!I77</f>
        <v/>
      </c>
    </row>
    <row r="78" spans="1:8" ht="20.100000000000001" customHeight="1">
      <c r="A78" s="13">
        <f>普通預金!A78</f>
        <v>0</v>
      </c>
      <c r="B78" s="582">
        <f>普通預金!B78</f>
        <v>0</v>
      </c>
      <c r="C78" s="583">
        <f>普通預金!C78</f>
        <v>0</v>
      </c>
      <c r="D78" s="584">
        <f>普通預金!D78</f>
        <v>0</v>
      </c>
      <c r="E78" s="56">
        <f>普通預金!F78</f>
        <v>0</v>
      </c>
      <c r="F78" s="57">
        <f>普通預金!G78</f>
        <v>0</v>
      </c>
      <c r="G78" s="58">
        <f>普通預金!H78</f>
        <v>0</v>
      </c>
      <c r="H78" s="54" t="str">
        <f>普通預金!I78</f>
        <v/>
      </c>
    </row>
    <row r="79" spans="1:8" ht="20.100000000000001" customHeight="1">
      <c r="A79" s="13">
        <f>普通預金!A79</f>
        <v>0</v>
      </c>
      <c r="B79" s="582">
        <f>普通預金!B79</f>
        <v>0</v>
      </c>
      <c r="C79" s="583">
        <f>普通預金!C79</f>
        <v>0</v>
      </c>
      <c r="D79" s="584">
        <f>普通預金!D79</f>
        <v>0</v>
      </c>
      <c r="E79" s="56">
        <f>普通預金!F79</f>
        <v>0</v>
      </c>
      <c r="F79" s="57">
        <f>普通預金!G79</f>
        <v>0</v>
      </c>
      <c r="G79" s="58">
        <f>普通預金!H79</f>
        <v>0</v>
      </c>
      <c r="H79" s="54" t="str">
        <f>普通預金!I79</f>
        <v/>
      </c>
    </row>
    <row r="80" spans="1:8" ht="20.100000000000001" customHeight="1">
      <c r="A80" s="13">
        <f>普通預金!A80</f>
        <v>0</v>
      </c>
      <c r="B80" s="582">
        <f>普通預金!B80</f>
        <v>0</v>
      </c>
      <c r="C80" s="583">
        <f>普通預金!C80</f>
        <v>0</v>
      </c>
      <c r="D80" s="584">
        <f>普通預金!D80</f>
        <v>0</v>
      </c>
      <c r="E80" s="56">
        <f>普通預金!F80</f>
        <v>0</v>
      </c>
      <c r="F80" s="57">
        <f>普通預金!G80</f>
        <v>0</v>
      </c>
      <c r="G80" s="58">
        <f>普通預金!H80</f>
        <v>0</v>
      </c>
      <c r="H80" s="54" t="str">
        <f>普通預金!I80</f>
        <v/>
      </c>
    </row>
    <row r="81" spans="1:8" ht="20.100000000000001" customHeight="1">
      <c r="A81" s="13">
        <f>普通預金!A81</f>
        <v>0</v>
      </c>
      <c r="B81" s="582">
        <f>普通預金!B81</f>
        <v>0</v>
      </c>
      <c r="C81" s="583">
        <f>普通預金!C81</f>
        <v>0</v>
      </c>
      <c r="D81" s="584">
        <f>普通預金!D81</f>
        <v>0</v>
      </c>
      <c r="E81" s="56">
        <f>普通預金!F81</f>
        <v>0</v>
      </c>
      <c r="F81" s="57">
        <f>普通預金!G81</f>
        <v>0</v>
      </c>
      <c r="G81" s="58">
        <f>普通預金!H81</f>
        <v>0</v>
      </c>
      <c r="H81" s="54" t="str">
        <f>普通預金!I81</f>
        <v/>
      </c>
    </row>
    <row r="82" spans="1:8" ht="20.100000000000001" customHeight="1">
      <c r="A82" s="13">
        <f>普通預金!A82</f>
        <v>0</v>
      </c>
      <c r="B82" s="582">
        <f>普通預金!B82</f>
        <v>0</v>
      </c>
      <c r="C82" s="583">
        <f>普通預金!C82</f>
        <v>0</v>
      </c>
      <c r="D82" s="584">
        <f>普通預金!D82</f>
        <v>0</v>
      </c>
      <c r="E82" s="56">
        <f>普通預金!F82</f>
        <v>0</v>
      </c>
      <c r="F82" s="57">
        <f>普通預金!G82</f>
        <v>0</v>
      </c>
      <c r="G82" s="58">
        <f>普通預金!H82</f>
        <v>0</v>
      </c>
      <c r="H82" s="54" t="str">
        <f>普通預金!I82</f>
        <v/>
      </c>
    </row>
    <row r="83" spans="1:8" ht="20.100000000000001" customHeight="1">
      <c r="A83" s="13">
        <f>普通預金!A83</f>
        <v>0</v>
      </c>
      <c r="B83" s="582">
        <f>普通預金!B83</f>
        <v>0</v>
      </c>
      <c r="C83" s="583">
        <f>普通預金!C83</f>
        <v>0</v>
      </c>
      <c r="D83" s="584">
        <f>普通預金!D83</f>
        <v>0</v>
      </c>
      <c r="E83" s="56">
        <f>普通預金!F83</f>
        <v>0</v>
      </c>
      <c r="F83" s="57">
        <f>普通預金!G83</f>
        <v>0</v>
      </c>
      <c r="G83" s="58">
        <f>普通預金!H83</f>
        <v>0</v>
      </c>
      <c r="H83" s="54" t="str">
        <f>普通預金!I83</f>
        <v/>
      </c>
    </row>
    <row r="84" spans="1:8" ht="20.100000000000001" customHeight="1">
      <c r="A84" s="13">
        <f>普通預金!A84</f>
        <v>0</v>
      </c>
      <c r="B84" s="582">
        <f>普通預金!B84</f>
        <v>0</v>
      </c>
      <c r="C84" s="583">
        <f>普通預金!C84</f>
        <v>0</v>
      </c>
      <c r="D84" s="584">
        <f>普通預金!D84</f>
        <v>0</v>
      </c>
      <c r="E84" s="56">
        <f>普通預金!F84</f>
        <v>0</v>
      </c>
      <c r="F84" s="57">
        <f>普通預金!G84</f>
        <v>0</v>
      </c>
      <c r="G84" s="58">
        <f>普通預金!H84</f>
        <v>0</v>
      </c>
      <c r="H84" s="54" t="str">
        <f>普通預金!I84</f>
        <v/>
      </c>
    </row>
    <row r="85" spans="1:8" ht="20.100000000000001" customHeight="1">
      <c r="A85" s="13">
        <f>普通預金!A85</f>
        <v>0</v>
      </c>
      <c r="B85" s="582">
        <f>普通預金!B85</f>
        <v>0</v>
      </c>
      <c r="C85" s="583">
        <f>普通預金!C85</f>
        <v>0</v>
      </c>
      <c r="D85" s="584">
        <f>普通預金!D85</f>
        <v>0</v>
      </c>
      <c r="E85" s="56">
        <f>普通預金!F85</f>
        <v>0</v>
      </c>
      <c r="F85" s="57">
        <f>普通預金!G85</f>
        <v>0</v>
      </c>
      <c r="G85" s="58">
        <f>普通預金!H85</f>
        <v>0</v>
      </c>
      <c r="H85" s="54" t="str">
        <f>普通預金!I85</f>
        <v/>
      </c>
    </row>
    <row r="86" spans="1:8" ht="20.100000000000001" customHeight="1">
      <c r="A86" s="13">
        <f>普通預金!A86</f>
        <v>0</v>
      </c>
      <c r="B86" s="582">
        <f>普通預金!B86</f>
        <v>0</v>
      </c>
      <c r="C86" s="583">
        <f>普通預金!C86</f>
        <v>0</v>
      </c>
      <c r="D86" s="584">
        <f>普通預金!D86</f>
        <v>0</v>
      </c>
      <c r="E86" s="56">
        <f>普通預金!F86</f>
        <v>0</v>
      </c>
      <c r="F86" s="57">
        <f>普通預金!G86</f>
        <v>0</v>
      </c>
      <c r="G86" s="58">
        <f>普通預金!H86</f>
        <v>0</v>
      </c>
      <c r="H86" s="54" t="str">
        <f>普通預金!I86</f>
        <v/>
      </c>
    </row>
    <row r="87" spans="1:8" ht="20.100000000000001" customHeight="1">
      <c r="A87" s="13">
        <f>普通預金!A87</f>
        <v>0</v>
      </c>
      <c r="B87" s="582">
        <f>普通預金!B87</f>
        <v>0</v>
      </c>
      <c r="C87" s="583">
        <f>普通預金!C87</f>
        <v>0</v>
      </c>
      <c r="D87" s="584">
        <f>普通預金!D87</f>
        <v>0</v>
      </c>
      <c r="E87" s="56">
        <f>普通預金!F87</f>
        <v>0</v>
      </c>
      <c r="F87" s="57">
        <f>普通預金!G87</f>
        <v>0</v>
      </c>
      <c r="G87" s="58">
        <f>普通預金!H87</f>
        <v>0</v>
      </c>
      <c r="H87" s="54" t="str">
        <f>普通預金!I87</f>
        <v/>
      </c>
    </row>
    <row r="88" spans="1:8" ht="20.100000000000001" customHeight="1">
      <c r="A88" s="13">
        <f>普通預金!A88</f>
        <v>0</v>
      </c>
      <c r="B88" s="582">
        <f>普通預金!B88</f>
        <v>0</v>
      </c>
      <c r="C88" s="583">
        <f>普通預金!C88</f>
        <v>0</v>
      </c>
      <c r="D88" s="584">
        <f>普通預金!D88</f>
        <v>0</v>
      </c>
      <c r="E88" s="56">
        <f>普通預金!F88</f>
        <v>0</v>
      </c>
      <c r="F88" s="57">
        <f>普通預金!G88</f>
        <v>0</v>
      </c>
      <c r="G88" s="58">
        <f>普通預金!H88</f>
        <v>0</v>
      </c>
      <c r="H88" s="54" t="str">
        <f>普通預金!I88</f>
        <v/>
      </c>
    </row>
    <row r="89" spans="1:8" ht="20.100000000000001" customHeight="1">
      <c r="A89" s="13">
        <f>普通預金!A89</f>
        <v>0</v>
      </c>
      <c r="B89" s="582">
        <f>普通預金!B89</f>
        <v>0</v>
      </c>
      <c r="C89" s="583">
        <f>普通預金!C89</f>
        <v>0</v>
      </c>
      <c r="D89" s="584">
        <f>普通預金!D89</f>
        <v>0</v>
      </c>
      <c r="E89" s="56">
        <f>普通預金!F89</f>
        <v>0</v>
      </c>
      <c r="F89" s="57">
        <f>普通預金!G89</f>
        <v>0</v>
      </c>
      <c r="G89" s="58">
        <f>普通預金!H89</f>
        <v>0</v>
      </c>
      <c r="H89" s="54" t="str">
        <f>普通預金!I89</f>
        <v/>
      </c>
    </row>
    <row r="90" spans="1:8" ht="20.100000000000001" customHeight="1">
      <c r="A90" s="13">
        <f>普通預金!A90</f>
        <v>0</v>
      </c>
      <c r="B90" s="582">
        <f>普通預金!B90</f>
        <v>0</v>
      </c>
      <c r="C90" s="583">
        <f>普通預金!C90</f>
        <v>0</v>
      </c>
      <c r="D90" s="584">
        <f>普通預金!D90</f>
        <v>0</v>
      </c>
      <c r="E90" s="56">
        <f>普通預金!F90</f>
        <v>0</v>
      </c>
      <c r="F90" s="57">
        <f>普通預金!G90</f>
        <v>0</v>
      </c>
      <c r="G90" s="58">
        <f>普通預金!H90</f>
        <v>0</v>
      </c>
      <c r="H90" s="54" t="str">
        <f>普通預金!I90</f>
        <v/>
      </c>
    </row>
    <row r="91" spans="1:8" ht="20.100000000000001" customHeight="1">
      <c r="A91" s="13">
        <f>普通預金!A91</f>
        <v>0</v>
      </c>
      <c r="B91" s="582">
        <f>普通預金!B91</f>
        <v>0</v>
      </c>
      <c r="C91" s="583">
        <f>普通預金!C91</f>
        <v>0</v>
      </c>
      <c r="D91" s="584">
        <f>普通預金!D91</f>
        <v>0</v>
      </c>
      <c r="E91" s="56">
        <f>普通預金!F91</f>
        <v>0</v>
      </c>
      <c r="F91" s="57">
        <f>普通預金!G91</f>
        <v>0</v>
      </c>
      <c r="G91" s="58">
        <f>普通預金!H91</f>
        <v>0</v>
      </c>
      <c r="H91" s="54" t="str">
        <f>普通預金!I91</f>
        <v/>
      </c>
    </row>
    <row r="92" spans="1:8" ht="20.100000000000001" customHeight="1">
      <c r="A92" s="13">
        <f>普通預金!A92</f>
        <v>0</v>
      </c>
      <c r="B92" s="582">
        <f>普通預金!B92</f>
        <v>0</v>
      </c>
      <c r="C92" s="583">
        <f>普通預金!C92</f>
        <v>0</v>
      </c>
      <c r="D92" s="584">
        <f>普通預金!D92</f>
        <v>0</v>
      </c>
      <c r="E92" s="56">
        <f>普通預金!F92</f>
        <v>0</v>
      </c>
      <c r="F92" s="57">
        <f>普通預金!G92</f>
        <v>0</v>
      </c>
      <c r="G92" s="58">
        <f>普通預金!H92</f>
        <v>0</v>
      </c>
      <c r="H92" s="54" t="str">
        <f>普通預金!I92</f>
        <v/>
      </c>
    </row>
    <row r="93" spans="1:8" ht="20.100000000000001" customHeight="1">
      <c r="A93" s="13">
        <f>普通預金!A93</f>
        <v>0</v>
      </c>
      <c r="B93" s="582">
        <f>普通預金!B93</f>
        <v>0</v>
      </c>
      <c r="C93" s="583">
        <f>普通預金!C93</f>
        <v>0</v>
      </c>
      <c r="D93" s="584">
        <f>普通預金!D93</f>
        <v>0</v>
      </c>
      <c r="E93" s="56">
        <f>普通預金!F93</f>
        <v>0</v>
      </c>
      <c r="F93" s="57">
        <f>普通預金!G93</f>
        <v>0</v>
      </c>
      <c r="G93" s="58">
        <f>普通預金!H93</f>
        <v>0</v>
      </c>
      <c r="H93" s="54" t="str">
        <f>普通預金!I93</f>
        <v/>
      </c>
    </row>
    <row r="94" spans="1:8" ht="20.100000000000001" customHeight="1">
      <c r="A94" s="13">
        <f>普通預金!A94</f>
        <v>0</v>
      </c>
      <c r="B94" s="582">
        <f>普通預金!B94</f>
        <v>0</v>
      </c>
      <c r="C94" s="583">
        <f>普通預金!C94</f>
        <v>0</v>
      </c>
      <c r="D94" s="584">
        <f>普通預金!D94</f>
        <v>0</v>
      </c>
      <c r="E94" s="56">
        <f>普通預金!F94</f>
        <v>0</v>
      </c>
      <c r="F94" s="57">
        <f>普通預金!G94</f>
        <v>0</v>
      </c>
      <c r="G94" s="58">
        <f>普通預金!H94</f>
        <v>0</v>
      </c>
      <c r="H94" s="54" t="str">
        <f>普通預金!I94</f>
        <v/>
      </c>
    </row>
    <row r="95" spans="1:8" ht="20.100000000000001" customHeight="1">
      <c r="A95" s="13">
        <f>普通預金!A95</f>
        <v>0</v>
      </c>
      <c r="B95" s="582">
        <f>普通預金!B95</f>
        <v>0</v>
      </c>
      <c r="C95" s="583">
        <f>普通預金!C95</f>
        <v>0</v>
      </c>
      <c r="D95" s="584">
        <f>普通預金!D95</f>
        <v>0</v>
      </c>
      <c r="E95" s="56">
        <f>普通預金!F95</f>
        <v>0</v>
      </c>
      <c r="F95" s="57">
        <f>普通預金!G95</f>
        <v>0</v>
      </c>
      <c r="G95" s="58">
        <f>普通預金!H95</f>
        <v>0</v>
      </c>
      <c r="H95" s="54" t="str">
        <f>普通預金!I95</f>
        <v/>
      </c>
    </row>
    <row r="96" spans="1:8" ht="20.100000000000001" customHeight="1">
      <c r="A96" s="13">
        <f>普通預金!A96</f>
        <v>0</v>
      </c>
      <c r="B96" s="582">
        <f>普通預金!B96</f>
        <v>0</v>
      </c>
      <c r="C96" s="583">
        <f>普通預金!C96</f>
        <v>0</v>
      </c>
      <c r="D96" s="584">
        <f>普通預金!D96</f>
        <v>0</v>
      </c>
      <c r="E96" s="56">
        <f>普通預金!F96</f>
        <v>0</v>
      </c>
      <c r="F96" s="57">
        <f>普通預金!G96</f>
        <v>0</v>
      </c>
      <c r="G96" s="58">
        <f>普通預金!H96</f>
        <v>0</v>
      </c>
      <c r="H96" s="54" t="str">
        <f>普通預金!I96</f>
        <v/>
      </c>
    </row>
    <row r="97" spans="1:8" ht="20.100000000000001" customHeight="1">
      <c r="A97" s="13">
        <f>普通預金!A97</f>
        <v>0</v>
      </c>
      <c r="B97" s="582">
        <f>普通預金!B97</f>
        <v>0</v>
      </c>
      <c r="C97" s="583">
        <f>普通預金!C97</f>
        <v>0</v>
      </c>
      <c r="D97" s="584">
        <f>普通預金!D97</f>
        <v>0</v>
      </c>
      <c r="E97" s="56">
        <f>普通預金!F97</f>
        <v>0</v>
      </c>
      <c r="F97" s="57">
        <f>普通預金!G97</f>
        <v>0</v>
      </c>
      <c r="G97" s="58">
        <f>普通預金!H97</f>
        <v>0</v>
      </c>
      <c r="H97" s="54" t="str">
        <f>普通預金!I97</f>
        <v/>
      </c>
    </row>
    <row r="98" spans="1:8" ht="20.100000000000001" customHeight="1">
      <c r="A98" s="13">
        <f>普通預金!A98</f>
        <v>0</v>
      </c>
      <c r="B98" s="582">
        <f>普通預金!B98</f>
        <v>0</v>
      </c>
      <c r="C98" s="583">
        <f>普通預金!C98</f>
        <v>0</v>
      </c>
      <c r="D98" s="584">
        <f>普通預金!D98</f>
        <v>0</v>
      </c>
      <c r="E98" s="56">
        <f>普通預金!F98</f>
        <v>0</v>
      </c>
      <c r="F98" s="797">
        <f>普通預金!G98</f>
        <v>0</v>
      </c>
      <c r="G98" s="798">
        <f>普通預金!H98</f>
        <v>0</v>
      </c>
      <c r="H98" s="799" t="str">
        <f>普通預金!I98</f>
        <v/>
      </c>
    </row>
    <row r="99" spans="1:8" ht="20.100000000000001" customHeight="1">
      <c r="A99" s="13">
        <f>普通預金!A99</f>
        <v>0</v>
      </c>
      <c r="B99" s="1107" t="str">
        <f>普通預金!B99</f>
        <v>小　計　</v>
      </c>
      <c r="C99" s="1108"/>
      <c r="D99" s="1109"/>
      <c r="E99" s="56">
        <f>普通預金!F99</f>
        <v>0</v>
      </c>
      <c r="F99" s="800">
        <f>普通預金!G99</f>
        <v>0</v>
      </c>
      <c r="G99" s="801">
        <f>普通預金!H99</f>
        <v>0</v>
      </c>
      <c r="H99" s="802">
        <f>普通預金!I99</f>
        <v>0</v>
      </c>
    </row>
    <row r="100" spans="1:8" ht="20.100000000000001" customHeight="1" thickBot="1">
      <c r="A100" s="211">
        <f>普通預金!A100</f>
        <v>0</v>
      </c>
      <c r="B100" s="1104" t="str">
        <f>普通預金!B100</f>
        <v>次 期 繰 越</v>
      </c>
      <c r="C100" s="1105"/>
      <c r="D100" s="1106"/>
      <c r="E100" s="215">
        <f>普通預金!F100</f>
        <v>0</v>
      </c>
      <c r="F100" s="212">
        <f>普通預金!G100</f>
        <v>0</v>
      </c>
      <c r="G100" s="213">
        <f>普通預金!H100</f>
        <v>0</v>
      </c>
      <c r="H100" s="214">
        <f>普通預金!I100</f>
        <v>0</v>
      </c>
    </row>
    <row r="101" spans="1:8" ht="20.100000000000001" customHeight="1">
      <c r="F101" s="216">
        <f>普通預金!G101</f>
        <v>0</v>
      </c>
      <c r="G101" s="216">
        <f>普通預金!H101</f>
        <v>0</v>
      </c>
      <c r="H101" s="216" t="str">
        <f>普通預金!I101</f>
        <v/>
      </c>
    </row>
  </sheetData>
  <sortState ref="A5:H98">
    <sortCondition ref="A5:A98"/>
  </sortState>
  <mergeCells count="5">
    <mergeCell ref="B100:D100"/>
    <mergeCell ref="A1:H1"/>
    <mergeCell ref="B4:D4"/>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E99:E100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I101"/>
  <sheetViews>
    <sheetView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631" customWidth="1"/>
    <col min="2" max="2" width="15.625" style="632" customWidth="1"/>
    <col min="3" max="3" width="14.625" style="603" customWidth="1"/>
    <col min="4" max="4" width="5.625" style="603" customWidth="1"/>
    <col min="5" max="5" width="3.625" style="618" customWidth="1"/>
    <col min="6" max="6" width="11.625" style="618" customWidth="1"/>
    <col min="7" max="9" width="11.625" style="633" customWidth="1"/>
    <col min="10" max="16384" width="8.875" style="603"/>
  </cols>
  <sheetData>
    <row r="1" spans="1:9" ht="32.1" customHeight="1">
      <c r="A1" s="1113" t="s">
        <v>19</v>
      </c>
      <c r="B1" s="1113"/>
      <c r="C1" s="1113"/>
      <c r="D1" s="1113"/>
      <c r="E1" s="1113"/>
      <c r="F1" s="1113"/>
      <c r="G1" s="1113"/>
      <c r="H1" s="1113"/>
      <c r="I1" s="1113"/>
    </row>
    <row r="2" spans="1:9" s="612" customFormat="1" ht="12.95" customHeight="1" thickBot="1">
      <c r="A2" s="604"/>
      <c r="B2" s="605"/>
      <c r="C2" s="606"/>
      <c r="D2" s="607"/>
      <c r="E2" s="608"/>
      <c r="F2" s="608"/>
      <c r="G2" s="609"/>
      <c r="H2" s="610"/>
      <c r="I2" s="611"/>
    </row>
    <row r="3" spans="1:9" s="618" customFormat="1" ht="30" customHeight="1" thickTop="1" thickBot="1">
      <c r="A3" s="613">
        <f>設定メニュー!$B$2</f>
        <v>42736</v>
      </c>
      <c r="B3" s="1114" t="s">
        <v>1</v>
      </c>
      <c r="C3" s="1115"/>
      <c r="D3" s="1116"/>
      <c r="E3" s="614" t="s">
        <v>28</v>
      </c>
      <c r="F3" s="615" t="s">
        <v>63</v>
      </c>
      <c r="G3" s="615" t="s">
        <v>4</v>
      </c>
      <c r="H3" s="616" t="s">
        <v>72</v>
      </c>
      <c r="I3" s="617" t="s">
        <v>29</v>
      </c>
    </row>
    <row r="4" spans="1:9" ht="20.100000000000001" customHeight="1">
      <c r="A4" s="785">
        <f>設定メニュー!$B$2</f>
        <v>42736</v>
      </c>
      <c r="B4" s="1117" t="s">
        <v>6</v>
      </c>
      <c r="C4" s="1118"/>
      <c r="D4" s="1119"/>
      <c r="E4" s="786"/>
      <c r="F4" s="787"/>
      <c r="G4" s="788">
        <f>VLOOKUP($A$1,合計残高試算表!$A$5:$G$44,2,0)</f>
        <v>0</v>
      </c>
      <c r="H4" s="788">
        <f>VLOOKUP($A$1,合計残高試算表!$A$5:$G$44,3,0)</f>
        <v>0</v>
      </c>
      <c r="I4" s="792">
        <f>G4-H4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1"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IF(OR(G9&lt;&gt;"",H9&lt;&gt;""),I8+G9-H9,"")</f>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ref="I12:I38" si="1">IF(OR(G12&lt;&gt;"",H12&lt;&gt;""),I11+G12-H12,"")</f>
        <v/>
      </c>
    </row>
    <row r="13" spans="1:9" ht="20.100000000000001" customHeight="1">
      <c r="A13" s="621"/>
      <c r="B13" s="622"/>
      <c r="C13" s="623"/>
      <c r="D13" s="623"/>
      <c r="E13" s="624"/>
      <c r="F13" s="625"/>
      <c r="G13" s="626"/>
      <c r="H13" s="627"/>
      <c r="I13" s="634" t="str">
        <f t="shared" si="1"/>
        <v/>
      </c>
    </row>
    <row r="14" spans="1:9" ht="20.100000000000001" customHeight="1">
      <c r="A14" s="621"/>
      <c r="B14" s="622"/>
      <c r="C14" s="623"/>
      <c r="D14" s="623"/>
      <c r="E14" s="624"/>
      <c r="F14" s="625"/>
      <c r="G14" s="626"/>
      <c r="H14" s="627"/>
      <c r="I14" s="634" t="str">
        <f t="shared" si="1"/>
        <v/>
      </c>
    </row>
    <row r="15" spans="1:9" ht="20.100000000000001" customHeight="1">
      <c r="A15" s="621"/>
      <c r="B15" s="622"/>
      <c r="C15" s="623"/>
      <c r="D15" s="623"/>
      <c r="E15" s="624"/>
      <c r="F15" s="625"/>
      <c r="G15" s="626"/>
      <c r="H15" s="627"/>
      <c r="I15" s="634" t="str">
        <f t="shared" si="1"/>
        <v/>
      </c>
    </row>
    <row r="16" spans="1:9" ht="20.100000000000001" customHeight="1">
      <c r="A16" s="621"/>
      <c r="B16" s="622"/>
      <c r="C16" s="623"/>
      <c r="D16" s="623"/>
      <c r="E16" s="624"/>
      <c r="F16" s="625"/>
      <c r="G16" s="626"/>
      <c r="H16" s="627"/>
      <c r="I16" s="634" t="str">
        <f t="shared" si="1"/>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ref="I39:I73" si="2">IF(OR(G39&lt;&gt;"",H39&lt;&gt;""),I38+G39-H39,"")</f>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ref="I74:I97" si="3">IF(OR(G74&lt;&gt;"",H74&lt;&gt;""),I73+G74-H74,"")</f>
        <v/>
      </c>
    </row>
    <row r="75" spans="1:9" ht="20.100000000000001" customHeight="1">
      <c r="A75" s="621"/>
      <c r="B75" s="622"/>
      <c r="C75" s="623"/>
      <c r="D75" s="623"/>
      <c r="E75" s="624"/>
      <c r="F75" s="625"/>
      <c r="G75" s="626"/>
      <c r="H75" s="627"/>
      <c r="I75" s="634" t="str">
        <f t="shared" si="3"/>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IF(OR(G98&lt;&gt;"",H98&lt;&gt;""),I97+G98-H98,"")</f>
        <v/>
      </c>
    </row>
    <row r="99" spans="1:9" ht="20.100000000000001" customHeight="1">
      <c r="A99" s="619"/>
      <c r="B99" s="1120" t="s">
        <v>282</v>
      </c>
      <c r="C99" s="1121"/>
      <c r="D99" s="1122"/>
      <c r="E99" s="783"/>
      <c r="F99" s="784"/>
      <c r="G99" s="682">
        <f>SUM(G4:G98)</f>
        <v>0</v>
      </c>
      <c r="H99" s="682">
        <f>SUM(H4:H98)</f>
        <v>0</v>
      </c>
      <c r="I99" s="680">
        <f>G99-H99</f>
        <v>0</v>
      </c>
    </row>
    <row r="100" spans="1:9" ht="20.100000000000001" customHeight="1" thickBot="1">
      <c r="A100" s="630"/>
      <c r="B100" s="1110" t="str">
        <f>IF(A99="","次 期 繰 越","次 項 繰 越")</f>
        <v>次 期 繰 越</v>
      </c>
      <c r="C100" s="1111"/>
      <c r="D100" s="1112"/>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G4:I4" unlocked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20</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v>
      </c>
    </row>
    <row r="3" spans="1:9" s="618" customFormat="1" ht="30" customHeight="1" thickTop="1" thickBot="1">
      <c r="A3" s="613">
        <f>設定メニュー!$B$2</f>
        <v>42736</v>
      </c>
      <c r="B3" s="1114" t="s">
        <v>1</v>
      </c>
      <c r="C3" s="1115"/>
      <c r="D3" s="1116"/>
      <c r="E3" s="614" t="s">
        <v>28</v>
      </c>
      <c r="F3" s="615" t="s">
        <v>63</v>
      </c>
      <c r="G3" s="615" t="s">
        <v>4</v>
      </c>
      <c r="H3" s="616" t="s">
        <v>72</v>
      </c>
      <c r="I3" s="617"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G4-H4</f>
        <v>0</v>
      </c>
    </row>
    <row r="5" spans="1:9" ht="20.100000000000001" customHeight="1">
      <c r="A5" s="621"/>
      <c r="B5" s="622"/>
      <c r="C5" s="623"/>
      <c r="D5" s="623"/>
      <c r="E5" s="624"/>
      <c r="F5" s="625"/>
      <c r="G5" s="626"/>
      <c r="H5" s="627"/>
      <c r="I5" s="634" t="str">
        <f t="shared" ref="I5:I16"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IF(OR(G10&lt;&gt;"",H10&lt;&gt;""),I9+G10-H10,"")</f>
        <v/>
      </c>
    </row>
    <row r="11" spans="1:9" ht="20.100000000000001" customHeight="1">
      <c r="A11" s="621"/>
      <c r="B11" s="622"/>
      <c r="C11" s="623"/>
      <c r="D11" s="623"/>
      <c r="E11" s="624"/>
      <c r="F11" s="625"/>
      <c r="G11" s="626"/>
      <c r="H11" s="627"/>
      <c r="I11" s="634" t="str">
        <f>IF(OR(G11&lt;&gt;"",H11&lt;&gt;""),I10+G11-H11,"")</f>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IF(OR(G13&lt;&gt;"",H13&lt;&gt;""),I12+G13-H13,"")</f>
        <v/>
      </c>
    </row>
    <row r="14" spans="1:9" ht="20.100000000000001" customHeight="1">
      <c r="A14" s="621"/>
      <c r="B14" s="622"/>
      <c r="C14" s="623"/>
      <c r="D14" s="623"/>
      <c r="E14" s="624"/>
      <c r="F14" s="625"/>
      <c r="G14" s="626"/>
      <c r="H14" s="627"/>
      <c r="I14" s="634" t="str">
        <f>IF(OR(G14&lt;&gt;"",H14&lt;&gt;""),I13+G14-H14,"")</f>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ref="I17:I22" si="1">IF(OR(G17&lt;&gt;"",H17&lt;&gt;""),I16+G17-H17,"")</f>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ref="I23:I34" si="2">IF(OR(G23&lt;&gt;"",H23&lt;&gt;""),I22+G23-H23,"")</f>
        <v/>
      </c>
    </row>
    <row r="24" spans="1:9" ht="20.100000000000001" customHeight="1">
      <c r="A24" s="621"/>
      <c r="B24" s="622"/>
      <c r="C24" s="623"/>
      <c r="D24" s="623"/>
      <c r="E24" s="624"/>
      <c r="F24" s="625"/>
      <c r="G24" s="626"/>
      <c r="H24" s="627"/>
      <c r="I24" s="634" t="str">
        <f t="shared" si="2"/>
        <v/>
      </c>
    </row>
    <row r="25" spans="1:9" ht="20.100000000000001" customHeight="1">
      <c r="A25" s="621"/>
      <c r="B25" s="622"/>
      <c r="C25" s="623"/>
      <c r="D25" s="623"/>
      <c r="E25" s="624"/>
      <c r="F25" s="625"/>
      <c r="G25" s="626"/>
      <c r="H25" s="627"/>
      <c r="I25" s="634" t="str">
        <f t="shared" si="2"/>
        <v/>
      </c>
    </row>
    <row r="26" spans="1:9" ht="20.100000000000001" customHeight="1">
      <c r="A26" s="621"/>
      <c r="B26" s="622"/>
      <c r="C26" s="623"/>
      <c r="D26" s="623"/>
      <c r="E26" s="624"/>
      <c r="F26" s="625"/>
      <c r="G26" s="626"/>
      <c r="H26" s="627"/>
      <c r="I26" s="634" t="str">
        <f t="shared" si="2"/>
        <v/>
      </c>
    </row>
    <row r="27" spans="1:9" ht="20.100000000000001" customHeight="1">
      <c r="A27" s="621"/>
      <c r="B27" s="622"/>
      <c r="C27" s="623"/>
      <c r="D27" s="623"/>
      <c r="E27" s="624"/>
      <c r="F27" s="625"/>
      <c r="G27" s="626"/>
      <c r="H27" s="627"/>
      <c r="I27" s="634" t="str">
        <f t="shared" si="2"/>
        <v/>
      </c>
    </row>
    <row r="28" spans="1:9" ht="20.100000000000001" customHeight="1">
      <c r="A28" s="621"/>
      <c r="B28" s="622"/>
      <c r="C28" s="623"/>
      <c r="D28" s="623"/>
      <c r="E28" s="624"/>
      <c r="F28" s="625"/>
      <c r="G28" s="626"/>
      <c r="H28" s="627"/>
      <c r="I28" s="634" t="str">
        <f t="shared" si="2"/>
        <v/>
      </c>
    </row>
    <row r="29" spans="1:9" ht="20.100000000000001" customHeight="1">
      <c r="A29" s="621"/>
      <c r="B29" s="622"/>
      <c r="C29" s="623"/>
      <c r="D29" s="623"/>
      <c r="E29" s="624"/>
      <c r="F29" s="625"/>
      <c r="G29" s="626"/>
      <c r="H29" s="627"/>
      <c r="I29" s="634" t="str">
        <f t="shared" si="2"/>
        <v/>
      </c>
    </row>
    <row r="30" spans="1:9" ht="20.100000000000001" customHeight="1">
      <c r="A30" s="621"/>
      <c r="B30" s="622"/>
      <c r="C30" s="623"/>
      <c r="D30" s="623"/>
      <c r="E30" s="624"/>
      <c r="F30" s="625"/>
      <c r="G30" s="626"/>
      <c r="H30" s="627"/>
      <c r="I30" s="634" t="str">
        <f t="shared" si="2"/>
        <v/>
      </c>
    </row>
    <row r="31" spans="1:9" ht="20.100000000000001" customHeight="1">
      <c r="A31" s="621"/>
      <c r="B31" s="622"/>
      <c r="C31" s="623"/>
      <c r="D31" s="623"/>
      <c r="E31" s="624"/>
      <c r="F31" s="625"/>
      <c r="G31" s="626"/>
      <c r="H31" s="627"/>
      <c r="I31" s="634" t="str">
        <f t="shared" si="2"/>
        <v/>
      </c>
    </row>
    <row r="32" spans="1:9" ht="20.100000000000001" customHeight="1">
      <c r="A32" s="621"/>
      <c r="B32" s="622"/>
      <c r="C32" s="623"/>
      <c r="D32" s="623"/>
      <c r="E32" s="624"/>
      <c r="F32" s="625"/>
      <c r="G32" s="626"/>
      <c r="H32" s="627"/>
      <c r="I32" s="634" t="str">
        <f t="shared" si="2"/>
        <v/>
      </c>
    </row>
    <row r="33" spans="1:9" ht="20.100000000000001" customHeight="1">
      <c r="A33" s="621"/>
      <c r="B33" s="622"/>
      <c r="C33" s="623"/>
      <c r="D33" s="623"/>
      <c r="E33" s="624"/>
      <c r="F33" s="625"/>
      <c r="G33" s="626"/>
      <c r="H33" s="627"/>
      <c r="I33" s="634" t="str">
        <f t="shared" si="2"/>
        <v/>
      </c>
    </row>
    <row r="34" spans="1:9" ht="20.100000000000001" customHeight="1">
      <c r="A34" s="621"/>
      <c r="B34" s="622"/>
      <c r="C34" s="623"/>
      <c r="D34" s="623"/>
      <c r="E34" s="624"/>
      <c r="F34" s="625"/>
      <c r="G34" s="626"/>
      <c r="H34" s="627"/>
      <c r="I34" s="634" t="str">
        <f t="shared" si="2"/>
        <v/>
      </c>
    </row>
    <row r="35" spans="1:9" ht="20.100000000000001" customHeight="1">
      <c r="A35" s="621"/>
      <c r="B35" s="622"/>
      <c r="C35" s="623"/>
      <c r="D35" s="623"/>
      <c r="E35" s="624"/>
      <c r="F35" s="625"/>
      <c r="G35" s="626"/>
      <c r="H35" s="627"/>
      <c r="I35" s="634" t="str">
        <f t="shared" ref="I35:I70" si="3">IF(OR(G35&lt;&gt;"",H35&lt;&gt;""),I34+G35-H35,"")</f>
        <v/>
      </c>
    </row>
    <row r="36" spans="1:9" ht="20.100000000000001" customHeight="1">
      <c r="A36" s="621"/>
      <c r="B36" s="622"/>
      <c r="C36" s="623"/>
      <c r="D36" s="623"/>
      <c r="E36" s="624"/>
      <c r="F36" s="625"/>
      <c r="G36" s="626"/>
      <c r="H36" s="627"/>
      <c r="I36" s="634" t="str">
        <f t="shared" si="3"/>
        <v/>
      </c>
    </row>
    <row r="37" spans="1:9" ht="20.100000000000001" customHeight="1">
      <c r="A37" s="621"/>
      <c r="B37" s="622"/>
      <c r="C37" s="623"/>
      <c r="D37" s="623"/>
      <c r="E37" s="624"/>
      <c r="F37" s="625"/>
      <c r="G37" s="626"/>
      <c r="H37" s="627"/>
      <c r="I37" s="634" t="str">
        <f t="shared" si="3"/>
        <v/>
      </c>
    </row>
    <row r="38" spans="1:9" ht="20.100000000000001" customHeight="1">
      <c r="A38" s="621"/>
      <c r="B38" s="622"/>
      <c r="C38" s="623"/>
      <c r="D38" s="623"/>
      <c r="E38" s="624"/>
      <c r="F38" s="625"/>
      <c r="G38" s="626"/>
      <c r="H38" s="627"/>
      <c r="I38" s="634" t="str">
        <f t="shared" si="3"/>
        <v/>
      </c>
    </row>
    <row r="39" spans="1:9" ht="20.100000000000001" customHeight="1">
      <c r="A39" s="621"/>
      <c r="B39" s="622"/>
      <c r="C39" s="623"/>
      <c r="D39" s="623"/>
      <c r="E39" s="624"/>
      <c r="F39" s="625"/>
      <c r="G39" s="626"/>
      <c r="H39" s="627"/>
      <c r="I39" s="634" t="str">
        <f t="shared" si="3"/>
        <v/>
      </c>
    </row>
    <row r="40" spans="1:9" ht="20.100000000000001" customHeight="1">
      <c r="A40" s="621"/>
      <c r="B40" s="622"/>
      <c r="C40" s="623"/>
      <c r="D40" s="623"/>
      <c r="E40" s="624"/>
      <c r="F40" s="625"/>
      <c r="G40" s="626"/>
      <c r="H40" s="627"/>
      <c r="I40" s="634" t="str">
        <f t="shared" si="3"/>
        <v/>
      </c>
    </row>
    <row r="41" spans="1:9" ht="20.100000000000001" customHeight="1">
      <c r="A41" s="621"/>
      <c r="B41" s="622"/>
      <c r="C41" s="623"/>
      <c r="D41" s="623"/>
      <c r="E41" s="624"/>
      <c r="F41" s="625"/>
      <c r="G41" s="626"/>
      <c r="H41" s="627"/>
      <c r="I41" s="634" t="str">
        <f t="shared" si="3"/>
        <v/>
      </c>
    </row>
    <row r="42" spans="1:9" ht="20.100000000000001" customHeight="1">
      <c r="A42" s="621"/>
      <c r="B42" s="622"/>
      <c r="C42" s="623"/>
      <c r="D42" s="623"/>
      <c r="E42" s="624"/>
      <c r="F42" s="625"/>
      <c r="G42" s="626"/>
      <c r="H42" s="627"/>
      <c r="I42" s="634" t="str">
        <f t="shared" si="3"/>
        <v/>
      </c>
    </row>
    <row r="43" spans="1:9" ht="20.100000000000001" customHeight="1">
      <c r="A43" s="621"/>
      <c r="B43" s="622"/>
      <c r="C43" s="623"/>
      <c r="D43" s="623"/>
      <c r="E43" s="624"/>
      <c r="F43" s="625"/>
      <c r="G43" s="626"/>
      <c r="H43" s="627"/>
      <c r="I43" s="634" t="str">
        <f>IF(OR(G43&lt;&gt;"",H43&lt;&gt;""),I42+G43-H43,"")</f>
        <v/>
      </c>
    </row>
    <row r="44" spans="1:9" ht="20.100000000000001" customHeight="1">
      <c r="A44" s="621"/>
      <c r="B44" s="622"/>
      <c r="C44" s="623"/>
      <c r="D44" s="623"/>
      <c r="E44" s="624"/>
      <c r="F44" s="625"/>
      <c r="G44" s="626"/>
      <c r="H44" s="627"/>
      <c r="I44" s="634" t="str">
        <f t="shared" si="3"/>
        <v/>
      </c>
    </row>
    <row r="45" spans="1:9" ht="20.100000000000001" customHeight="1">
      <c r="A45" s="621"/>
      <c r="B45" s="622"/>
      <c r="C45" s="623"/>
      <c r="D45" s="623"/>
      <c r="E45" s="624"/>
      <c r="F45" s="625"/>
      <c r="G45" s="626"/>
      <c r="H45" s="627"/>
      <c r="I45" s="634" t="str">
        <f t="shared" si="3"/>
        <v/>
      </c>
    </row>
    <row r="46" spans="1:9" ht="20.100000000000001" customHeight="1">
      <c r="A46" s="621"/>
      <c r="B46" s="622"/>
      <c r="C46" s="623"/>
      <c r="D46" s="623"/>
      <c r="E46" s="624"/>
      <c r="F46" s="625"/>
      <c r="G46" s="626"/>
      <c r="H46" s="627"/>
      <c r="I46" s="634" t="str">
        <f t="shared" si="3"/>
        <v/>
      </c>
    </row>
    <row r="47" spans="1:9" ht="20.100000000000001" customHeight="1">
      <c r="A47" s="621"/>
      <c r="B47" s="622"/>
      <c r="C47" s="623"/>
      <c r="D47" s="623"/>
      <c r="E47" s="624"/>
      <c r="F47" s="625"/>
      <c r="G47" s="626"/>
      <c r="H47" s="627"/>
      <c r="I47" s="634" t="str">
        <f t="shared" si="3"/>
        <v/>
      </c>
    </row>
    <row r="48" spans="1:9" ht="20.100000000000001" customHeight="1">
      <c r="A48" s="621"/>
      <c r="B48" s="622"/>
      <c r="C48" s="623"/>
      <c r="D48" s="623"/>
      <c r="E48" s="624"/>
      <c r="F48" s="625"/>
      <c r="G48" s="626"/>
      <c r="H48" s="627"/>
      <c r="I48" s="634" t="str">
        <f t="shared" si="3"/>
        <v/>
      </c>
    </row>
    <row r="49" spans="1:9" ht="20.100000000000001" customHeight="1">
      <c r="A49" s="621"/>
      <c r="B49" s="622"/>
      <c r="C49" s="623"/>
      <c r="D49" s="623"/>
      <c r="E49" s="624"/>
      <c r="F49" s="625"/>
      <c r="G49" s="626"/>
      <c r="H49" s="627"/>
      <c r="I49" s="634" t="str">
        <f t="shared" si="3"/>
        <v/>
      </c>
    </row>
    <row r="50" spans="1:9" ht="20.100000000000001" customHeight="1">
      <c r="A50" s="621"/>
      <c r="B50" s="622"/>
      <c r="C50" s="623"/>
      <c r="D50" s="623"/>
      <c r="E50" s="624"/>
      <c r="F50" s="625"/>
      <c r="G50" s="626"/>
      <c r="H50" s="627"/>
      <c r="I50" s="634" t="str">
        <f t="shared" si="3"/>
        <v/>
      </c>
    </row>
    <row r="51" spans="1:9" ht="20.100000000000001" customHeight="1">
      <c r="A51" s="621"/>
      <c r="B51" s="622"/>
      <c r="C51" s="623"/>
      <c r="D51" s="623"/>
      <c r="E51" s="624"/>
      <c r="F51" s="625"/>
      <c r="G51" s="626"/>
      <c r="H51" s="627"/>
      <c r="I51" s="634" t="str">
        <f t="shared" si="3"/>
        <v/>
      </c>
    </row>
    <row r="52" spans="1:9" ht="20.100000000000001" customHeight="1">
      <c r="A52" s="621"/>
      <c r="B52" s="622"/>
      <c r="C52" s="623"/>
      <c r="D52" s="623"/>
      <c r="E52" s="624"/>
      <c r="F52" s="625"/>
      <c r="G52" s="626"/>
      <c r="H52" s="627"/>
      <c r="I52" s="634" t="str">
        <f t="shared" si="3"/>
        <v/>
      </c>
    </row>
    <row r="53" spans="1:9" ht="20.100000000000001" customHeight="1">
      <c r="A53" s="621"/>
      <c r="B53" s="622"/>
      <c r="C53" s="623"/>
      <c r="D53" s="623"/>
      <c r="E53" s="624"/>
      <c r="F53" s="625"/>
      <c r="G53" s="626"/>
      <c r="H53" s="627"/>
      <c r="I53" s="634" t="str">
        <f t="shared" si="3"/>
        <v/>
      </c>
    </row>
    <row r="54" spans="1:9" ht="20.100000000000001" customHeight="1">
      <c r="A54" s="621"/>
      <c r="B54" s="622"/>
      <c r="C54" s="623"/>
      <c r="D54" s="623"/>
      <c r="E54" s="624"/>
      <c r="F54" s="625"/>
      <c r="G54" s="626"/>
      <c r="H54" s="627"/>
      <c r="I54" s="634" t="str">
        <f t="shared" si="3"/>
        <v/>
      </c>
    </row>
    <row r="55" spans="1:9" ht="20.100000000000001" customHeight="1">
      <c r="A55" s="621"/>
      <c r="B55" s="622"/>
      <c r="C55" s="623"/>
      <c r="D55" s="623"/>
      <c r="E55" s="624"/>
      <c r="F55" s="625"/>
      <c r="G55" s="626"/>
      <c r="H55" s="627"/>
      <c r="I55" s="634" t="str">
        <f t="shared" si="3"/>
        <v/>
      </c>
    </row>
    <row r="56" spans="1:9" ht="20.100000000000001" customHeight="1">
      <c r="A56" s="621"/>
      <c r="B56" s="622"/>
      <c r="C56" s="623"/>
      <c r="D56" s="623"/>
      <c r="E56" s="624"/>
      <c r="F56" s="625"/>
      <c r="G56" s="626"/>
      <c r="H56" s="627"/>
      <c r="I56" s="634" t="str">
        <f t="shared" si="3"/>
        <v/>
      </c>
    </row>
    <row r="57" spans="1:9" ht="20.100000000000001" customHeight="1">
      <c r="A57" s="621"/>
      <c r="B57" s="622"/>
      <c r="C57" s="623"/>
      <c r="D57" s="623"/>
      <c r="E57" s="624"/>
      <c r="F57" s="625"/>
      <c r="G57" s="626"/>
      <c r="H57" s="627"/>
      <c r="I57" s="634" t="str">
        <f t="shared" si="3"/>
        <v/>
      </c>
    </row>
    <row r="58" spans="1:9" ht="20.100000000000001" customHeight="1">
      <c r="A58" s="621"/>
      <c r="B58" s="622"/>
      <c r="C58" s="623"/>
      <c r="D58" s="623"/>
      <c r="E58" s="624"/>
      <c r="F58" s="625"/>
      <c r="G58" s="626"/>
      <c r="H58" s="627"/>
      <c r="I58" s="634" t="str">
        <f t="shared" si="3"/>
        <v/>
      </c>
    </row>
    <row r="59" spans="1:9" ht="20.100000000000001" customHeight="1">
      <c r="A59" s="621"/>
      <c r="B59" s="622"/>
      <c r="C59" s="623"/>
      <c r="D59" s="623"/>
      <c r="E59" s="624"/>
      <c r="F59" s="625"/>
      <c r="G59" s="626"/>
      <c r="H59" s="627"/>
      <c r="I59" s="634" t="str">
        <f t="shared" si="3"/>
        <v/>
      </c>
    </row>
    <row r="60" spans="1:9" ht="20.100000000000001" customHeight="1">
      <c r="A60" s="621"/>
      <c r="B60" s="622"/>
      <c r="C60" s="623"/>
      <c r="D60" s="623"/>
      <c r="E60" s="624"/>
      <c r="F60" s="625"/>
      <c r="G60" s="626"/>
      <c r="H60" s="627"/>
      <c r="I60" s="634" t="str">
        <f t="shared" si="3"/>
        <v/>
      </c>
    </row>
    <row r="61" spans="1:9" ht="20.100000000000001" customHeight="1">
      <c r="A61" s="621"/>
      <c r="B61" s="622"/>
      <c r="C61" s="623"/>
      <c r="D61" s="623"/>
      <c r="E61" s="624"/>
      <c r="F61" s="625"/>
      <c r="G61" s="626"/>
      <c r="H61" s="627"/>
      <c r="I61" s="634" t="str">
        <f t="shared" si="3"/>
        <v/>
      </c>
    </row>
    <row r="62" spans="1:9" ht="20.100000000000001" customHeight="1">
      <c r="A62" s="621"/>
      <c r="B62" s="622"/>
      <c r="C62" s="623"/>
      <c r="D62" s="623"/>
      <c r="E62" s="624"/>
      <c r="F62" s="625"/>
      <c r="G62" s="626"/>
      <c r="H62" s="627"/>
      <c r="I62" s="634" t="str">
        <f t="shared" si="3"/>
        <v/>
      </c>
    </row>
    <row r="63" spans="1:9" ht="20.100000000000001" customHeight="1">
      <c r="A63" s="621"/>
      <c r="B63" s="622"/>
      <c r="C63" s="623"/>
      <c r="D63" s="623"/>
      <c r="E63" s="624"/>
      <c r="F63" s="625"/>
      <c r="G63" s="626"/>
      <c r="H63" s="627"/>
      <c r="I63" s="634" t="str">
        <f t="shared" si="3"/>
        <v/>
      </c>
    </row>
    <row r="64" spans="1:9" ht="20.100000000000001" customHeight="1">
      <c r="A64" s="621"/>
      <c r="B64" s="622"/>
      <c r="C64" s="623"/>
      <c r="D64" s="623"/>
      <c r="E64" s="624"/>
      <c r="F64" s="625"/>
      <c r="G64" s="626"/>
      <c r="H64" s="627"/>
      <c r="I64" s="634" t="str">
        <f t="shared" si="3"/>
        <v/>
      </c>
    </row>
    <row r="65" spans="1:9" ht="20.100000000000001" customHeight="1">
      <c r="A65" s="621"/>
      <c r="B65" s="622"/>
      <c r="C65" s="623"/>
      <c r="D65" s="623"/>
      <c r="E65" s="624"/>
      <c r="F65" s="625"/>
      <c r="G65" s="626"/>
      <c r="H65" s="627"/>
      <c r="I65" s="634" t="str">
        <f t="shared" si="3"/>
        <v/>
      </c>
    </row>
    <row r="66" spans="1:9" ht="20.100000000000001" customHeight="1">
      <c r="A66" s="621"/>
      <c r="B66" s="622"/>
      <c r="C66" s="623"/>
      <c r="D66" s="623"/>
      <c r="E66" s="624"/>
      <c r="F66" s="625"/>
      <c r="G66" s="626"/>
      <c r="H66" s="627"/>
      <c r="I66" s="634" t="str">
        <f t="shared" si="3"/>
        <v/>
      </c>
    </row>
    <row r="67" spans="1:9" ht="20.100000000000001" customHeight="1">
      <c r="A67" s="621"/>
      <c r="B67" s="622"/>
      <c r="C67" s="623"/>
      <c r="D67" s="623"/>
      <c r="E67" s="624"/>
      <c r="F67" s="625"/>
      <c r="G67" s="626"/>
      <c r="H67" s="627"/>
      <c r="I67" s="634" t="str">
        <f t="shared" si="3"/>
        <v/>
      </c>
    </row>
    <row r="68" spans="1:9" ht="20.100000000000001" customHeight="1">
      <c r="A68" s="621"/>
      <c r="B68" s="622"/>
      <c r="C68" s="623"/>
      <c r="D68" s="623"/>
      <c r="E68" s="624"/>
      <c r="F68" s="625"/>
      <c r="G68" s="626"/>
      <c r="H68" s="627"/>
      <c r="I68" s="634" t="str">
        <f t="shared" si="3"/>
        <v/>
      </c>
    </row>
    <row r="69" spans="1:9" ht="20.100000000000001" customHeight="1">
      <c r="A69" s="621"/>
      <c r="B69" s="622"/>
      <c r="C69" s="623"/>
      <c r="D69" s="623"/>
      <c r="E69" s="624"/>
      <c r="F69" s="625"/>
      <c r="G69" s="626"/>
      <c r="H69" s="627"/>
      <c r="I69" s="634" t="str">
        <f t="shared" si="3"/>
        <v/>
      </c>
    </row>
    <row r="70" spans="1:9" ht="20.100000000000001" customHeight="1">
      <c r="A70" s="621"/>
      <c r="B70" s="622"/>
      <c r="C70" s="623"/>
      <c r="D70" s="623"/>
      <c r="E70" s="624"/>
      <c r="F70" s="625"/>
      <c r="G70" s="626"/>
      <c r="H70" s="627"/>
      <c r="I70" s="634" t="str">
        <f t="shared" si="3"/>
        <v/>
      </c>
    </row>
    <row r="71" spans="1:9" ht="20.100000000000001" customHeight="1">
      <c r="A71" s="621"/>
      <c r="B71" s="622"/>
      <c r="C71" s="623"/>
      <c r="D71" s="623"/>
      <c r="E71" s="624"/>
      <c r="F71" s="625"/>
      <c r="G71" s="626"/>
      <c r="H71" s="627"/>
      <c r="I71" s="634" t="str">
        <f t="shared" ref="I71:I98" si="4">IF(OR(G71&lt;&gt;"",H71&lt;&gt;""),I70+G71-H71,"")</f>
        <v/>
      </c>
    </row>
    <row r="72" spans="1:9" ht="20.100000000000001" customHeight="1">
      <c r="A72" s="621"/>
      <c r="B72" s="622"/>
      <c r="C72" s="623"/>
      <c r="D72" s="623"/>
      <c r="E72" s="624"/>
      <c r="F72" s="625"/>
      <c r="G72" s="626"/>
      <c r="H72" s="627"/>
      <c r="I72" s="634" t="str">
        <f t="shared" si="4"/>
        <v/>
      </c>
    </row>
    <row r="73" spans="1:9" ht="20.100000000000001" customHeight="1">
      <c r="A73" s="621"/>
      <c r="B73" s="622"/>
      <c r="C73" s="623"/>
      <c r="D73" s="623"/>
      <c r="E73" s="624"/>
      <c r="F73" s="625"/>
      <c r="G73" s="626"/>
      <c r="H73" s="627"/>
      <c r="I73" s="634" t="str">
        <f t="shared" si="4"/>
        <v/>
      </c>
    </row>
    <row r="74" spans="1:9" ht="20.100000000000001" customHeight="1">
      <c r="A74" s="621"/>
      <c r="B74" s="622"/>
      <c r="C74" s="623"/>
      <c r="D74" s="623"/>
      <c r="E74" s="624"/>
      <c r="F74" s="625"/>
      <c r="G74" s="626"/>
      <c r="H74" s="627"/>
      <c r="I74" s="634" t="str">
        <f t="shared" si="4"/>
        <v/>
      </c>
    </row>
    <row r="75" spans="1:9" ht="20.100000000000001" customHeight="1">
      <c r="A75" s="621"/>
      <c r="B75" s="622"/>
      <c r="C75" s="623"/>
      <c r="D75" s="623"/>
      <c r="E75" s="624"/>
      <c r="F75" s="625"/>
      <c r="G75" s="626"/>
      <c r="H75" s="627"/>
      <c r="I75" s="634" t="str">
        <f t="shared" si="4"/>
        <v/>
      </c>
    </row>
    <row r="76" spans="1:9" ht="20.100000000000001" customHeight="1">
      <c r="A76" s="621"/>
      <c r="B76" s="622"/>
      <c r="C76" s="623"/>
      <c r="D76" s="623"/>
      <c r="E76" s="624"/>
      <c r="F76" s="625"/>
      <c r="G76" s="626"/>
      <c r="H76" s="627"/>
      <c r="I76" s="634" t="str">
        <f t="shared" si="4"/>
        <v/>
      </c>
    </row>
    <row r="77" spans="1:9" ht="20.100000000000001" customHeight="1">
      <c r="A77" s="621"/>
      <c r="B77" s="622"/>
      <c r="C77" s="623"/>
      <c r="D77" s="623"/>
      <c r="E77" s="624"/>
      <c r="F77" s="625"/>
      <c r="G77" s="626"/>
      <c r="H77" s="627"/>
      <c r="I77" s="634" t="str">
        <f t="shared" si="4"/>
        <v/>
      </c>
    </row>
    <row r="78" spans="1:9" ht="20.100000000000001" customHeight="1">
      <c r="A78" s="621"/>
      <c r="B78" s="622"/>
      <c r="C78" s="623"/>
      <c r="D78" s="623"/>
      <c r="E78" s="624"/>
      <c r="F78" s="625"/>
      <c r="G78" s="626"/>
      <c r="H78" s="627"/>
      <c r="I78" s="634" t="str">
        <f t="shared" si="4"/>
        <v/>
      </c>
    </row>
    <row r="79" spans="1:9" ht="20.100000000000001" customHeight="1">
      <c r="A79" s="621"/>
      <c r="B79" s="622"/>
      <c r="C79" s="623"/>
      <c r="D79" s="623"/>
      <c r="E79" s="624"/>
      <c r="F79" s="625"/>
      <c r="G79" s="626"/>
      <c r="H79" s="627"/>
      <c r="I79" s="634" t="str">
        <f t="shared" si="4"/>
        <v/>
      </c>
    </row>
    <row r="80" spans="1:9" ht="20.100000000000001" customHeight="1">
      <c r="A80" s="621"/>
      <c r="B80" s="622"/>
      <c r="C80" s="623"/>
      <c r="D80" s="623"/>
      <c r="E80" s="624"/>
      <c r="F80" s="625"/>
      <c r="G80" s="626"/>
      <c r="H80" s="627"/>
      <c r="I80" s="634" t="str">
        <f t="shared" si="4"/>
        <v/>
      </c>
    </row>
    <row r="81" spans="1:9" ht="20.100000000000001" customHeight="1">
      <c r="A81" s="621"/>
      <c r="B81" s="622"/>
      <c r="C81" s="623"/>
      <c r="D81" s="623"/>
      <c r="E81" s="624"/>
      <c r="F81" s="625"/>
      <c r="G81" s="626"/>
      <c r="H81" s="627"/>
      <c r="I81" s="634" t="str">
        <f t="shared" si="4"/>
        <v/>
      </c>
    </row>
    <row r="82" spans="1:9" ht="20.100000000000001" customHeight="1">
      <c r="A82" s="621"/>
      <c r="B82" s="622"/>
      <c r="C82" s="623"/>
      <c r="D82" s="623"/>
      <c r="E82" s="624"/>
      <c r="F82" s="625"/>
      <c r="G82" s="626"/>
      <c r="H82" s="627"/>
      <c r="I82" s="634" t="str">
        <f t="shared" si="4"/>
        <v/>
      </c>
    </row>
    <row r="83" spans="1:9" ht="20.100000000000001" customHeight="1">
      <c r="A83" s="621"/>
      <c r="B83" s="622"/>
      <c r="C83" s="623"/>
      <c r="D83" s="623"/>
      <c r="E83" s="624"/>
      <c r="F83" s="625"/>
      <c r="G83" s="626"/>
      <c r="H83" s="627"/>
      <c r="I83" s="634" t="str">
        <f t="shared" si="4"/>
        <v/>
      </c>
    </row>
    <row r="84" spans="1:9" ht="20.100000000000001" customHeight="1">
      <c r="A84" s="621"/>
      <c r="B84" s="622"/>
      <c r="C84" s="623"/>
      <c r="D84" s="623"/>
      <c r="E84" s="624"/>
      <c r="F84" s="625"/>
      <c r="G84" s="626"/>
      <c r="H84" s="627"/>
      <c r="I84" s="634" t="str">
        <f t="shared" si="4"/>
        <v/>
      </c>
    </row>
    <row r="85" spans="1:9" ht="20.100000000000001" customHeight="1">
      <c r="A85" s="621"/>
      <c r="B85" s="622"/>
      <c r="C85" s="623"/>
      <c r="D85" s="623"/>
      <c r="E85" s="624"/>
      <c r="F85" s="625"/>
      <c r="G85" s="626"/>
      <c r="H85" s="627"/>
      <c r="I85" s="634" t="str">
        <f t="shared" si="4"/>
        <v/>
      </c>
    </row>
    <row r="86" spans="1:9" ht="20.100000000000001" customHeight="1">
      <c r="A86" s="621"/>
      <c r="B86" s="622"/>
      <c r="C86" s="623"/>
      <c r="D86" s="623"/>
      <c r="E86" s="624"/>
      <c r="F86" s="625"/>
      <c r="G86" s="626"/>
      <c r="H86" s="627"/>
      <c r="I86" s="634" t="str">
        <f t="shared" si="4"/>
        <v/>
      </c>
    </row>
    <row r="87" spans="1:9" ht="20.100000000000001" customHeight="1">
      <c r="A87" s="621"/>
      <c r="B87" s="622"/>
      <c r="C87" s="623"/>
      <c r="D87" s="623"/>
      <c r="E87" s="624"/>
      <c r="F87" s="625"/>
      <c r="G87" s="626"/>
      <c r="H87" s="627"/>
      <c r="I87" s="634" t="str">
        <f t="shared" si="4"/>
        <v/>
      </c>
    </row>
    <row r="88" spans="1:9" ht="20.100000000000001" customHeight="1">
      <c r="A88" s="621"/>
      <c r="B88" s="622"/>
      <c r="C88" s="623"/>
      <c r="D88" s="623"/>
      <c r="E88" s="624"/>
      <c r="F88" s="625"/>
      <c r="G88" s="626"/>
      <c r="H88" s="627"/>
      <c r="I88" s="634" t="str">
        <f t="shared" si="4"/>
        <v/>
      </c>
    </row>
    <row r="89" spans="1:9" ht="20.100000000000001" customHeight="1">
      <c r="A89" s="621"/>
      <c r="B89" s="622"/>
      <c r="C89" s="623"/>
      <c r="D89" s="623"/>
      <c r="E89" s="624"/>
      <c r="F89" s="625"/>
      <c r="G89" s="626"/>
      <c r="H89" s="627"/>
      <c r="I89" s="634" t="str">
        <f t="shared" si="4"/>
        <v/>
      </c>
    </row>
    <row r="90" spans="1:9" ht="20.100000000000001" customHeight="1">
      <c r="A90" s="621"/>
      <c r="B90" s="622"/>
      <c r="C90" s="623"/>
      <c r="D90" s="623"/>
      <c r="E90" s="624"/>
      <c r="F90" s="625"/>
      <c r="G90" s="626"/>
      <c r="H90" s="627"/>
      <c r="I90" s="634" t="str">
        <f t="shared" si="4"/>
        <v/>
      </c>
    </row>
    <row r="91" spans="1:9" ht="20.100000000000001" customHeight="1">
      <c r="A91" s="621"/>
      <c r="B91" s="622"/>
      <c r="C91" s="623"/>
      <c r="D91" s="623"/>
      <c r="E91" s="624"/>
      <c r="F91" s="625"/>
      <c r="G91" s="626"/>
      <c r="H91" s="627"/>
      <c r="I91" s="634" t="str">
        <f t="shared" si="4"/>
        <v/>
      </c>
    </row>
    <row r="92" spans="1:9" ht="20.100000000000001" customHeight="1">
      <c r="A92" s="621"/>
      <c r="B92" s="622"/>
      <c r="C92" s="623"/>
      <c r="D92" s="623"/>
      <c r="E92" s="624"/>
      <c r="F92" s="625"/>
      <c r="G92" s="626"/>
      <c r="H92" s="627"/>
      <c r="I92" s="634" t="str">
        <f t="shared" si="4"/>
        <v/>
      </c>
    </row>
    <row r="93" spans="1:9" ht="20.100000000000001" customHeight="1">
      <c r="A93" s="621"/>
      <c r="B93" s="622"/>
      <c r="C93" s="623"/>
      <c r="D93" s="623"/>
      <c r="E93" s="624"/>
      <c r="F93" s="625"/>
      <c r="G93" s="626"/>
      <c r="H93" s="627"/>
      <c r="I93" s="634" t="str">
        <f t="shared" si="4"/>
        <v/>
      </c>
    </row>
    <row r="94" spans="1:9" ht="20.100000000000001" customHeight="1">
      <c r="A94" s="621"/>
      <c r="B94" s="622"/>
      <c r="C94" s="623"/>
      <c r="D94" s="623"/>
      <c r="E94" s="624"/>
      <c r="F94" s="625"/>
      <c r="G94" s="626"/>
      <c r="H94" s="627"/>
      <c r="I94" s="634" t="str">
        <f t="shared" si="4"/>
        <v/>
      </c>
    </row>
    <row r="95" spans="1:9" ht="20.100000000000001" customHeight="1">
      <c r="A95" s="621"/>
      <c r="B95" s="622"/>
      <c r="C95" s="623"/>
      <c r="D95" s="623"/>
      <c r="E95" s="624"/>
      <c r="F95" s="625"/>
      <c r="G95" s="626"/>
      <c r="H95" s="627"/>
      <c r="I95" s="634" t="str">
        <f t="shared" si="4"/>
        <v/>
      </c>
    </row>
    <row r="96" spans="1:9" ht="20.100000000000001" customHeight="1">
      <c r="A96" s="621"/>
      <c r="B96" s="622"/>
      <c r="C96" s="623"/>
      <c r="D96" s="623"/>
      <c r="E96" s="624"/>
      <c r="F96" s="625"/>
      <c r="G96" s="626"/>
      <c r="H96" s="627"/>
      <c r="I96" s="634" t="str">
        <f t="shared" si="4"/>
        <v/>
      </c>
    </row>
    <row r="97" spans="1:9" ht="20.100000000000001" customHeight="1">
      <c r="A97" s="621"/>
      <c r="B97" s="622"/>
      <c r="C97" s="623"/>
      <c r="D97" s="623"/>
      <c r="E97" s="624"/>
      <c r="F97" s="625"/>
      <c r="G97" s="626"/>
      <c r="H97" s="627"/>
      <c r="I97" s="634" t="str">
        <f t="shared" si="4"/>
        <v/>
      </c>
    </row>
    <row r="98" spans="1:9" ht="20.100000000000001" customHeight="1">
      <c r="A98" s="621"/>
      <c r="B98" s="622"/>
      <c r="C98" s="623"/>
      <c r="D98" s="623"/>
      <c r="E98" s="624"/>
      <c r="F98" s="625"/>
      <c r="G98" s="650"/>
      <c r="H98" s="651"/>
      <c r="I98" s="653" t="str">
        <f t="shared" si="4"/>
        <v/>
      </c>
    </row>
    <row r="99" spans="1:9" ht="20.100000000000001" customHeight="1">
      <c r="A99" s="619"/>
      <c r="B99" s="1129" t="s">
        <v>282</v>
      </c>
      <c r="C99" s="1130"/>
      <c r="D99" s="1131"/>
      <c r="E99" s="783"/>
      <c r="F99" s="784"/>
      <c r="G99" s="682">
        <f>SUM(G4:G98)</f>
        <v>0</v>
      </c>
      <c r="H99" s="682">
        <f>SUM(H4:H98)</f>
        <v>0</v>
      </c>
      <c r="I99" s="680">
        <f>G99-H99</f>
        <v>0</v>
      </c>
    </row>
    <row r="100" spans="1:9" ht="20.100000000000001" customHeight="1" thickBot="1">
      <c r="A100" s="630"/>
      <c r="B100" s="1123" t="str">
        <f>IF(A99="","次 期 繰 越","次 項 繰 越")</f>
        <v>次 期 繰 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I2 G4:H4" unlocked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J307"/>
  <sheetViews>
    <sheetView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0" width="8.875" style="649"/>
    <col min="11" max="16384" width="8.875" style="603"/>
  </cols>
  <sheetData>
    <row r="1" spans="1:10" ht="32.1" customHeight="1">
      <c r="A1" s="1132" t="s">
        <v>22</v>
      </c>
      <c r="B1" s="1132"/>
      <c r="C1" s="1132"/>
      <c r="D1" s="1132"/>
      <c r="E1" s="1132"/>
      <c r="F1" s="1132"/>
      <c r="G1" s="1132"/>
      <c r="H1" s="1132"/>
      <c r="I1" s="1132"/>
    </row>
    <row r="2" spans="1:10" s="612" customFormat="1" ht="12.95" customHeight="1" thickBot="1">
      <c r="A2" s="604"/>
      <c r="B2" s="605"/>
      <c r="C2" s="606"/>
      <c r="D2" s="607"/>
      <c r="E2" s="608"/>
      <c r="F2" s="608"/>
      <c r="G2" s="609"/>
      <c r="H2" s="609"/>
      <c r="I2" s="610">
        <f>VLOOKUP(A1,設定メニュー!$B$5:$C$30,2,0)</f>
        <v>3</v>
      </c>
      <c r="J2" s="649"/>
    </row>
    <row r="3" spans="1:10" s="618" customFormat="1" ht="30" customHeight="1" thickTop="1" thickBot="1">
      <c r="A3" s="613">
        <f>設定メニュー!$B$2</f>
        <v>42736</v>
      </c>
      <c r="B3" s="1114" t="s">
        <v>1</v>
      </c>
      <c r="C3" s="1115"/>
      <c r="D3" s="1116"/>
      <c r="E3" s="614" t="s">
        <v>28</v>
      </c>
      <c r="F3" s="615" t="s">
        <v>63</v>
      </c>
      <c r="G3" s="615" t="s">
        <v>4</v>
      </c>
      <c r="H3" s="616" t="s">
        <v>72</v>
      </c>
      <c r="I3" s="617" t="s">
        <v>29</v>
      </c>
      <c r="J3" s="649"/>
    </row>
    <row r="4" spans="1:10" ht="20.100000000000001" customHeight="1">
      <c r="A4" s="785">
        <f>設定メニュー!$B$2</f>
        <v>42736</v>
      </c>
      <c r="B4" s="1126" t="s">
        <v>6</v>
      </c>
      <c r="C4" s="1127"/>
      <c r="D4" s="1128"/>
      <c r="E4" s="786"/>
      <c r="F4" s="787"/>
      <c r="G4" s="788">
        <f>VLOOKUP($A$1,合計残高試算表!$A$5:$G$44,2,0)</f>
        <v>0</v>
      </c>
      <c r="H4" s="788">
        <f>VLOOKUP($A$1,合計残高試算表!$A$5:$G$44,3,0)</f>
        <v>0</v>
      </c>
      <c r="I4" s="789">
        <f>G4-H4</f>
        <v>0</v>
      </c>
    </row>
    <row r="5" spans="1:10" ht="20.100000000000001" customHeight="1">
      <c r="A5" s="621"/>
      <c r="B5" s="622"/>
      <c r="C5" s="623"/>
      <c r="D5" s="623"/>
      <c r="E5" s="624"/>
      <c r="F5" s="625"/>
      <c r="G5" s="626"/>
      <c r="H5" s="627"/>
      <c r="I5" s="634" t="str">
        <f t="shared" ref="I5:I36" si="0">IF(OR(G5&lt;&gt;"",H5&lt;&gt;""),I4+G5-H5,"")</f>
        <v/>
      </c>
    </row>
    <row r="6" spans="1:10" ht="20.100000000000001" customHeight="1">
      <c r="A6" s="621"/>
      <c r="B6" s="622"/>
      <c r="C6" s="623"/>
      <c r="D6" s="623"/>
      <c r="E6" s="624"/>
      <c r="F6" s="625"/>
      <c r="G6" s="626"/>
      <c r="H6" s="627"/>
      <c r="I6" s="634" t="str">
        <f t="shared" si="0"/>
        <v/>
      </c>
    </row>
    <row r="7" spans="1:10" ht="20.100000000000001" customHeight="1">
      <c r="A7" s="621"/>
      <c r="B7" s="622"/>
      <c r="C7" s="623"/>
      <c r="D7" s="623"/>
      <c r="E7" s="624"/>
      <c r="F7" s="625"/>
      <c r="G7" s="626"/>
      <c r="H7" s="627"/>
      <c r="I7" s="634" t="str">
        <f t="shared" si="0"/>
        <v/>
      </c>
    </row>
    <row r="8" spans="1:10" ht="20.100000000000001" customHeight="1">
      <c r="A8" s="621"/>
      <c r="B8" s="622"/>
      <c r="C8" s="623"/>
      <c r="D8" s="623"/>
      <c r="E8" s="624"/>
      <c r="F8" s="625"/>
      <c r="G8" s="626"/>
      <c r="H8" s="627"/>
      <c r="I8" s="634" t="str">
        <f t="shared" si="0"/>
        <v/>
      </c>
    </row>
    <row r="9" spans="1:10" ht="20.100000000000001" customHeight="1">
      <c r="A9" s="621"/>
      <c r="B9" s="622"/>
      <c r="C9" s="623"/>
      <c r="D9" s="623"/>
      <c r="E9" s="624"/>
      <c r="F9" s="625"/>
      <c r="G9" s="626"/>
      <c r="H9" s="627"/>
      <c r="I9" s="634" t="str">
        <f t="shared" si="0"/>
        <v/>
      </c>
    </row>
    <row r="10" spans="1:10" ht="20.100000000000001" customHeight="1">
      <c r="A10" s="621"/>
      <c r="B10" s="622"/>
      <c r="C10" s="623"/>
      <c r="D10" s="623"/>
      <c r="E10" s="624"/>
      <c r="F10" s="625"/>
      <c r="G10" s="626"/>
      <c r="H10" s="627"/>
      <c r="I10" s="634" t="str">
        <f t="shared" si="0"/>
        <v/>
      </c>
    </row>
    <row r="11" spans="1:10" ht="20.100000000000001" customHeight="1">
      <c r="A11" s="621"/>
      <c r="B11" s="622"/>
      <c r="C11" s="623"/>
      <c r="D11" s="623"/>
      <c r="E11" s="624"/>
      <c r="F11" s="625"/>
      <c r="G11" s="626"/>
      <c r="H11" s="627"/>
      <c r="I11" s="634" t="str">
        <f t="shared" si="0"/>
        <v/>
      </c>
    </row>
    <row r="12" spans="1:10" ht="20.100000000000001" customHeight="1">
      <c r="A12" s="621"/>
      <c r="B12" s="622"/>
      <c r="C12" s="623"/>
      <c r="D12" s="623"/>
      <c r="E12" s="624"/>
      <c r="F12" s="625"/>
      <c r="G12" s="626"/>
      <c r="H12" s="627"/>
      <c r="I12" s="634" t="str">
        <f t="shared" si="0"/>
        <v/>
      </c>
    </row>
    <row r="13" spans="1:10" ht="20.100000000000001" customHeight="1">
      <c r="A13" s="621"/>
      <c r="B13" s="622"/>
      <c r="C13" s="623"/>
      <c r="D13" s="623"/>
      <c r="E13" s="624"/>
      <c r="F13" s="625"/>
      <c r="G13" s="626"/>
      <c r="H13" s="627"/>
      <c r="I13" s="634" t="str">
        <f t="shared" si="0"/>
        <v/>
      </c>
    </row>
    <row r="14" spans="1:10" ht="20.100000000000001" customHeight="1">
      <c r="A14" s="621"/>
      <c r="B14" s="622"/>
      <c r="C14" s="623"/>
      <c r="D14" s="623"/>
      <c r="E14" s="624"/>
      <c r="F14" s="625"/>
      <c r="G14" s="626"/>
      <c r="H14" s="627"/>
      <c r="I14" s="634" t="str">
        <f t="shared" si="0"/>
        <v/>
      </c>
    </row>
    <row r="15" spans="1:10" ht="20.100000000000001" customHeight="1">
      <c r="A15" s="621"/>
      <c r="B15" s="622"/>
      <c r="C15" s="623"/>
      <c r="D15" s="623"/>
      <c r="E15" s="624"/>
      <c r="F15" s="625"/>
      <c r="G15" s="626"/>
      <c r="H15" s="627"/>
      <c r="I15" s="634" t="str">
        <f t="shared" si="0"/>
        <v/>
      </c>
    </row>
    <row r="16" spans="1:10"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ref="I37:I68" si="1">IF(OR(G37&lt;&gt;"",H37&lt;&gt;""),I36+G37-H37,"")</f>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si="1"/>
        <v/>
      </c>
    </row>
    <row r="41" spans="1:9" ht="20.100000000000001" customHeight="1">
      <c r="A41" s="621"/>
      <c r="B41" s="622"/>
      <c r="C41" s="623"/>
      <c r="D41" s="623"/>
      <c r="E41" s="624"/>
      <c r="F41" s="625"/>
      <c r="G41" s="626"/>
      <c r="H41" s="627"/>
      <c r="I41" s="634" t="str">
        <f t="shared" si="1"/>
        <v/>
      </c>
    </row>
    <row r="42" spans="1:9" ht="20.100000000000001" customHeight="1">
      <c r="A42" s="621"/>
      <c r="B42" s="622"/>
      <c r="C42" s="623"/>
      <c r="D42" s="623"/>
      <c r="E42" s="624"/>
      <c r="F42" s="625"/>
      <c r="G42" s="626"/>
      <c r="H42" s="627"/>
      <c r="I42" s="634" t="str">
        <f t="shared" si="1"/>
        <v/>
      </c>
    </row>
    <row r="43" spans="1:9" ht="20.100000000000001" customHeight="1">
      <c r="A43" s="621"/>
      <c r="B43" s="622"/>
      <c r="C43" s="623"/>
      <c r="D43" s="623"/>
      <c r="E43" s="624"/>
      <c r="F43" s="625"/>
      <c r="G43" s="626"/>
      <c r="H43" s="627"/>
      <c r="I43" s="634" t="str">
        <f t="shared" si="1"/>
        <v/>
      </c>
    </row>
    <row r="44" spans="1:9" ht="20.100000000000001" customHeight="1">
      <c r="A44" s="621"/>
      <c r="B44" s="622"/>
      <c r="C44" s="623"/>
      <c r="D44" s="623"/>
      <c r="E44" s="624"/>
      <c r="F44" s="625"/>
      <c r="G44" s="626"/>
      <c r="H44" s="627"/>
      <c r="I44" s="634" t="str">
        <f t="shared" si="1"/>
        <v/>
      </c>
    </row>
    <row r="45" spans="1:9" ht="20.100000000000001" customHeight="1">
      <c r="A45" s="621"/>
      <c r="B45" s="622"/>
      <c r="C45" s="623"/>
      <c r="D45" s="623"/>
      <c r="E45" s="624"/>
      <c r="F45" s="625"/>
      <c r="G45" s="626"/>
      <c r="H45" s="627"/>
      <c r="I45" s="634" t="str">
        <f t="shared" si="1"/>
        <v/>
      </c>
    </row>
    <row r="46" spans="1:9" ht="20.100000000000001" customHeight="1">
      <c r="A46" s="621"/>
      <c r="B46" s="622"/>
      <c r="C46" s="623"/>
      <c r="D46" s="623"/>
      <c r="E46" s="624"/>
      <c r="F46" s="625"/>
      <c r="G46" s="626"/>
      <c r="H46" s="627"/>
      <c r="I46" s="634" t="str">
        <f t="shared" si="1"/>
        <v/>
      </c>
    </row>
    <row r="47" spans="1:9" ht="20.100000000000001" customHeight="1">
      <c r="A47" s="621"/>
      <c r="B47" s="622"/>
      <c r="C47" s="623"/>
      <c r="D47" s="623"/>
      <c r="E47" s="624"/>
      <c r="F47" s="625"/>
      <c r="G47" s="626"/>
      <c r="H47" s="627"/>
      <c r="I47" s="634" t="str">
        <f t="shared" si="1"/>
        <v/>
      </c>
    </row>
    <row r="48" spans="1:9" ht="20.100000000000001" customHeight="1">
      <c r="A48" s="621"/>
      <c r="B48" s="622"/>
      <c r="C48" s="623"/>
      <c r="D48" s="623"/>
      <c r="E48" s="624"/>
      <c r="F48" s="625"/>
      <c r="G48" s="626"/>
      <c r="H48" s="627"/>
      <c r="I48" s="634" t="str">
        <f t="shared" si="1"/>
        <v/>
      </c>
    </row>
    <row r="49" spans="1:9" ht="20.100000000000001" customHeight="1">
      <c r="A49" s="621"/>
      <c r="B49" s="622"/>
      <c r="C49" s="623"/>
      <c r="D49" s="623"/>
      <c r="E49" s="624"/>
      <c r="F49" s="625"/>
      <c r="G49" s="626"/>
      <c r="H49" s="627"/>
      <c r="I49" s="634" t="str">
        <f t="shared" si="1"/>
        <v/>
      </c>
    </row>
    <row r="50" spans="1:9" ht="20.100000000000001" customHeight="1">
      <c r="A50" s="621"/>
      <c r="B50" s="622"/>
      <c r="C50" s="623"/>
      <c r="D50" s="623"/>
      <c r="E50" s="624"/>
      <c r="F50" s="625"/>
      <c r="G50" s="626"/>
      <c r="H50" s="627"/>
      <c r="I50" s="634" t="str">
        <f t="shared" si="1"/>
        <v/>
      </c>
    </row>
    <row r="51" spans="1:9" ht="20.100000000000001" customHeight="1">
      <c r="A51" s="621"/>
      <c r="B51" s="622"/>
      <c r="C51" s="623"/>
      <c r="D51" s="623"/>
      <c r="E51" s="624"/>
      <c r="F51" s="625"/>
      <c r="G51" s="626"/>
      <c r="H51" s="627"/>
      <c r="I51" s="634" t="str">
        <f t="shared" si="1"/>
        <v/>
      </c>
    </row>
    <row r="52" spans="1:9" ht="20.100000000000001" customHeight="1">
      <c r="A52" s="621"/>
      <c r="B52" s="622"/>
      <c r="C52" s="623"/>
      <c r="D52" s="623"/>
      <c r="E52" s="624"/>
      <c r="F52" s="625"/>
      <c r="G52" s="626"/>
      <c r="H52" s="627"/>
      <c r="I52" s="634" t="str">
        <f t="shared" si="1"/>
        <v/>
      </c>
    </row>
    <row r="53" spans="1:9" ht="20.100000000000001" customHeight="1">
      <c r="A53" s="621"/>
      <c r="B53" s="622"/>
      <c r="C53" s="623"/>
      <c r="D53" s="623"/>
      <c r="E53" s="624"/>
      <c r="F53" s="625"/>
      <c r="G53" s="626"/>
      <c r="H53" s="627"/>
      <c r="I53" s="634" t="str">
        <f t="shared" si="1"/>
        <v/>
      </c>
    </row>
    <row r="54" spans="1:9" ht="20.100000000000001" customHeight="1">
      <c r="A54" s="621"/>
      <c r="B54" s="622"/>
      <c r="C54" s="623"/>
      <c r="D54" s="623"/>
      <c r="E54" s="624"/>
      <c r="F54" s="625"/>
      <c r="G54" s="626"/>
      <c r="H54" s="627"/>
      <c r="I54" s="634" t="str">
        <f t="shared" si="1"/>
        <v/>
      </c>
    </row>
    <row r="55" spans="1:9" ht="20.100000000000001" customHeight="1">
      <c r="A55" s="621"/>
      <c r="B55" s="622"/>
      <c r="C55" s="623"/>
      <c r="D55" s="623"/>
      <c r="E55" s="624"/>
      <c r="F55" s="625"/>
      <c r="G55" s="626"/>
      <c r="H55" s="627"/>
      <c r="I55" s="634" t="str">
        <f t="shared" si="1"/>
        <v/>
      </c>
    </row>
    <row r="56" spans="1:9" ht="20.100000000000001" customHeight="1">
      <c r="A56" s="621"/>
      <c r="B56" s="622"/>
      <c r="C56" s="623"/>
      <c r="D56" s="623"/>
      <c r="E56" s="624"/>
      <c r="F56" s="625"/>
      <c r="G56" s="626"/>
      <c r="H56" s="627"/>
      <c r="I56" s="634" t="str">
        <f t="shared" si="1"/>
        <v/>
      </c>
    </row>
    <row r="57" spans="1:9" ht="20.100000000000001" customHeight="1">
      <c r="A57" s="621"/>
      <c r="B57" s="622"/>
      <c r="C57" s="623"/>
      <c r="D57" s="623"/>
      <c r="E57" s="624"/>
      <c r="F57" s="625"/>
      <c r="G57" s="626"/>
      <c r="H57" s="627"/>
      <c r="I57" s="634" t="str">
        <f t="shared" si="1"/>
        <v/>
      </c>
    </row>
    <row r="58" spans="1:9" ht="20.100000000000001" customHeight="1">
      <c r="A58" s="621"/>
      <c r="B58" s="622"/>
      <c r="C58" s="623"/>
      <c r="D58" s="623"/>
      <c r="E58" s="624"/>
      <c r="F58" s="625"/>
      <c r="G58" s="626"/>
      <c r="H58" s="627"/>
      <c r="I58" s="634" t="str">
        <f t="shared" si="1"/>
        <v/>
      </c>
    </row>
    <row r="59" spans="1:9" ht="20.100000000000001" customHeight="1">
      <c r="A59" s="621"/>
      <c r="B59" s="622"/>
      <c r="C59" s="623"/>
      <c r="D59" s="623"/>
      <c r="E59" s="624"/>
      <c r="F59" s="625"/>
      <c r="G59" s="626"/>
      <c r="H59" s="627"/>
      <c r="I59" s="634" t="str">
        <f t="shared" si="1"/>
        <v/>
      </c>
    </row>
    <row r="60" spans="1:9" ht="20.100000000000001" customHeight="1">
      <c r="A60" s="621"/>
      <c r="B60" s="622"/>
      <c r="C60" s="623"/>
      <c r="D60" s="623"/>
      <c r="E60" s="624"/>
      <c r="F60" s="625"/>
      <c r="G60" s="626"/>
      <c r="H60" s="627"/>
      <c r="I60" s="634" t="str">
        <f t="shared" si="1"/>
        <v/>
      </c>
    </row>
    <row r="61" spans="1:9" ht="20.100000000000001" customHeight="1">
      <c r="A61" s="621"/>
      <c r="B61" s="622"/>
      <c r="C61" s="623"/>
      <c r="D61" s="623"/>
      <c r="E61" s="624"/>
      <c r="F61" s="625"/>
      <c r="G61" s="626"/>
      <c r="H61" s="627"/>
      <c r="I61" s="634" t="str">
        <f t="shared" si="1"/>
        <v/>
      </c>
    </row>
    <row r="62" spans="1:9" ht="20.100000000000001" customHeight="1">
      <c r="A62" s="621"/>
      <c r="B62" s="622"/>
      <c r="C62" s="623"/>
      <c r="D62" s="623"/>
      <c r="E62" s="624"/>
      <c r="F62" s="625"/>
      <c r="G62" s="626"/>
      <c r="H62" s="627"/>
      <c r="I62" s="634" t="str">
        <f t="shared" si="1"/>
        <v/>
      </c>
    </row>
    <row r="63" spans="1:9" ht="20.100000000000001" customHeight="1">
      <c r="A63" s="621"/>
      <c r="B63" s="622"/>
      <c r="C63" s="623"/>
      <c r="D63" s="623"/>
      <c r="E63" s="624"/>
      <c r="F63" s="625"/>
      <c r="G63" s="626"/>
      <c r="H63" s="627"/>
      <c r="I63" s="634" t="str">
        <f t="shared" si="1"/>
        <v/>
      </c>
    </row>
    <row r="64" spans="1:9" ht="20.100000000000001" customHeight="1">
      <c r="A64" s="621"/>
      <c r="B64" s="622"/>
      <c r="C64" s="623"/>
      <c r="D64" s="623"/>
      <c r="E64" s="624"/>
      <c r="F64" s="625"/>
      <c r="G64" s="626"/>
      <c r="H64" s="627"/>
      <c r="I64" s="634" t="str">
        <f t="shared" si="1"/>
        <v/>
      </c>
    </row>
    <row r="65" spans="1:9" ht="20.100000000000001" customHeight="1">
      <c r="A65" s="621"/>
      <c r="B65" s="622"/>
      <c r="C65" s="623"/>
      <c r="D65" s="623"/>
      <c r="E65" s="624"/>
      <c r="F65" s="625"/>
      <c r="G65" s="626"/>
      <c r="H65" s="627"/>
      <c r="I65" s="634" t="str">
        <f t="shared" si="1"/>
        <v/>
      </c>
    </row>
    <row r="66" spans="1:9" ht="20.100000000000001" customHeight="1">
      <c r="A66" s="621"/>
      <c r="B66" s="622"/>
      <c r="C66" s="623"/>
      <c r="D66" s="623"/>
      <c r="E66" s="624"/>
      <c r="F66" s="625"/>
      <c r="G66" s="626"/>
      <c r="H66" s="627"/>
      <c r="I66" s="634" t="str">
        <f t="shared" si="1"/>
        <v/>
      </c>
    </row>
    <row r="67" spans="1:9" ht="20.100000000000001" customHeight="1">
      <c r="A67" s="621"/>
      <c r="B67" s="622"/>
      <c r="C67" s="623"/>
      <c r="D67" s="623"/>
      <c r="E67" s="624"/>
      <c r="F67" s="625"/>
      <c r="G67" s="626"/>
      <c r="H67" s="627"/>
      <c r="I67" s="634" t="str">
        <f t="shared" si="1"/>
        <v/>
      </c>
    </row>
    <row r="68" spans="1:9" ht="20.100000000000001" customHeight="1">
      <c r="A68" s="621"/>
      <c r="B68" s="622"/>
      <c r="C68" s="623"/>
      <c r="D68" s="623"/>
      <c r="E68" s="624"/>
      <c r="F68" s="625"/>
      <c r="G68" s="626"/>
      <c r="H68" s="627"/>
      <c r="I68" s="634" t="str">
        <f t="shared" si="1"/>
        <v/>
      </c>
    </row>
    <row r="69" spans="1:9" ht="20.100000000000001" customHeight="1">
      <c r="A69" s="621"/>
      <c r="B69" s="622"/>
      <c r="C69" s="623"/>
      <c r="D69" s="623"/>
      <c r="E69" s="624"/>
      <c r="F69" s="625"/>
      <c r="G69" s="626"/>
      <c r="H69" s="627"/>
      <c r="I69" s="634" t="str">
        <f t="shared" ref="I69:I98" si="2">IF(OR(G69&lt;&gt;"",H69&lt;&gt;""),I68+G69-H69,"")</f>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si="2"/>
        <v/>
      </c>
    </row>
    <row r="76" spans="1:9" ht="20.100000000000001" customHeight="1">
      <c r="A76" s="621"/>
      <c r="B76" s="622"/>
      <c r="C76" s="623"/>
      <c r="D76" s="623"/>
      <c r="E76" s="624"/>
      <c r="F76" s="625"/>
      <c r="G76" s="626"/>
      <c r="H76" s="627"/>
      <c r="I76" s="634" t="str">
        <f t="shared" si="2"/>
        <v/>
      </c>
    </row>
    <row r="77" spans="1:9" ht="20.100000000000001" customHeight="1">
      <c r="A77" s="621"/>
      <c r="B77" s="622"/>
      <c r="C77" s="623"/>
      <c r="D77" s="623"/>
      <c r="E77" s="624"/>
      <c r="F77" s="625"/>
      <c r="G77" s="626"/>
      <c r="H77" s="627"/>
      <c r="I77" s="634" t="str">
        <f t="shared" si="2"/>
        <v/>
      </c>
    </row>
    <row r="78" spans="1:9" ht="20.100000000000001" customHeight="1">
      <c r="A78" s="621"/>
      <c r="B78" s="622"/>
      <c r="C78" s="623"/>
      <c r="D78" s="623"/>
      <c r="E78" s="624"/>
      <c r="F78" s="625"/>
      <c r="G78" s="626"/>
      <c r="H78" s="627"/>
      <c r="I78" s="634" t="str">
        <f t="shared" si="2"/>
        <v/>
      </c>
    </row>
    <row r="79" spans="1:9" ht="20.100000000000001" customHeight="1">
      <c r="A79" s="621"/>
      <c r="B79" s="622"/>
      <c r="C79" s="623"/>
      <c r="D79" s="623"/>
      <c r="E79" s="624"/>
      <c r="F79" s="625"/>
      <c r="G79" s="626"/>
      <c r="H79" s="627"/>
      <c r="I79" s="634" t="str">
        <f t="shared" si="2"/>
        <v/>
      </c>
    </row>
    <row r="80" spans="1:9" ht="20.100000000000001" customHeight="1">
      <c r="A80" s="621"/>
      <c r="B80" s="622"/>
      <c r="C80" s="623"/>
      <c r="D80" s="623"/>
      <c r="E80" s="624"/>
      <c r="F80" s="625"/>
      <c r="G80" s="626"/>
      <c r="H80" s="627"/>
      <c r="I80" s="634" t="str">
        <f t="shared" si="2"/>
        <v/>
      </c>
    </row>
    <row r="81" spans="1:9" ht="20.100000000000001" customHeight="1">
      <c r="A81" s="621"/>
      <c r="B81" s="622"/>
      <c r="C81" s="623"/>
      <c r="D81" s="623"/>
      <c r="E81" s="624"/>
      <c r="F81" s="625"/>
      <c r="G81" s="626"/>
      <c r="H81" s="627"/>
      <c r="I81" s="634" t="str">
        <f t="shared" si="2"/>
        <v/>
      </c>
    </row>
    <row r="82" spans="1:9" ht="20.100000000000001" customHeight="1">
      <c r="A82" s="621"/>
      <c r="B82" s="622"/>
      <c r="C82" s="623"/>
      <c r="D82" s="623"/>
      <c r="E82" s="624"/>
      <c r="F82" s="625"/>
      <c r="G82" s="626"/>
      <c r="H82" s="627"/>
      <c r="I82" s="634" t="str">
        <f t="shared" si="2"/>
        <v/>
      </c>
    </row>
    <row r="83" spans="1:9" ht="20.100000000000001" customHeight="1">
      <c r="A83" s="621"/>
      <c r="B83" s="622"/>
      <c r="C83" s="623"/>
      <c r="D83" s="623"/>
      <c r="E83" s="624"/>
      <c r="F83" s="625"/>
      <c r="G83" s="626"/>
      <c r="H83" s="627"/>
      <c r="I83" s="634" t="str">
        <f t="shared" si="2"/>
        <v/>
      </c>
    </row>
    <row r="84" spans="1:9" ht="20.100000000000001" customHeight="1">
      <c r="A84" s="621"/>
      <c r="B84" s="622"/>
      <c r="C84" s="623"/>
      <c r="D84" s="623"/>
      <c r="E84" s="624"/>
      <c r="F84" s="625"/>
      <c r="G84" s="626"/>
      <c r="H84" s="627"/>
      <c r="I84" s="634" t="str">
        <f t="shared" si="2"/>
        <v/>
      </c>
    </row>
    <row r="85" spans="1:9" ht="20.100000000000001" customHeight="1">
      <c r="A85" s="621"/>
      <c r="B85" s="622"/>
      <c r="C85" s="623"/>
      <c r="D85" s="623"/>
      <c r="E85" s="624"/>
      <c r="F85" s="625"/>
      <c r="G85" s="626"/>
      <c r="H85" s="627"/>
      <c r="I85" s="634" t="str">
        <f t="shared" si="2"/>
        <v/>
      </c>
    </row>
    <row r="86" spans="1:9" ht="20.100000000000001" customHeight="1">
      <c r="A86" s="621"/>
      <c r="B86" s="622"/>
      <c r="C86" s="623"/>
      <c r="D86" s="623"/>
      <c r="E86" s="624"/>
      <c r="F86" s="625"/>
      <c r="G86" s="626"/>
      <c r="H86" s="627"/>
      <c r="I86" s="634" t="str">
        <f t="shared" si="2"/>
        <v/>
      </c>
    </row>
    <row r="87" spans="1:9" ht="20.100000000000001" customHeight="1">
      <c r="A87" s="621"/>
      <c r="B87" s="622"/>
      <c r="C87" s="623"/>
      <c r="D87" s="623"/>
      <c r="E87" s="624"/>
      <c r="F87" s="625"/>
      <c r="G87" s="626"/>
      <c r="H87" s="627"/>
      <c r="I87" s="634" t="str">
        <f t="shared" si="2"/>
        <v/>
      </c>
    </row>
    <row r="88" spans="1:9" ht="20.100000000000001" customHeight="1">
      <c r="A88" s="621"/>
      <c r="B88" s="622"/>
      <c r="C88" s="623"/>
      <c r="D88" s="623"/>
      <c r="E88" s="624"/>
      <c r="F88" s="625"/>
      <c r="G88" s="626"/>
      <c r="H88" s="627"/>
      <c r="I88" s="634" t="str">
        <f t="shared" si="2"/>
        <v/>
      </c>
    </row>
    <row r="89" spans="1:9" ht="20.100000000000001" customHeight="1">
      <c r="A89" s="621"/>
      <c r="B89" s="622"/>
      <c r="C89" s="623"/>
      <c r="D89" s="623"/>
      <c r="E89" s="624"/>
      <c r="F89" s="625"/>
      <c r="G89" s="626"/>
      <c r="H89" s="627"/>
      <c r="I89" s="634" t="str">
        <f t="shared" si="2"/>
        <v/>
      </c>
    </row>
    <row r="90" spans="1:9" ht="20.100000000000001" customHeight="1">
      <c r="A90" s="621"/>
      <c r="B90" s="622"/>
      <c r="C90" s="623"/>
      <c r="D90" s="623"/>
      <c r="E90" s="624"/>
      <c r="F90" s="625"/>
      <c r="G90" s="626"/>
      <c r="H90" s="627"/>
      <c r="I90" s="634" t="str">
        <f t="shared" si="2"/>
        <v/>
      </c>
    </row>
    <row r="91" spans="1:9" ht="20.100000000000001" customHeight="1">
      <c r="A91" s="621"/>
      <c r="B91" s="622"/>
      <c r="C91" s="623"/>
      <c r="D91" s="623"/>
      <c r="E91" s="624"/>
      <c r="F91" s="625"/>
      <c r="G91" s="626"/>
      <c r="H91" s="627"/>
      <c r="I91" s="634" t="str">
        <f t="shared" si="2"/>
        <v/>
      </c>
    </row>
    <row r="92" spans="1:9" ht="20.100000000000001" customHeight="1">
      <c r="A92" s="621"/>
      <c r="B92" s="622"/>
      <c r="C92" s="623"/>
      <c r="D92" s="623"/>
      <c r="E92" s="624"/>
      <c r="F92" s="625"/>
      <c r="G92" s="626"/>
      <c r="H92" s="627"/>
      <c r="I92" s="634" t="str">
        <f t="shared" si="2"/>
        <v/>
      </c>
    </row>
    <row r="93" spans="1:9" ht="20.100000000000001" customHeight="1">
      <c r="A93" s="621"/>
      <c r="B93" s="622"/>
      <c r="C93" s="623"/>
      <c r="D93" s="623"/>
      <c r="E93" s="624"/>
      <c r="F93" s="625"/>
      <c r="G93" s="626"/>
      <c r="H93" s="627"/>
      <c r="I93" s="634" t="str">
        <f t="shared" si="2"/>
        <v/>
      </c>
    </row>
    <row r="94" spans="1:9" ht="20.100000000000001" customHeight="1">
      <c r="A94" s="621"/>
      <c r="B94" s="622"/>
      <c r="C94" s="623"/>
      <c r="D94" s="623"/>
      <c r="E94" s="624"/>
      <c r="F94" s="625"/>
      <c r="G94" s="626"/>
      <c r="H94" s="627"/>
      <c r="I94" s="634" t="str">
        <f t="shared" si="2"/>
        <v/>
      </c>
    </row>
    <row r="95" spans="1:9" ht="20.100000000000001" customHeight="1">
      <c r="A95" s="621"/>
      <c r="B95" s="622"/>
      <c r="C95" s="623"/>
      <c r="D95" s="623"/>
      <c r="E95" s="624"/>
      <c r="F95" s="625"/>
      <c r="G95" s="626"/>
      <c r="H95" s="627"/>
      <c r="I95" s="634" t="str">
        <f t="shared" si="2"/>
        <v/>
      </c>
    </row>
    <row r="96" spans="1:9" ht="20.100000000000001" customHeight="1">
      <c r="A96" s="621"/>
      <c r="B96" s="622"/>
      <c r="C96" s="623"/>
      <c r="D96" s="623"/>
      <c r="E96" s="624"/>
      <c r="F96" s="625"/>
      <c r="G96" s="626"/>
      <c r="H96" s="627"/>
      <c r="I96" s="634" t="str">
        <f t="shared" si="2"/>
        <v/>
      </c>
    </row>
    <row r="97" spans="1:9" ht="20.100000000000001" customHeight="1">
      <c r="A97" s="621"/>
      <c r="B97" s="622"/>
      <c r="C97" s="623"/>
      <c r="D97" s="623"/>
      <c r="E97" s="624"/>
      <c r="F97" s="625"/>
      <c r="G97" s="626"/>
      <c r="H97" s="627"/>
      <c r="I97" s="634" t="str">
        <f t="shared" si="2"/>
        <v/>
      </c>
    </row>
    <row r="98" spans="1:9" ht="20.100000000000001" customHeight="1">
      <c r="A98" s="621"/>
      <c r="B98" s="622"/>
      <c r="C98" s="623"/>
      <c r="D98" s="623"/>
      <c r="E98" s="624"/>
      <c r="F98" s="625"/>
      <c r="G98" s="626"/>
      <c r="H98" s="627"/>
      <c r="I98" s="634" t="str">
        <f t="shared" si="2"/>
        <v/>
      </c>
    </row>
    <row r="99" spans="1:9" ht="20.100000000000001" customHeight="1">
      <c r="A99" s="621"/>
      <c r="B99" s="622"/>
      <c r="C99" s="623"/>
      <c r="D99" s="623"/>
      <c r="E99" s="624"/>
      <c r="F99" s="625"/>
      <c r="G99" s="626"/>
      <c r="H99" s="627"/>
      <c r="I99" s="634" t="str">
        <f t="shared" ref="I99:I132" si="3">IF(OR(G99&lt;&gt;"",H99&lt;&gt;""),I98+G99-H99,"")</f>
        <v/>
      </c>
    </row>
    <row r="100" spans="1:9" ht="20.100000000000001" customHeight="1">
      <c r="A100" s="621"/>
      <c r="B100" s="622"/>
      <c r="C100" s="623"/>
      <c r="D100" s="623"/>
      <c r="E100" s="624"/>
      <c r="F100" s="625"/>
      <c r="G100" s="626"/>
      <c r="H100" s="627"/>
      <c r="I100" s="634" t="str">
        <f t="shared" si="3"/>
        <v/>
      </c>
    </row>
    <row r="101" spans="1:9" ht="20.100000000000001" customHeight="1">
      <c r="A101" s="621"/>
      <c r="B101" s="622"/>
      <c r="C101" s="623"/>
      <c r="D101" s="623"/>
      <c r="E101" s="624"/>
      <c r="F101" s="625"/>
      <c r="G101" s="626"/>
      <c r="H101" s="627"/>
      <c r="I101" s="634" t="str">
        <f t="shared" si="3"/>
        <v/>
      </c>
    </row>
    <row r="102" spans="1:9" ht="20.100000000000001" customHeight="1">
      <c r="A102" s="621"/>
      <c r="B102" s="622"/>
      <c r="C102" s="623"/>
      <c r="D102" s="623"/>
      <c r="E102" s="624"/>
      <c r="F102" s="625"/>
      <c r="G102" s="626"/>
      <c r="H102" s="627"/>
      <c r="I102" s="634" t="str">
        <f>IF(OR(G102&lt;&gt;"",H102&lt;&gt;""),I101+G102-H102,"")</f>
        <v/>
      </c>
    </row>
    <row r="103" spans="1:9" ht="20.100000000000001" customHeight="1">
      <c r="A103" s="621"/>
      <c r="B103" s="622"/>
      <c r="C103" s="623"/>
      <c r="D103" s="623"/>
      <c r="E103" s="624"/>
      <c r="F103" s="625"/>
      <c r="G103" s="626"/>
      <c r="H103" s="627"/>
      <c r="I103" s="634" t="str">
        <f t="shared" si="3"/>
        <v/>
      </c>
    </row>
    <row r="104" spans="1:9" ht="20.100000000000001" customHeight="1">
      <c r="A104" s="621"/>
      <c r="B104" s="622"/>
      <c r="C104" s="623"/>
      <c r="D104" s="623"/>
      <c r="E104" s="624"/>
      <c r="F104" s="625"/>
      <c r="G104" s="626"/>
      <c r="H104" s="627"/>
      <c r="I104" s="634" t="str">
        <f t="shared" si="3"/>
        <v/>
      </c>
    </row>
    <row r="105" spans="1:9" ht="20.100000000000001" customHeight="1">
      <c r="A105" s="621"/>
      <c r="B105" s="622"/>
      <c r="C105" s="623"/>
      <c r="D105" s="623"/>
      <c r="E105" s="624"/>
      <c r="F105" s="625"/>
      <c r="G105" s="626"/>
      <c r="H105" s="627"/>
      <c r="I105" s="634" t="str">
        <f t="shared" si="3"/>
        <v/>
      </c>
    </row>
    <row r="106" spans="1:9" ht="20.100000000000001" customHeight="1">
      <c r="A106" s="621"/>
      <c r="B106" s="622"/>
      <c r="C106" s="623"/>
      <c r="D106" s="623"/>
      <c r="E106" s="624"/>
      <c r="F106" s="625"/>
      <c r="G106" s="626"/>
      <c r="H106" s="627"/>
      <c r="I106" s="634" t="str">
        <f t="shared" si="3"/>
        <v/>
      </c>
    </row>
    <row r="107" spans="1:9" ht="20.100000000000001" customHeight="1">
      <c r="A107" s="621"/>
      <c r="B107" s="622"/>
      <c r="C107" s="623"/>
      <c r="D107" s="623"/>
      <c r="E107" s="624"/>
      <c r="F107" s="625"/>
      <c r="G107" s="626"/>
      <c r="H107" s="627"/>
      <c r="I107" s="634" t="str">
        <f t="shared" si="3"/>
        <v/>
      </c>
    </row>
    <row r="108" spans="1:9" ht="20.100000000000001" customHeight="1">
      <c r="A108" s="621"/>
      <c r="B108" s="622"/>
      <c r="C108" s="623"/>
      <c r="D108" s="623"/>
      <c r="E108" s="624"/>
      <c r="F108" s="625"/>
      <c r="G108" s="626"/>
      <c r="H108" s="627"/>
      <c r="I108" s="634" t="str">
        <f t="shared" si="3"/>
        <v/>
      </c>
    </row>
    <row r="109" spans="1:9" ht="20.100000000000001" customHeight="1">
      <c r="A109" s="621"/>
      <c r="B109" s="622"/>
      <c r="C109" s="623"/>
      <c r="D109" s="623"/>
      <c r="E109" s="624"/>
      <c r="F109" s="625"/>
      <c r="G109" s="626"/>
      <c r="H109" s="627"/>
      <c r="I109" s="634" t="str">
        <f t="shared" si="3"/>
        <v/>
      </c>
    </row>
    <row r="110" spans="1:9" ht="20.100000000000001" customHeight="1">
      <c r="A110" s="621"/>
      <c r="B110" s="622"/>
      <c r="C110" s="623"/>
      <c r="D110" s="623"/>
      <c r="E110" s="624"/>
      <c r="F110" s="625"/>
      <c r="G110" s="626"/>
      <c r="H110" s="627"/>
      <c r="I110" s="634" t="str">
        <f t="shared" si="3"/>
        <v/>
      </c>
    </row>
    <row r="111" spans="1:9" ht="20.100000000000001" customHeight="1">
      <c r="A111" s="621"/>
      <c r="B111" s="622"/>
      <c r="C111" s="623"/>
      <c r="D111" s="623"/>
      <c r="E111" s="624"/>
      <c r="F111" s="625"/>
      <c r="G111" s="626"/>
      <c r="H111" s="627"/>
      <c r="I111" s="634" t="str">
        <f t="shared" si="3"/>
        <v/>
      </c>
    </row>
    <row r="112" spans="1:9" ht="20.100000000000001" customHeight="1">
      <c r="A112" s="621"/>
      <c r="B112" s="622"/>
      <c r="C112" s="623"/>
      <c r="D112" s="623"/>
      <c r="E112" s="624"/>
      <c r="F112" s="625"/>
      <c r="G112" s="626"/>
      <c r="H112" s="627"/>
      <c r="I112" s="634" t="str">
        <f t="shared" si="3"/>
        <v/>
      </c>
    </row>
    <row r="113" spans="1:9" ht="20.100000000000001" customHeight="1">
      <c r="A113" s="621"/>
      <c r="B113" s="622"/>
      <c r="C113" s="623"/>
      <c r="D113" s="623"/>
      <c r="E113" s="624"/>
      <c r="F113" s="625"/>
      <c r="G113" s="626"/>
      <c r="H113" s="627"/>
      <c r="I113" s="634" t="str">
        <f t="shared" si="3"/>
        <v/>
      </c>
    </row>
    <row r="114" spans="1:9" ht="20.100000000000001" customHeight="1">
      <c r="A114" s="621"/>
      <c r="B114" s="622"/>
      <c r="C114" s="623"/>
      <c r="D114" s="623"/>
      <c r="E114" s="624"/>
      <c r="F114" s="625"/>
      <c r="G114" s="626"/>
      <c r="H114" s="627"/>
      <c r="I114" s="634" t="str">
        <f t="shared" si="3"/>
        <v/>
      </c>
    </row>
    <row r="115" spans="1:9" ht="20.100000000000001" customHeight="1">
      <c r="A115" s="621"/>
      <c r="B115" s="622"/>
      <c r="C115" s="623"/>
      <c r="D115" s="623"/>
      <c r="E115" s="624"/>
      <c r="F115" s="625"/>
      <c r="G115" s="626"/>
      <c r="H115" s="627"/>
      <c r="I115" s="634" t="str">
        <f t="shared" si="3"/>
        <v/>
      </c>
    </row>
    <row r="116" spans="1:9" ht="20.100000000000001" customHeight="1">
      <c r="A116" s="621"/>
      <c r="B116" s="622"/>
      <c r="C116" s="623"/>
      <c r="D116" s="623"/>
      <c r="E116" s="624"/>
      <c r="F116" s="625"/>
      <c r="G116" s="626"/>
      <c r="H116" s="627"/>
      <c r="I116" s="634" t="str">
        <f t="shared" si="3"/>
        <v/>
      </c>
    </row>
    <row r="117" spans="1:9" ht="20.100000000000001" customHeight="1">
      <c r="A117" s="621"/>
      <c r="B117" s="622"/>
      <c r="C117" s="623"/>
      <c r="D117" s="623"/>
      <c r="E117" s="624"/>
      <c r="F117" s="625"/>
      <c r="G117" s="626"/>
      <c r="H117" s="627"/>
      <c r="I117" s="634" t="str">
        <f t="shared" si="3"/>
        <v/>
      </c>
    </row>
    <row r="118" spans="1:9" ht="20.100000000000001" customHeight="1">
      <c r="A118" s="621"/>
      <c r="B118" s="622"/>
      <c r="C118" s="623"/>
      <c r="D118" s="623"/>
      <c r="E118" s="624"/>
      <c r="F118" s="625"/>
      <c r="G118" s="626"/>
      <c r="H118" s="627"/>
      <c r="I118" s="634" t="str">
        <f t="shared" si="3"/>
        <v/>
      </c>
    </row>
    <row r="119" spans="1:9" ht="20.100000000000001" customHeight="1">
      <c r="A119" s="621"/>
      <c r="B119" s="622"/>
      <c r="C119" s="623"/>
      <c r="D119" s="623"/>
      <c r="E119" s="624"/>
      <c r="F119" s="625"/>
      <c r="G119" s="626"/>
      <c r="H119" s="627"/>
      <c r="I119" s="634" t="str">
        <f t="shared" si="3"/>
        <v/>
      </c>
    </row>
    <row r="120" spans="1:9" ht="20.100000000000001" customHeight="1">
      <c r="A120" s="621"/>
      <c r="B120" s="622"/>
      <c r="C120" s="623"/>
      <c r="D120" s="623"/>
      <c r="E120" s="624"/>
      <c r="F120" s="625"/>
      <c r="G120" s="626"/>
      <c r="H120" s="627"/>
      <c r="I120" s="634" t="str">
        <f t="shared" si="3"/>
        <v/>
      </c>
    </row>
    <row r="121" spans="1:9" ht="20.100000000000001" customHeight="1">
      <c r="A121" s="621"/>
      <c r="B121" s="622"/>
      <c r="C121" s="623"/>
      <c r="D121" s="623"/>
      <c r="E121" s="624"/>
      <c r="F121" s="625"/>
      <c r="G121" s="626"/>
      <c r="H121" s="627"/>
      <c r="I121" s="634" t="str">
        <f t="shared" si="3"/>
        <v/>
      </c>
    </row>
    <row r="122" spans="1:9" ht="20.100000000000001" customHeight="1">
      <c r="A122" s="621"/>
      <c r="B122" s="622"/>
      <c r="C122" s="623"/>
      <c r="D122" s="623"/>
      <c r="E122" s="624"/>
      <c r="F122" s="625"/>
      <c r="G122" s="626"/>
      <c r="H122" s="627"/>
      <c r="I122" s="634" t="str">
        <f t="shared" si="3"/>
        <v/>
      </c>
    </row>
    <row r="123" spans="1:9" ht="20.100000000000001" customHeight="1">
      <c r="A123" s="621"/>
      <c r="B123" s="622"/>
      <c r="C123" s="623"/>
      <c r="D123" s="623"/>
      <c r="E123" s="624"/>
      <c r="F123" s="625"/>
      <c r="G123" s="626"/>
      <c r="H123" s="627"/>
      <c r="I123" s="634" t="str">
        <f t="shared" si="3"/>
        <v/>
      </c>
    </row>
    <row r="124" spans="1:9" ht="20.100000000000001" customHeight="1">
      <c r="A124" s="621"/>
      <c r="B124" s="622"/>
      <c r="C124" s="623"/>
      <c r="D124" s="623"/>
      <c r="E124" s="624"/>
      <c r="F124" s="625"/>
      <c r="G124" s="626"/>
      <c r="H124" s="627"/>
      <c r="I124" s="634" t="str">
        <f t="shared" si="3"/>
        <v/>
      </c>
    </row>
    <row r="125" spans="1:9" ht="20.100000000000001" customHeight="1">
      <c r="A125" s="621"/>
      <c r="B125" s="622"/>
      <c r="C125" s="623"/>
      <c r="D125" s="623"/>
      <c r="E125" s="624"/>
      <c r="F125" s="625"/>
      <c r="G125" s="626"/>
      <c r="H125" s="627"/>
      <c r="I125" s="634" t="str">
        <f t="shared" si="3"/>
        <v/>
      </c>
    </row>
    <row r="126" spans="1:9" ht="20.100000000000001" customHeight="1">
      <c r="A126" s="621"/>
      <c r="B126" s="622"/>
      <c r="C126" s="623"/>
      <c r="D126" s="623"/>
      <c r="E126" s="624"/>
      <c r="F126" s="625"/>
      <c r="G126" s="626"/>
      <c r="H126" s="627"/>
      <c r="I126" s="634" t="str">
        <f t="shared" si="3"/>
        <v/>
      </c>
    </row>
    <row r="127" spans="1:9" ht="20.100000000000001" customHeight="1">
      <c r="A127" s="621"/>
      <c r="B127" s="622"/>
      <c r="C127" s="623"/>
      <c r="D127" s="623"/>
      <c r="E127" s="624"/>
      <c r="F127" s="625"/>
      <c r="G127" s="626"/>
      <c r="H127" s="627"/>
      <c r="I127" s="634" t="str">
        <f t="shared" si="3"/>
        <v/>
      </c>
    </row>
    <row r="128" spans="1:9" ht="20.100000000000001" customHeight="1">
      <c r="A128" s="621"/>
      <c r="B128" s="622"/>
      <c r="C128" s="623"/>
      <c r="D128" s="623"/>
      <c r="E128" s="624"/>
      <c r="F128" s="625"/>
      <c r="G128" s="626"/>
      <c r="H128" s="627"/>
      <c r="I128" s="634" t="str">
        <f t="shared" si="3"/>
        <v/>
      </c>
    </row>
    <row r="129" spans="1:9" ht="20.100000000000001" customHeight="1">
      <c r="A129" s="621"/>
      <c r="B129" s="622"/>
      <c r="C129" s="623"/>
      <c r="D129" s="623"/>
      <c r="E129" s="624"/>
      <c r="F129" s="625"/>
      <c r="G129" s="626"/>
      <c r="H129" s="627"/>
      <c r="I129" s="634" t="str">
        <f t="shared" si="3"/>
        <v/>
      </c>
    </row>
    <row r="130" spans="1:9" ht="20.100000000000001" customHeight="1">
      <c r="A130" s="621"/>
      <c r="B130" s="622"/>
      <c r="C130" s="623"/>
      <c r="D130" s="623"/>
      <c r="E130" s="624"/>
      <c r="F130" s="625"/>
      <c r="G130" s="626"/>
      <c r="H130" s="627"/>
      <c r="I130" s="634" t="str">
        <f t="shared" si="3"/>
        <v/>
      </c>
    </row>
    <row r="131" spans="1:9" ht="20.100000000000001" customHeight="1">
      <c r="A131" s="621"/>
      <c r="B131" s="622"/>
      <c r="C131" s="623"/>
      <c r="D131" s="623"/>
      <c r="E131" s="624"/>
      <c r="F131" s="625"/>
      <c r="G131" s="626"/>
      <c r="H131" s="627"/>
      <c r="I131" s="634" t="str">
        <f t="shared" si="3"/>
        <v/>
      </c>
    </row>
    <row r="132" spans="1:9" ht="20.100000000000001" customHeight="1">
      <c r="A132" s="621"/>
      <c r="B132" s="622"/>
      <c r="C132" s="623"/>
      <c r="D132" s="623"/>
      <c r="E132" s="624"/>
      <c r="F132" s="625"/>
      <c r="G132" s="626"/>
      <c r="H132" s="627"/>
      <c r="I132" s="634" t="str">
        <f t="shared" si="3"/>
        <v/>
      </c>
    </row>
    <row r="133" spans="1:9" ht="20.100000000000001" customHeight="1">
      <c r="A133" s="621"/>
      <c r="B133" s="622"/>
      <c r="C133" s="623"/>
      <c r="D133" s="623"/>
      <c r="E133" s="624"/>
      <c r="F133" s="625"/>
      <c r="G133" s="626"/>
      <c r="H133" s="627"/>
      <c r="I133" s="634" t="str">
        <f t="shared" ref="I133:I196" si="4">IF(OR(G133&lt;&gt;"",H133&lt;&gt;""),I132+G133-H133,"")</f>
        <v/>
      </c>
    </row>
    <row r="134" spans="1:9" ht="20.100000000000001" customHeight="1">
      <c r="A134" s="621"/>
      <c r="B134" s="622"/>
      <c r="C134" s="623"/>
      <c r="D134" s="623"/>
      <c r="E134" s="624"/>
      <c r="F134" s="625"/>
      <c r="G134" s="626"/>
      <c r="H134" s="627"/>
      <c r="I134" s="634" t="str">
        <f t="shared" si="4"/>
        <v/>
      </c>
    </row>
    <row r="135" spans="1:9" ht="20.100000000000001" customHeight="1">
      <c r="A135" s="621"/>
      <c r="B135" s="622"/>
      <c r="C135" s="623"/>
      <c r="D135" s="623"/>
      <c r="E135" s="624"/>
      <c r="F135" s="625"/>
      <c r="G135" s="626"/>
      <c r="H135" s="627"/>
      <c r="I135" s="634" t="str">
        <f t="shared" si="4"/>
        <v/>
      </c>
    </row>
    <row r="136" spans="1:9" ht="20.100000000000001" customHeight="1">
      <c r="A136" s="621"/>
      <c r="B136" s="622"/>
      <c r="C136" s="623"/>
      <c r="D136" s="623"/>
      <c r="E136" s="624"/>
      <c r="F136" s="625"/>
      <c r="G136" s="626"/>
      <c r="H136" s="627"/>
      <c r="I136" s="634" t="str">
        <f t="shared" si="4"/>
        <v/>
      </c>
    </row>
    <row r="137" spans="1:9" ht="20.100000000000001" customHeight="1">
      <c r="A137" s="621"/>
      <c r="B137" s="622"/>
      <c r="C137" s="623"/>
      <c r="D137" s="623"/>
      <c r="E137" s="624"/>
      <c r="F137" s="625"/>
      <c r="G137" s="626"/>
      <c r="H137" s="627"/>
      <c r="I137" s="634" t="str">
        <f t="shared" si="4"/>
        <v/>
      </c>
    </row>
    <row r="138" spans="1:9" ht="20.100000000000001" customHeight="1">
      <c r="A138" s="621"/>
      <c r="B138" s="622"/>
      <c r="C138" s="623"/>
      <c r="D138" s="623"/>
      <c r="E138" s="624"/>
      <c r="F138" s="625"/>
      <c r="G138" s="626"/>
      <c r="H138" s="627"/>
      <c r="I138" s="634" t="str">
        <f t="shared" si="4"/>
        <v/>
      </c>
    </row>
    <row r="139" spans="1:9" ht="20.100000000000001" customHeight="1">
      <c r="A139" s="621"/>
      <c r="B139" s="622"/>
      <c r="C139" s="623"/>
      <c r="D139" s="623"/>
      <c r="E139" s="624"/>
      <c r="F139" s="625"/>
      <c r="G139" s="626"/>
      <c r="H139" s="627"/>
      <c r="I139" s="634" t="str">
        <f t="shared" si="4"/>
        <v/>
      </c>
    </row>
    <row r="140" spans="1:9" ht="20.100000000000001" customHeight="1">
      <c r="A140" s="621"/>
      <c r="B140" s="622"/>
      <c r="C140" s="623"/>
      <c r="D140" s="623"/>
      <c r="E140" s="624"/>
      <c r="F140" s="625"/>
      <c r="G140" s="626"/>
      <c r="H140" s="627"/>
      <c r="I140" s="634" t="str">
        <f t="shared" si="4"/>
        <v/>
      </c>
    </row>
    <row r="141" spans="1:9" ht="20.100000000000001" customHeight="1">
      <c r="A141" s="621"/>
      <c r="B141" s="622"/>
      <c r="C141" s="623"/>
      <c r="D141" s="623"/>
      <c r="E141" s="624"/>
      <c r="F141" s="625"/>
      <c r="G141" s="626"/>
      <c r="H141" s="627"/>
      <c r="I141" s="634" t="str">
        <f t="shared" si="4"/>
        <v/>
      </c>
    </row>
    <row r="142" spans="1:9" ht="20.100000000000001" customHeight="1">
      <c r="A142" s="621"/>
      <c r="B142" s="622"/>
      <c r="C142" s="623"/>
      <c r="D142" s="623"/>
      <c r="E142" s="624"/>
      <c r="F142" s="625"/>
      <c r="G142" s="626"/>
      <c r="H142" s="627"/>
      <c r="I142" s="634" t="str">
        <f t="shared" si="4"/>
        <v/>
      </c>
    </row>
    <row r="143" spans="1:9" ht="20.100000000000001" customHeight="1">
      <c r="A143" s="621"/>
      <c r="B143" s="622"/>
      <c r="C143" s="623"/>
      <c r="D143" s="623"/>
      <c r="E143" s="624"/>
      <c r="F143" s="625"/>
      <c r="G143" s="626"/>
      <c r="H143" s="627"/>
      <c r="I143" s="634" t="str">
        <f t="shared" si="4"/>
        <v/>
      </c>
    </row>
    <row r="144" spans="1:9" ht="20.100000000000001" customHeight="1">
      <c r="A144" s="621"/>
      <c r="B144" s="622"/>
      <c r="C144" s="623"/>
      <c r="D144" s="623"/>
      <c r="E144" s="624"/>
      <c r="F144" s="625"/>
      <c r="G144" s="626"/>
      <c r="H144" s="627"/>
      <c r="I144" s="634" t="str">
        <f t="shared" si="4"/>
        <v/>
      </c>
    </row>
    <row r="145" spans="1:9" ht="20.100000000000001" customHeight="1">
      <c r="A145" s="621"/>
      <c r="B145" s="622"/>
      <c r="C145" s="623"/>
      <c r="D145" s="623"/>
      <c r="E145" s="624"/>
      <c r="F145" s="625"/>
      <c r="G145" s="626"/>
      <c r="H145" s="627"/>
      <c r="I145" s="634" t="str">
        <f t="shared" si="4"/>
        <v/>
      </c>
    </row>
    <row r="146" spans="1:9" ht="20.100000000000001" customHeight="1">
      <c r="A146" s="621"/>
      <c r="B146" s="622"/>
      <c r="C146" s="623"/>
      <c r="D146" s="623"/>
      <c r="E146" s="624"/>
      <c r="F146" s="625"/>
      <c r="G146" s="626"/>
      <c r="H146" s="627"/>
      <c r="I146" s="634" t="str">
        <f t="shared" si="4"/>
        <v/>
      </c>
    </row>
    <row r="147" spans="1:9" ht="20.100000000000001" customHeight="1">
      <c r="A147" s="621"/>
      <c r="B147" s="622"/>
      <c r="C147" s="623"/>
      <c r="D147" s="623"/>
      <c r="E147" s="624"/>
      <c r="F147" s="625"/>
      <c r="G147" s="626"/>
      <c r="H147" s="627"/>
      <c r="I147" s="634" t="str">
        <f t="shared" si="4"/>
        <v/>
      </c>
    </row>
    <row r="148" spans="1:9" ht="20.100000000000001" customHeight="1">
      <c r="A148" s="621"/>
      <c r="B148" s="622"/>
      <c r="C148" s="623"/>
      <c r="D148" s="623"/>
      <c r="E148" s="624"/>
      <c r="F148" s="625"/>
      <c r="G148" s="626"/>
      <c r="H148" s="627"/>
      <c r="I148" s="634" t="str">
        <f t="shared" si="4"/>
        <v/>
      </c>
    </row>
    <row r="149" spans="1:9" ht="20.100000000000001" customHeight="1">
      <c r="A149" s="621"/>
      <c r="B149" s="622"/>
      <c r="C149" s="623"/>
      <c r="D149" s="623"/>
      <c r="E149" s="624"/>
      <c r="F149" s="625"/>
      <c r="G149" s="626"/>
      <c r="H149" s="627"/>
      <c r="I149" s="634" t="str">
        <f t="shared" si="4"/>
        <v/>
      </c>
    </row>
    <row r="150" spans="1:9" ht="20.100000000000001" customHeight="1">
      <c r="A150" s="621"/>
      <c r="B150" s="622"/>
      <c r="C150" s="623"/>
      <c r="D150" s="623"/>
      <c r="E150" s="624"/>
      <c r="F150" s="625"/>
      <c r="G150" s="626"/>
      <c r="H150" s="627"/>
      <c r="I150" s="634" t="str">
        <f t="shared" si="4"/>
        <v/>
      </c>
    </row>
    <row r="151" spans="1:9" ht="20.100000000000001" customHeight="1">
      <c r="A151" s="621"/>
      <c r="B151" s="622"/>
      <c r="C151" s="623"/>
      <c r="D151" s="623"/>
      <c r="E151" s="624"/>
      <c r="F151" s="625"/>
      <c r="G151" s="626"/>
      <c r="H151" s="627"/>
      <c r="I151" s="634" t="str">
        <f t="shared" si="4"/>
        <v/>
      </c>
    </row>
    <row r="152" spans="1:9" ht="20.100000000000001" customHeight="1">
      <c r="A152" s="621"/>
      <c r="B152" s="622"/>
      <c r="C152" s="623"/>
      <c r="D152" s="623"/>
      <c r="E152" s="624"/>
      <c r="F152" s="625"/>
      <c r="G152" s="626"/>
      <c r="H152" s="627"/>
      <c r="I152" s="634" t="str">
        <f t="shared" si="4"/>
        <v/>
      </c>
    </row>
    <row r="153" spans="1:9" ht="20.100000000000001" customHeight="1">
      <c r="A153" s="621"/>
      <c r="B153" s="622"/>
      <c r="C153" s="623"/>
      <c r="D153" s="623"/>
      <c r="E153" s="624"/>
      <c r="F153" s="625"/>
      <c r="G153" s="626"/>
      <c r="H153" s="627"/>
      <c r="I153" s="634" t="str">
        <f t="shared" si="4"/>
        <v/>
      </c>
    </row>
    <row r="154" spans="1:9" ht="20.100000000000001" customHeight="1">
      <c r="A154" s="621"/>
      <c r="B154" s="622"/>
      <c r="C154" s="623"/>
      <c r="D154" s="623"/>
      <c r="E154" s="624"/>
      <c r="F154" s="625"/>
      <c r="G154" s="626"/>
      <c r="H154" s="627"/>
      <c r="I154" s="634" t="str">
        <f t="shared" si="4"/>
        <v/>
      </c>
    </row>
    <row r="155" spans="1:9" ht="20.100000000000001" customHeight="1">
      <c r="A155" s="621"/>
      <c r="B155" s="622"/>
      <c r="C155" s="623"/>
      <c r="D155" s="623"/>
      <c r="E155" s="624"/>
      <c r="F155" s="625"/>
      <c r="G155" s="626"/>
      <c r="H155" s="627"/>
      <c r="I155" s="634" t="str">
        <f t="shared" si="4"/>
        <v/>
      </c>
    </row>
    <row r="156" spans="1:9" ht="20.100000000000001" customHeight="1">
      <c r="A156" s="621"/>
      <c r="B156" s="622"/>
      <c r="C156" s="623"/>
      <c r="D156" s="623"/>
      <c r="E156" s="624"/>
      <c r="F156" s="625"/>
      <c r="G156" s="626"/>
      <c r="H156" s="627"/>
      <c r="I156" s="634" t="str">
        <f t="shared" si="4"/>
        <v/>
      </c>
    </row>
    <row r="157" spans="1:9" ht="20.100000000000001" customHeight="1">
      <c r="A157" s="621"/>
      <c r="B157" s="622"/>
      <c r="C157" s="623"/>
      <c r="D157" s="623"/>
      <c r="E157" s="624"/>
      <c r="F157" s="625"/>
      <c r="G157" s="626"/>
      <c r="H157" s="627"/>
      <c r="I157" s="634" t="str">
        <f t="shared" si="4"/>
        <v/>
      </c>
    </row>
    <row r="158" spans="1:9" ht="20.100000000000001" customHeight="1">
      <c r="A158" s="621"/>
      <c r="B158" s="622"/>
      <c r="C158" s="623"/>
      <c r="D158" s="623"/>
      <c r="E158" s="624"/>
      <c r="F158" s="625"/>
      <c r="G158" s="626"/>
      <c r="H158" s="627"/>
      <c r="I158" s="634" t="str">
        <f t="shared" si="4"/>
        <v/>
      </c>
    </row>
    <row r="159" spans="1:9" ht="20.100000000000001" customHeight="1">
      <c r="A159" s="621"/>
      <c r="B159" s="622"/>
      <c r="C159" s="623"/>
      <c r="D159" s="623"/>
      <c r="E159" s="624"/>
      <c r="F159" s="625"/>
      <c r="G159" s="626"/>
      <c r="H159" s="627"/>
      <c r="I159" s="634" t="str">
        <f t="shared" si="4"/>
        <v/>
      </c>
    </row>
    <row r="160" spans="1:9" ht="20.100000000000001" customHeight="1">
      <c r="A160" s="621"/>
      <c r="B160" s="622"/>
      <c r="C160" s="623"/>
      <c r="D160" s="623"/>
      <c r="E160" s="624"/>
      <c r="F160" s="625"/>
      <c r="G160" s="626"/>
      <c r="H160" s="627"/>
      <c r="I160" s="634" t="str">
        <f t="shared" si="4"/>
        <v/>
      </c>
    </row>
    <row r="161" spans="1:9" ht="20.100000000000001" customHeight="1">
      <c r="A161" s="621"/>
      <c r="B161" s="622"/>
      <c r="C161" s="623"/>
      <c r="D161" s="623"/>
      <c r="E161" s="624"/>
      <c r="F161" s="625"/>
      <c r="G161" s="626"/>
      <c r="H161" s="627"/>
      <c r="I161" s="634" t="str">
        <f t="shared" si="4"/>
        <v/>
      </c>
    </row>
    <row r="162" spans="1:9" ht="20.100000000000001" customHeight="1">
      <c r="A162" s="621"/>
      <c r="B162" s="622"/>
      <c r="C162" s="623"/>
      <c r="D162" s="623"/>
      <c r="E162" s="624"/>
      <c r="F162" s="625"/>
      <c r="G162" s="626"/>
      <c r="H162" s="627"/>
      <c r="I162" s="634" t="str">
        <f t="shared" si="4"/>
        <v/>
      </c>
    </row>
    <row r="163" spans="1:9" ht="20.100000000000001" customHeight="1">
      <c r="A163" s="621"/>
      <c r="B163" s="622"/>
      <c r="C163" s="623"/>
      <c r="D163" s="623"/>
      <c r="E163" s="624"/>
      <c r="F163" s="625"/>
      <c r="G163" s="626"/>
      <c r="H163" s="627"/>
      <c r="I163" s="634" t="str">
        <f t="shared" si="4"/>
        <v/>
      </c>
    </row>
    <row r="164" spans="1:9" ht="20.100000000000001" customHeight="1">
      <c r="A164" s="621"/>
      <c r="B164" s="622"/>
      <c r="C164" s="623"/>
      <c r="D164" s="623"/>
      <c r="E164" s="624"/>
      <c r="F164" s="625"/>
      <c r="G164" s="626"/>
      <c r="H164" s="627"/>
      <c r="I164" s="634" t="str">
        <f t="shared" si="4"/>
        <v/>
      </c>
    </row>
    <row r="165" spans="1:9" ht="20.100000000000001" customHeight="1">
      <c r="A165" s="621"/>
      <c r="B165" s="622"/>
      <c r="C165" s="623"/>
      <c r="D165" s="623"/>
      <c r="E165" s="624"/>
      <c r="F165" s="625"/>
      <c r="G165" s="626"/>
      <c r="H165" s="627"/>
      <c r="I165" s="634" t="str">
        <f t="shared" si="4"/>
        <v/>
      </c>
    </row>
    <row r="166" spans="1:9" ht="20.100000000000001" customHeight="1">
      <c r="A166" s="621"/>
      <c r="B166" s="622"/>
      <c r="C166" s="623"/>
      <c r="D166" s="623"/>
      <c r="E166" s="624"/>
      <c r="F166" s="625"/>
      <c r="G166" s="626"/>
      <c r="H166" s="627"/>
      <c r="I166" s="634" t="str">
        <f t="shared" si="4"/>
        <v/>
      </c>
    </row>
    <row r="167" spans="1:9" ht="20.100000000000001" customHeight="1">
      <c r="A167" s="621"/>
      <c r="B167" s="622"/>
      <c r="C167" s="623"/>
      <c r="D167" s="623"/>
      <c r="E167" s="624"/>
      <c r="F167" s="625"/>
      <c r="G167" s="626"/>
      <c r="H167" s="627"/>
      <c r="I167" s="634" t="str">
        <f t="shared" si="4"/>
        <v/>
      </c>
    </row>
    <row r="168" spans="1:9" ht="20.100000000000001" customHeight="1">
      <c r="A168" s="621"/>
      <c r="B168" s="622"/>
      <c r="C168" s="623"/>
      <c r="D168" s="623"/>
      <c r="E168" s="624"/>
      <c r="F168" s="625"/>
      <c r="G168" s="626"/>
      <c r="H168" s="627"/>
      <c r="I168" s="634" t="str">
        <f t="shared" si="4"/>
        <v/>
      </c>
    </row>
    <row r="169" spans="1:9" ht="20.100000000000001" customHeight="1">
      <c r="A169" s="621"/>
      <c r="B169" s="622"/>
      <c r="C169" s="623"/>
      <c r="D169" s="623"/>
      <c r="E169" s="624"/>
      <c r="F169" s="625"/>
      <c r="G169" s="626"/>
      <c r="H169" s="627"/>
      <c r="I169" s="634" t="str">
        <f t="shared" si="4"/>
        <v/>
      </c>
    </row>
    <row r="170" spans="1:9" ht="20.100000000000001" customHeight="1">
      <c r="A170" s="621"/>
      <c r="B170" s="622"/>
      <c r="C170" s="623"/>
      <c r="D170" s="623"/>
      <c r="E170" s="624"/>
      <c r="F170" s="625"/>
      <c r="G170" s="626"/>
      <c r="H170" s="627"/>
      <c r="I170" s="634" t="str">
        <f t="shared" si="4"/>
        <v/>
      </c>
    </row>
    <row r="171" spans="1:9" ht="20.100000000000001" customHeight="1">
      <c r="A171" s="621"/>
      <c r="B171" s="622"/>
      <c r="C171" s="623"/>
      <c r="D171" s="623"/>
      <c r="E171" s="624"/>
      <c r="F171" s="625"/>
      <c r="G171" s="626"/>
      <c r="H171" s="627"/>
      <c r="I171" s="634" t="str">
        <f t="shared" si="4"/>
        <v/>
      </c>
    </row>
    <row r="172" spans="1:9" ht="20.100000000000001" customHeight="1">
      <c r="A172" s="621"/>
      <c r="B172" s="622"/>
      <c r="C172" s="623"/>
      <c r="D172" s="623"/>
      <c r="E172" s="624"/>
      <c r="F172" s="625"/>
      <c r="G172" s="626"/>
      <c r="H172" s="627"/>
      <c r="I172" s="634" t="str">
        <f t="shared" si="4"/>
        <v/>
      </c>
    </row>
    <row r="173" spans="1:9" ht="20.100000000000001" customHeight="1">
      <c r="A173" s="621"/>
      <c r="B173" s="622"/>
      <c r="C173" s="623"/>
      <c r="D173" s="623"/>
      <c r="E173" s="624"/>
      <c r="F173" s="625"/>
      <c r="G173" s="626"/>
      <c r="H173" s="627"/>
      <c r="I173" s="634" t="str">
        <f t="shared" si="4"/>
        <v/>
      </c>
    </row>
    <row r="174" spans="1:9" ht="20.100000000000001" customHeight="1">
      <c r="A174" s="621"/>
      <c r="B174" s="622"/>
      <c r="C174" s="623"/>
      <c r="D174" s="623"/>
      <c r="E174" s="624"/>
      <c r="F174" s="625"/>
      <c r="G174" s="626"/>
      <c r="H174" s="627"/>
      <c r="I174" s="634" t="str">
        <f t="shared" si="4"/>
        <v/>
      </c>
    </row>
    <row r="175" spans="1:9" ht="20.100000000000001" customHeight="1">
      <c r="A175" s="621"/>
      <c r="B175" s="622"/>
      <c r="C175" s="623"/>
      <c r="D175" s="623"/>
      <c r="E175" s="624"/>
      <c r="F175" s="625"/>
      <c r="G175" s="626"/>
      <c r="H175" s="627"/>
      <c r="I175" s="634" t="str">
        <f t="shared" si="4"/>
        <v/>
      </c>
    </row>
    <row r="176" spans="1:9" ht="20.100000000000001" customHeight="1">
      <c r="A176" s="621"/>
      <c r="B176" s="622"/>
      <c r="C176" s="623"/>
      <c r="D176" s="623"/>
      <c r="E176" s="624"/>
      <c r="F176" s="625"/>
      <c r="G176" s="626"/>
      <c r="H176" s="627"/>
      <c r="I176" s="634" t="str">
        <f t="shared" si="4"/>
        <v/>
      </c>
    </row>
    <row r="177" spans="1:9" ht="20.100000000000001" customHeight="1">
      <c r="A177" s="621"/>
      <c r="B177" s="622"/>
      <c r="C177" s="623"/>
      <c r="D177" s="623"/>
      <c r="E177" s="624"/>
      <c r="F177" s="625"/>
      <c r="G177" s="626"/>
      <c r="H177" s="627"/>
      <c r="I177" s="634" t="str">
        <f t="shared" si="4"/>
        <v/>
      </c>
    </row>
    <row r="178" spans="1:9" ht="20.100000000000001" customHeight="1">
      <c r="A178" s="621"/>
      <c r="B178" s="622"/>
      <c r="C178" s="623"/>
      <c r="D178" s="623"/>
      <c r="E178" s="624"/>
      <c r="F178" s="625"/>
      <c r="G178" s="626"/>
      <c r="H178" s="627"/>
      <c r="I178" s="634" t="str">
        <f t="shared" si="4"/>
        <v/>
      </c>
    </row>
    <row r="179" spans="1:9" ht="20.100000000000001" customHeight="1">
      <c r="A179" s="621"/>
      <c r="B179" s="622"/>
      <c r="C179" s="623"/>
      <c r="D179" s="623"/>
      <c r="E179" s="624"/>
      <c r="F179" s="625"/>
      <c r="G179" s="626"/>
      <c r="H179" s="627"/>
      <c r="I179" s="634" t="str">
        <f t="shared" si="4"/>
        <v/>
      </c>
    </row>
    <row r="180" spans="1:9" ht="20.100000000000001" customHeight="1">
      <c r="A180" s="621"/>
      <c r="B180" s="622"/>
      <c r="C180" s="623"/>
      <c r="D180" s="623"/>
      <c r="E180" s="624"/>
      <c r="F180" s="625"/>
      <c r="G180" s="626"/>
      <c r="H180" s="627"/>
      <c r="I180" s="634" t="str">
        <f t="shared" si="4"/>
        <v/>
      </c>
    </row>
    <row r="181" spans="1:9" ht="20.100000000000001" customHeight="1">
      <c r="A181" s="621"/>
      <c r="B181" s="622"/>
      <c r="C181" s="623"/>
      <c r="D181" s="623"/>
      <c r="E181" s="624"/>
      <c r="F181" s="625"/>
      <c r="G181" s="626"/>
      <c r="H181" s="627"/>
      <c r="I181" s="634" t="str">
        <f t="shared" si="4"/>
        <v/>
      </c>
    </row>
    <row r="182" spans="1:9" ht="20.100000000000001" customHeight="1">
      <c r="A182" s="621"/>
      <c r="B182" s="622"/>
      <c r="C182" s="623"/>
      <c r="D182" s="623"/>
      <c r="E182" s="624"/>
      <c r="F182" s="625"/>
      <c r="G182" s="626"/>
      <c r="H182" s="627"/>
      <c r="I182" s="634" t="str">
        <f t="shared" si="4"/>
        <v/>
      </c>
    </row>
    <row r="183" spans="1:9" ht="20.100000000000001" customHeight="1">
      <c r="A183" s="621"/>
      <c r="B183" s="622"/>
      <c r="C183" s="623"/>
      <c r="D183" s="623"/>
      <c r="E183" s="624"/>
      <c r="F183" s="625"/>
      <c r="G183" s="626"/>
      <c r="H183" s="627"/>
      <c r="I183" s="634" t="str">
        <f t="shared" si="4"/>
        <v/>
      </c>
    </row>
    <row r="184" spans="1:9" ht="20.100000000000001" customHeight="1">
      <c r="A184" s="621"/>
      <c r="B184" s="622"/>
      <c r="C184" s="623"/>
      <c r="D184" s="623"/>
      <c r="E184" s="624"/>
      <c r="F184" s="625"/>
      <c r="G184" s="626"/>
      <c r="H184" s="627"/>
      <c r="I184" s="634" t="str">
        <f t="shared" si="4"/>
        <v/>
      </c>
    </row>
    <row r="185" spans="1:9" ht="20.100000000000001" customHeight="1">
      <c r="A185" s="621"/>
      <c r="B185" s="622"/>
      <c r="C185" s="623"/>
      <c r="D185" s="623"/>
      <c r="E185" s="624"/>
      <c r="F185" s="625"/>
      <c r="G185" s="626"/>
      <c r="H185" s="627"/>
      <c r="I185" s="634" t="str">
        <f t="shared" si="4"/>
        <v/>
      </c>
    </row>
    <row r="186" spans="1:9" ht="20.100000000000001" customHeight="1">
      <c r="A186" s="621"/>
      <c r="B186" s="622"/>
      <c r="C186" s="623"/>
      <c r="D186" s="623"/>
      <c r="E186" s="624"/>
      <c r="F186" s="625"/>
      <c r="G186" s="626"/>
      <c r="H186" s="627"/>
      <c r="I186" s="634" t="str">
        <f t="shared" si="4"/>
        <v/>
      </c>
    </row>
    <row r="187" spans="1:9" ht="20.100000000000001" customHeight="1">
      <c r="A187" s="621"/>
      <c r="B187" s="622"/>
      <c r="C187" s="623"/>
      <c r="D187" s="623"/>
      <c r="E187" s="624"/>
      <c r="F187" s="625"/>
      <c r="G187" s="626"/>
      <c r="H187" s="627"/>
      <c r="I187" s="634" t="str">
        <f t="shared" si="4"/>
        <v/>
      </c>
    </row>
    <row r="188" spans="1:9" ht="20.100000000000001" customHeight="1">
      <c r="A188" s="621"/>
      <c r="B188" s="622"/>
      <c r="C188" s="623"/>
      <c r="D188" s="623"/>
      <c r="E188" s="624"/>
      <c r="F188" s="625"/>
      <c r="G188" s="626"/>
      <c r="H188" s="627"/>
      <c r="I188" s="634" t="str">
        <f t="shared" si="4"/>
        <v/>
      </c>
    </row>
    <row r="189" spans="1:9" ht="20.100000000000001" customHeight="1">
      <c r="A189" s="621"/>
      <c r="B189" s="622"/>
      <c r="C189" s="623"/>
      <c r="D189" s="623"/>
      <c r="E189" s="624"/>
      <c r="F189" s="625"/>
      <c r="G189" s="626"/>
      <c r="H189" s="627"/>
      <c r="I189" s="634" t="str">
        <f t="shared" si="4"/>
        <v/>
      </c>
    </row>
    <row r="190" spans="1:9" ht="20.100000000000001" customHeight="1">
      <c r="A190" s="621"/>
      <c r="B190" s="622"/>
      <c r="C190" s="623"/>
      <c r="D190" s="623"/>
      <c r="E190" s="624"/>
      <c r="F190" s="625"/>
      <c r="G190" s="626"/>
      <c r="H190" s="627"/>
      <c r="I190" s="634" t="str">
        <f t="shared" si="4"/>
        <v/>
      </c>
    </row>
    <row r="191" spans="1:9" ht="20.100000000000001" customHeight="1">
      <c r="A191" s="621"/>
      <c r="B191" s="622"/>
      <c r="C191" s="623"/>
      <c r="D191" s="623"/>
      <c r="E191" s="624"/>
      <c r="F191" s="625"/>
      <c r="G191" s="626"/>
      <c r="H191" s="627"/>
      <c r="I191" s="634" t="str">
        <f t="shared" si="4"/>
        <v/>
      </c>
    </row>
    <row r="192" spans="1:9" ht="20.100000000000001" customHeight="1">
      <c r="A192" s="621"/>
      <c r="B192" s="622"/>
      <c r="C192" s="623"/>
      <c r="D192" s="623"/>
      <c r="E192" s="624"/>
      <c r="F192" s="625"/>
      <c r="G192" s="626"/>
      <c r="H192" s="627"/>
      <c r="I192" s="634" t="str">
        <f t="shared" si="4"/>
        <v/>
      </c>
    </row>
    <row r="193" spans="1:9" ht="20.100000000000001" customHeight="1">
      <c r="A193" s="621"/>
      <c r="B193" s="622"/>
      <c r="C193" s="623"/>
      <c r="D193" s="623"/>
      <c r="E193" s="624"/>
      <c r="F193" s="625"/>
      <c r="G193" s="626"/>
      <c r="H193" s="627"/>
      <c r="I193" s="634" t="str">
        <f t="shared" si="4"/>
        <v/>
      </c>
    </row>
    <row r="194" spans="1:9" ht="20.100000000000001" customHeight="1">
      <c r="A194" s="621"/>
      <c r="B194" s="622"/>
      <c r="C194" s="623"/>
      <c r="D194" s="623"/>
      <c r="E194" s="624"/>
      <c r="F194" s="625"/>
      <c r="G194" s="626"/>
      <c r="H194" s="627"/>
      <c r="I194" s="634" t="str">
        <f t="shared" si="4"/>
        <v/>
      </c>
    </row>
    <row r="195" spans="1:9" ht="20.100000000000001" customHeight="1">
      <c r="A195" s="621"/>
      <c r="B195" s="622"/>
      <c r="C195" s="623"/>
      <c r="D195" s="623"/>
      <c r="E195" s="624"/>
      <c r="F195" s="625"/>
      <c r="G195" s="626"/>
      <c r="H195" s="627"/>
      <c r="I195" s="634" t="str">
        <f t="shared" si="4"/>
        <v/>
      </c>
    </row>
    <row r="196" spans="1:9" ht="20.100000000000001" customHeight="1">
      <c r="A196" s="621"/>
      <c r="B196" s="622"/>
      <c r="C196" s="623"/>
      <c r="D196" s="623"/>
      <c r="E196" s="624"/>
      <c r="F196" s="625"/>
      <c r="G196" s="626"/>
      <c r="H196" s="627"/>
      <c r="I196" s="634" t="str">
        <f t="shared" si="4"/>
        <v/>
      </c>
    </row>
    <row r="197" spans="1:9" ht="20.100000000000001" customHeight="1">
      <c r="A197" s="621"/>
      <c r="B197" s="622"/>
      <c r="C197" s="623"/>
      <c r="D197" s="623"/>
      <c r="E197" s="624"/>
      <c r="F197" s="625"/>
      <c r="G197" s="626"/>
      <c r="H197" s="627"/>
      <c r="I197" s="634" t="str">
        <f t="shared" ref="I197:I260" si="5">IF(OR(G197&lt;&gt;"",H197&lt;&gt;""),I196+G197-H197,"")</f>
        <v/>
      </c>
    </row>
    <row r="198" spans="1:9" ht="20.100000000000001" customHeight="1">
      <c r="A198" s="621"/>
      <c r="B198" s="622"/>
      <c r="C198" s="623"/>
      <c r="D198" s="623"/>
      <c r="E198" s="624"/>
      <c r="F198" s="625"/>
      <c r="G198" s="626"/>
      <c r="H198" s="627"/>
      <c r="I198" s="634" t="str">
        <f t="shared" si="5"/>
        <v/>
      </c>
    </row>
    <row r="199" spans="1:9" ht="20.100000000000001" customHeight="1">
      <c r="A199" s="621"/>
      <c r="B199" s="622"/>
      <c r="C199" s="623"/>
      <c r="D199" s="623"/>
      <c r="E199" s="624"/>
      <c r="F199" s="625"/>
      <c r="G199" s="626"/>
      <c r="H199" s="627"/>
      <c r="I199" s="634" t="str">
        <f t="shared" si="5"/>
        <v/>
      </c>
    </row>
    <row r="200" spans="1:9" ht="20.100000000000001" customHeight="1">
      <c r="A200" s="621"/>
      <c r="B200" s="622"/>
      <c r="C200" s="623"/>
      <c r="D200" s="623"/>
      <c r="E200" s="624"/>
      <c r="F200" s="625"/>
      <c r="G200" s="626"/>
      <c r="H200" s="627"/>
      <c r="I200" s="634" t="str">
        <f t="shared" si="5"/>
        <v/>
      </c>
    </row>
    <row r="201" spans="1:9" ht="20.100000000000001" customHeight="1">
      <c r="A201" s="621"/>
      <c r="B201" s="622"/>
      <c r="C201" s="623"/>
      <c r="D201" s="623"/>
      <c r="E201" s="624"/>
      <c r="F201" s="625"/>
      <c r="G201" s="626"/>
      <c r="H201" s="627"/>
      <c r="I201" s="634" t="str">
        <f t="shared" si="5"/>
        <v/>
      </c>
    </row>
    <row r="202" spans="1:9" ht="20.100000000000001" customHeight="1">
      <c r="A202" s="621"/>
      <c r="B202" s="622"/>
      <c r="C202" s="623"/>
      <c r="D202" s="623"/>
      <c r="E202" s="624"/>
      <c r="F202" s="625"/>
      <c r="G202" s="626"/>
      <c r="H202" s="627"/>
      <c r="I202" s="634" t="str">
        <f t="shared" si="5"/>
        <v/>
      </c>
    </row>
    <row r="203" spans="1:9" ht="20.100000000000001" customHeight="1">
      <c r="A203" s="621"/>
      <c r="B203" s="622"/>
      <c r="C203" s="623"/>
      <c r="D203" s="623"/>
      <c r="E203" s="624"/>
      <c r="F203" s="625"/>
      <c r="G203" s="626"/>
      <c r="H203" s="627"/>
      <c r="I203" s="634" t="str">
        <f t="shared" si="5"/>
        <v/>
      </c>
    </row>
    <row r="204" spans="1:9" ht="20.100000000000001" customHeight="1">
      <c r="A204" s="621"/>
      <c r="B204" s="622"/>
      <c r="C204" s="623"/>
      <c r="D204" s="623"/>
      <c r="E204" s="624"/>
      <c r="F204" s="625"/>
      <c r="G204" s="626"/>
      <c r="H204" s="627"/>
      <c r="I204" s="634" t="str">
        <f t="shared" si="5"/>
        <v/>
      </c>
    </row>
    <row r="205" spans="1:9" ht="20.100000000000001" customHeight="1">
      <c r="A205" s="621"/>
      <c r="B205" s="622"/>
      <c r="C205" s="623"/>
      <c r="D205" s="623"/>
      <c r="E205" s="624"/>
      <c r="F205" s="625"/>
      <c r="G205" s="626"/>
      <c r="H205" s="627"/>
      <c r="I205" s="634" t="str">
        <f t="shared" si="5"/>
        <v/>
      </c>
    </row>
    <row r="206" spans="1:9" ht="20.100000000000001" customHeight="1">
      <c r="A206" s="621"/>
      <c r="B206" s="622"/>
      <c r="C206" s="623"/>
      <c r="D206" s="623"/>
      <c r="E206" s="624"/>
      <c r="F206" s="625"/>
      <c r="G206" s="626"/>
      <c r="H206" s="627"/>
      <c r="I206" s="634" t="str">
        <f t="shared" si="5"/>
        <v/>
      </c>
    </row>
    <row r="207" spans="1:9" ht="20.100000000000001" customHeight="1">
      <c r="A207" s="621"/>
      <c r="B207" s="622"/>
      <c r="C207" s="623"/>
      <c r="D207" s="623"/>
      <c r="E207" s="624"/>
      <c r="F207" s="625"/>
      <c r="G207" s="626"/>
      <c r="H207" s="627"/>
      <c r="I207" s="634" t="str">
        <f t="shared" si="5"/>
        <v/>
      </c>
    </row>
    <row r="208" spans="1:9" ht="20.100000000000001" customHeight="1">
      <c r="A208" s="621"/>
      <c r="B208" s="622"/>
      <c r="C208" s="623"/>
      <c r="D208" s="623"/>
      <c r="E208" s="624"/>
      <c r="F208" s="625"/>
      <c r="G208" s="626"/>
      <c r="H208" s="627"/>
      <c r="I208" s="634" t="str">
        <f t="shared" si="5"/>
        <v/>
      </c>
    </row>
    <row r="209" spans="1:9" ht="20.100000000000001" customHeight="1">
      <c r="A209" s="621"/>
      <c r="B209" s="622"/>
      <c r="C209" s="623"/>
      <c r="D209" s="623"/>
      <c r="E209" s="624"/>
      <c r="F209" s="625"/>
      <c r="G209" s="626"/>
      <c r="H209" s="627"/>
      <c r="I209" s="634" t="str">
        <f t="shared" si="5"/>
        <v/>
      </c>
    </row>
    <row r="210" spans="1:9" ht="20.100000000000001" customHeight="1">
      <c r="A210" s="621"/>
      <c r="B210" s="622"/>
      <c r="C210" s="623"/>
      <c r="D210" s="623"/>
      <c r="E210" s="624"/>
      <c r="F210" s="625"/>
      <c r="G210" s="626"/>
      <c r="H210" s="627"/>
      <c r="I210" s="634" t="str">
        <f t="shared" si="5"/>
        <v/>
      </c>
    </row>
    <row r="211" spans="1:9" ht="20.100000000000001" customHeight="1">
      <c r="A211" s="621"/>
      <c r="B211" s="622"/>
      <c r="C211" s="623"/>
      <c r="D211" s="623"/>
      <c r="E211" s="624"/>
      <c r="F211" s="625"/>
      <c r="G211" s="626"/>
      <c r="H211" s="627"/>
      <c r="I211" s="634" t="str">
        <f t="shared" si="5"/>
        <v/>
      </c>
    </row>
    <row r="212" spans="1:9" ht="20.100000000000001" customHeight="1">
      <c r="A212" s="621"/>
      <c r="B212" s="622"/>
      <c r="C212" s="623"/>
      <c r="D212" s="623"/>
      <c r="E212" s="624"/>
      <c r="F212" s="625"/>
      <c r="G212" s="626"/>
      <c r="H212" s="627"/>
      <c r="I212" s="634" t="str">
        <f t="shared" si="5"/>
        <v/>
      </c>
    </row>
    <row r="213" spans="1:9" ht="20.100000000000001" customHeight="1">
      <c r="A213" s="621"/>
      <c r="B213" s="622"/>
      <c r="C213" s="623"/>
      <c r="D213" s="623"/>
      <c r="E213" s="624"/>
      <c r="F213" s="625"/>
      <c r="G213" s="626"/>
      <c r="H213" s="627"/>
      <c r="I213" s="634" t="str">
        <f t="shared" si="5"/>
        <v/>
      </c>
    </row>
    <row r="214" spans="1:9" ht="20.100000000000001" customHeight="1">
      <c r="A214" s="621"/>
      <c r="B214" s="622"/>
      <c r="C214" s="623"/>
      <c r="D214" s="623"/>
      <c r="E214" s="624"/>
      <c r="F214" s="625"/>
      <c r="G214" s="626"/>
      <c r="H214" s="627"/>
      <c r="I214" s="634" t="str">
        <f t="shared" si="5"/>
        <v/>
      </c>
    </row>
    <row r="215" spans="1:9" ht="20.100000000000001" customHeight="1">
      <c r="A215" s="621"/>
      <c r="B215" s="622"/>
      <c r="C215" s="623"/>
      <c r="D215" s="623"/>
      <c r="E215" s="624"/>
      <c r="F215" s="625"/>
      <c r="G215" s="626"/>
      <c r="H215" s="627"/>
      <c r="I215" s="634" t="str">
        <f t="shared" si="5"/>
        <v/>
      </c>
    </row>
    <row r="216" spans="1:9" ht="20.100000000000001" customHeight="1">
      <c r="A216" s="621"/>
      <c r="B216" s="622"/>
      <c r="C216" s="623"/>
      <c r="D216" s="623"/>
      <c r="E216" s="624"/>
      <c r="F216" s="625"/>
      <c r="G216" s="626"/>
      <c r="H216" s="627"/>
      <c r="I216" s="634" t="str">
        <f t="shared" si="5"/>
        <v/>
      </c>
    </row>
    <row r="217" spans="1:9" ht="20.100000000000001" customHeight="1">
      <c r="A217" s="621"/>
      <c r="B217" s="622"/>
      <c r="C217" s="623"/>
      <c r="D217" s="623"/>
      <c r="E217" s="624"/>
      <c r="F217" s="625"/>
      <c r="G217" s="626"/>
      <c r="H217" s="627"/>
      <c r="I217" s="634" t="str">
        <f t="shared" si="5"/>
        <v/>
      </c>
    </row>
    <row r="218" spans="1:9" ht="20.100000000000001" customHeight="1">
      <c r="A218" s="621"/>
      <c r="B218" s="622"/>
      <c r="C218" s="623"/>
      <c r="D218" s="623"/>
      <c r="E218" s="624"/>
      <c r="F218" s="625"/>
      <c r="G218" s="626"/>
      <c r="H218" s="627"/>
      <c r="I218" s="634" t="str">
        <f t="shared" si="5"/>
        <v/>
      </c>
    </row>
    <row r="219" spans="1:9" ht="20.100000000000001" customHeight="1">
      <c r="A219" s="621"/>
      <c r="B219" s="622"/>
      <c r="C219" s="623"/>
      <c r="D219" s="623"/>
      <c r="E219" s="624"/>
      <c r="F219" s="625"/>
      <c r="G219" s="626"/>
      <c r="H219" s="627"/>
      <c r="I219" s="634" t="str">
        <f t="shared" si="5"/>
        <v/>
      </c>
    </row>
    <row r="220" spans="1:9" ht="20.100000000000001" customHeight="1">
      <c r="A220" s="621"/>
      <c r="B220" s="622"/>
      <c r="C220" s="623"/>
      <c r="D220" s="623"/>
      <c r="E220" s="624"/>
      <c r="F220" s="625"/>
      <c r="G220" s="626"/>
      <c r="H220" s="627"/>
      <c r="I220" s="634" t="str">
        <f t="shared" si="5"/>
        <v/>
      </c>
    </row>
    <row r="221" spans="1:9" ht="20.100000000000001" customHeight="1">
      <c r="A221" s="621"/>
      <c r="B221" s="622"/>
      <c r="C221" s="623"/>
      <c r="D221" s="623"/>
      <c r="E221" s="624"/>
      <c r="F221" s="625"/>
      <c r="G221" s="626"/>
      <c r="H221" s="627"/>
      <c r="I221" s="634" t="str">
        <f t="shared" si="5"/>
        <v/>
      </c>
    </row>
    <row r="222" spans="1:9" ht="20.100000000000001" customHeight="1">
      <c r="A222" s="621"/>
      <c r="B222" s="622"/>
      <c r="C222" s="623"/>
      <c r="D222" s="623"/>
      <c r="E222" s="624"/>
      <c r="F222" s="625"/>
      <c r="G222" s="626"/>
      <c r="H222" s="627"/>
      <c r="I222" s="634" t="str">
        <f t="shared" si="5"/>
        <v/>
      </c>
    </row>
    <row r="223" spans="1:9" ht="20.100000000000001" customHeight="1">
      <c r="A223" s="621"/>
      <c r="B223" s="622"/>
      <c r="C223" s="623"/>
      <c r="D223" s="623"/>
      <c r="E223" s="624"/>
      <c r="F223" s="625"/>
      <c r="G223" s="626"/>
      <c r="H223" s="627"/>
      <c r="I223" s="634" t="str">
        <f t="shared" si="5"/>
        <v/>
      </c>
    </row>
    <row r="224" spans="1:9" ht="20.100000000000001" customHeight="1">
      <c r="A224" s="621"/>
      <c r="B224" s="622"/>
      <c r="C224" s="623"/>
      <c r="D224" s="623"/>
      <c r="E224" s="624"/>
      <c r="F224" s="625"/>
      <c r="G224" s="626"/>
      <c r="H224" s="627"/>
      <c r="I224" s="634" t="str">
        <f t="shared" si="5"/>
        <v/>
      </c>
    </row>
    <row r="225" spans="1:9" ht="20.100000000000001" customHeight="1">
      <c r="A225" s="621"/>
      <c r="B225" s="622"/>
      <c r="C225" s="623"/>
      <c r="D225" s="623"/>
      <c r="E225" s="624"/>
      <c r="F225" s="625"/>
      <c r="G225" s="626"/>
      <c r="H225" s="627"/>
      <c r="I225" s="634" t="str">
        <f t="shared" si="5"/>
        <v/>
      </c>
    </row>
    <row r="226" spans="1:9" ht="20.100000000000001" customHeight="1">
      <c r="A226" s="621"/>
      <c r="B226" s="622"/>
      <c r="C226" s="623"/>
      <c r="D226" s="623"/>
      <c r="E226" s="624"/>
      <c r="F226" s="625"/>
      <c r="G226" s="626"/>
      <c r="H226" s="627"/>
      <c r="I226" s="634" t="str">
        <f t="shared" si="5"/>
        <v/>
      </c>
    </row>
    <row r="227" spans="1:9" ht="20.100000000000001" customHeight="1">
      <c r="A227" s="621"/>
      <c r="B227" s="622"/>
      <c r="C227" s="623"/>
      <c r="D227" s="623"/>
      <c r="E227" s="624"/>
      <c r="F227" s="625"/>
      <c r="G227" s="626"/>
      <c r="H227" s="627"/>
      <c r="I227" s="634" t="str">
        <f t="shared" si="5"/>
        <v/>
      </c>
    </row>
    <row r="228" spans="1:9" ht="20.100000000000001" customHeight="1">
      <c r="A228" s="621"/>
      <c r="B228" s="622"/>
      <c r="C228" s="623"/>
      <c r="D228" s="623"/>
      <c r="E228" s="624"/>
      <c r="F228" s="625"/>
      <c r="G228" s="626"/>
      <c r="H228" s="627"/>
      <c r="I228" s="634" t="str">
        <f t="shared" si="5"/>
        <v/>
      </c>
    </row>
    <row r="229" spans="1:9" ht="20.100000000000001" customHeight="1">
      <c r="A229" s="621"/>
      <c r="B229" s="622"/>
      <c r="C229" s="623"/>
      <c r="D229" s="623"/>
      <c r="E229" s="624"/>
      <c r="F229" s="625"/>
      <c r="G229" s="626"/>
      <c r="H229" s="627"/>
      <c r="I229" s="634" t="str">
        <f t="shared" si="5"/>
        <v/>
      </c>
    </row>
    <row r="230" spans="1:9" ht="20.100000000000001" customHeight="1">
      <c r="A230" s="621"/>
      <c r="B230" s="622"/>
      <c r="C230" s="623"/>
      <c r="D230" s="623"/>
      <c r="E230" s="624"/>
      <c r="F230" s="625"/>
      <c r="G230" s="626"/>
      <c r="H230" s="627"/>
      <c r="I230" s="634" t="str">
        <f t="shared" si="5"/>
        <v/>
      </c>
    </row>
    <row r="231" spans="1:9" ht="20.100000000000001" customHeight="1">
      <c r="A231" s="621"/>
      <c r="B231" s="622"/>
      <c r="C231" s="623"/>
      <c r="D231" s="623"/>
      <c r="E231" s="624"/>
      <c r="F231" s="625"/>
      <c r="G231" s="626"/>
      <c r="H231" s="627"/>
      <c r="I231" s="634" t="str">
        <f t="shared" si="5"/>
        <v/>
      </c>
    </row>
    <row r="232" spans="1:9" ht="20.100000000000001" customHeight="1">
      <c r="A232" s="621"/>
      <c r="B232" s="622"/>
      <c r="C232" s="623"/>
      <c r="D232" s="623"/>
      <c r="E232" s="624"/>
      <c r="F232" s="625"/>
      <c r="G232" s="626"/>
      <c r="H232" s="627"/>
      <c r="I232" s="634" t="str">
        <f t="shared" si="5"/>
        <v/>
      </c>
    </row>
    <row r="233" spans="1:9" ht="20.100000000000001" customHeight="1">
      <c r="A233" s="621"/>
      <c r="B233" s="622"/>
      <c r="C233" s="623"/>
      <c r="D233" s="623"/>
      <c r="E233" s="624"/>
      <c r="F233" s="625"/>
      <c r="G233" s="626"/>
      <c r="H233" s="627"/>
      <c r="I233" s="634" t="str">
        <f t="shared" si="5"/>
        <v/>
      </c>
    </row>
    <row r="234" spans="1:9" ht="20.100000000000001" customHeight="1">
      <c r="A234" s="621"/>
      <c r="B234" s="622"/>
      <c r="C234" s="623"/>
      <c r="D234" s="623"/>
      <c r="E234" s="624"/>
      <c r="F234" s="625"/>
      <c r="G234" s="626"/>
      <c r="H234" s="627"/>
      <c r="I234" s="634" t="str">
        <f t="shared" si="5"/>
        <v/>
      </c>
    </row>
    <row r="235" spans="1:9" ht="20.100000000000001" customHeight="1">
      <c r="A235" s="621"/>
      <c r="B235" s="622"/>
      <c r="C235" s="623"/>
      <c r="D235" s="623"/>
      <c r="E235" s="624"/>
      <c r="F235" s="625"/>
      <c r="G235" s="626"/>
      <c r="H235" s="627"/>
      <c r="I235" s="634" t="str">
        <f t="shared" si="5"/>
        <v/>
      </c>
    </row>
    <row r="236" spans="1:9" ht="20.100000000000001" customHeight="1">
      <c r="A236" s="621"/>
      <c r="B236" s="622"/>
      <c r="C236" s="623"/>
      <c r="D236" s="623"/>
      <c r="E236" s="624"/>
      <c r="F236" s="625"/>
      <c r="G236" s="626"/>
      <c r="H236" s="627"/>
      <c r="I236" s="634" t="str">
        <f t="shared" si="5"/>
        <v/>
      </c>
    </row>
    <row r="237" spans="1:9" ht="20.100000000000001" customHeight="1">
      <c r="A237" s="621"/>
      <c r="B237" s="622"/>
      <c r="C237" s="623"/>
      <c r="D237" s="623"/>
      <c r="E237" s="624"/>
      <c r="F237" s="625"/>
      <c r="G237" s="626"/>
      <c r="H237" s="627"/>
      <c r="I237" s="634" t="str">
        <f t="shared" si="5"/>
        <v/>
      </c>
    </row>
    <row r="238" spans="1:9" ht="20.100000000000001" customHeight="1">
      <c r="A238" s="621"/>
      <c r="B238" s="622"/>
      <c r="C238" s="623"/>
      <c r="D238" s="623"/>
      <c r="E238" s="624"/>
      <c r="F238" s="625"/>
      <c r="G238" s="626"/>
      <c r="H238" s="627"/>
      <c r="I238" s="634" t="str">
        <f t="shared" si="5"/>
        <v/>
      </c>
    </row>
    <row r="239" spans="1:9" ht="20.100000000000001" customHeight="1">
      <c r="A239" s="621"/>
      <c r="B239" s="622"/>
      <c r="C239" s="623"/>
      <c r="D239" s="623"/>
      <c r="E239" s="624"/>
      <c r="F239" s="625"/>
      <c r="G239" s="626"/>
      <c r="H239" s="627"/>
      <c r="I239" s="634" t="str">
        <f t="shared" si="5"/>
        <v/>
      </c>
    </row>
    <row r="240" spans="1:9" ht="20.100000000000001" customHeight="1">
      <c r="A240" s="621"/>
      <c r="B240" s="622"/>
      <c r="C240" s="623"/>
      <c r="D240" s="623"/>
      <c r="E240" s="624"/>
      <c r="F240" s="625"/>
      <c r="G240" s="626"/>
      <c r="H240" s="627"/>
      <c r="I240" s="634" t="str">
        <f t="shared" si="5"/>
        <v/>
      </c>
    </row>
    <row r="241" spans="1:9" ht="20.100000000000001" customHeight="1">
      <c r="A241" s="621"/>
      <c r="B241" s="622"/>
      <c r="C241" s="623"/>
      <c r="D241" s="623"/>
      <c r="E241" s="624"/>
      <c r="F241" s="625"/>
      <c r="G241" s="626"/>
      <c r="H241" s="627"/>
      <c r="I241" s="634" t="str">
        <f t="shared" si="5"/>
        <v/>
      </c>
    </row>
    <row r="242" spans="1:9" ht="20.100000000000001" customHeight="1">
      <c r="A242" s="621"/>
      <c r="B242" s="622"/>
      <c r="C242" s="623"/>
      <c r="D242" s="623"/>
      <c r="E242" s="624"/>
      <c r="F242" s="625"/>
      <c r="G242" s="626"/>
      <c r="H242" s="627"/>
      <c r="I242" s="634" t="str">
        <f t="shared" si="5"/>
        <v/>
      </c>
    </row>
    <row r="243" spans="1:9" ht="20.100000000000001" customHeight="1">
      <c r="A243" s="621"/>
      <c r="B243" s="622"/>
      <c r="C243" s="623"/>
      <c r="D243" s="623"/>
      <c r="E243" s="624"/>
      <c r="F243" s="625"/>
      <c r="G243" s="626"/>
      <c r="H243" s="627"/>
      <c r="I243" s="634" t="str">
        <f t="shared" si="5"/>
        <v/>
      </c>
    </row>
    <row r="244" spans="1:9" ht="20.100000000000001" customHeight="1">
      <c r="A244" s="621"/>
      <c r="B244" s="622"/>
      <c r="C244" s="623"/>
      <c r="D244" s="623"/>
      <c r="E244" s="624"/>
      <c r="F244" s="625"/>
      <c r="G244" s="626"/>
      <c r="H244" s="627"/>
      <c r="I244" s="634" t="str">
        <f t="shared" si="5"/>
        <v/>
      </c>
    </row>
    <row r="245" spans="1:9" ht="20.100000000000001" customHeight="1">
      <c r="A245" s="621"/>
      <c r="B245" s="622"/>
      <c r="C245" s="623"/>
      <c r="D245" s="623"/>
      <c r="E245" s="624"/>
      <c r="F245" s="625"/>
      <c r="G245" s="626"/>
      <c r="H245" s="627"/>
      <c r="I245" s="634" t="str">
        <f t="shared" si="5"/>
        <v/>
      </c>
    </row>
    <row r="246" spans="1:9" ht="20.100000000000001" customHeight="1">
      <c r="A246" s="621"/>
      <c r="B246" s="622"/>
      <c r="C246" s="623"/>
      <c r="D246" s="623"/>
      <c r="E246" s="624"/>
      <c r="F246" s="625"/>
      <c r="G246" s="626"/>
      <c r="H246" s="627"/>
      <c r="I246" s="634" t="str">
        <f t="shared" si="5"/>
        <v/>
      </c>
    </row>
    <row r="247" spans="1:9" ht="20.100000000000001" customHeight="1">
      <c r="A247" s="621"/>
      <c r="B247" s="622"/>
      <c r="C247" s="623"/>
      <c r="D247" s="623"/>
      <c r="E247" s="624"/>
      <c r="F247" s="625"/>
      <c r="G247" s="626"/>
      <c r="H247" s="627"/>
      <c r="I247" s="634" t="str">
        <f t="shared" si="5"/>
        <v/>
      </c>
    </row>
    <row r="248" spans="1:9" ht="20.100000000000001" customHeight="1">
      <c r="A248" s="621"/>
      <c r="B248" s="622"/>
      <c r="C248" s="623"/>
      <c r="D248" s="623"/>
      <c r="E248" s="624"/>
      <c r="F248" s="625"/>
      <c r="G248" s="626"/>
      <c r="H248" s="627"/>
      <c r="I248" s="634" t="str">
        <f t="shared" si="5"/>
        <v/>
      </c>
    </row>
    <row r="249" spans="1:9" ht="20.100000000000001" customHeight="1">
      <c r="A249" s="621"/>
      <c r="B249" s="622"/>
      <c r="C249" s="623"/>
      <c r="D249" s="623"/>
      <c r="E249" s="624"/>
      <c r="F249" s="625"/>
      <c r="G249" s="626"/>
      <c r="H249" s="627"/>
      <c r="I249" s="634" t="str">
        <f t="shared" si="5"/>
        <v/>
      </c>
    </row>
    <row r="250" spans="1:9" ht="20.100000000000001" customHeight="1">
      <c r="A250" s="621"/>
      <c r="B250" s="622"/>
      <c r="C250" s="623"/>
      <c r="D250" s="623"/>
      <c r="E250" s="624"/>
      <c r="F250" s="625"/>
      <c r="G250" s="626"/>
      <c r="H250" s="627"/>
      <c r="I250" s="634" t="str">
        <f t="shared" si="5"/>
        <v/>
      </c>
    </row>
    <row r="251" spans="1:9" ht="20.100000000000001" customHeight="1">
      <c r="A251" s="621"/>
      <c r="B251" s="622"/>
      <c r="C251" s="623"/>
      <c r="D251" s="623"/>
      <c r="E251" s="624"/>
      <c r="F251" s="625"/>
      <c r="G251" s="626"/>
      <c r="H251" s="627"/>
      <c r="I251" s="634" t="str">
        <f t="shared" si="5"/>
        <v/>
      </c>
    </row>
    <row r="252" spans="1:9" ht="20.100000000000001" customHeight="1">
      <c r="A252" s="621"/>
      <c r="B252" s="622"/>
      <c r="C252" s="623"/>
      <c r="D252" s="623"/>
      <c r="E252" s="624"/>
      <c r="F252" s="625"/>
      <c r="G252" s="626"/>
      <c r="H252" s="627"/>
      <c r="I252" s="634" t="str">
        <f t="shared" si="5"/>
        <v/>
      </c>
    </row>
    <row r="253" spans="1:9" ht="20.100000000000001" customHeight="1">
      <c r="A253" s="621"/>
      <c r="B253" s="622"/>
      <c r="C253" s="623"/>
      <c r="D253" s="623"/>
      <c r="E253" s="624"/>
      <c r="F253" s="625"/>
      <c r="G253" s="626"/>
      <c r="H253" s="627"/>
      <c r="I253" s="634" t="str">
        <f t="shared" si="5"/>
        <v/>
      </c>
    </row>
    <row r="254" spans="1:9" ht="20.100000000000001" customHeight="1">
      <c r="A254" s="621"/>
      <c r="B254" s="622"/>
      <c r="C254" s="623"/>
      <c r="D254" s="623"/>
      <c r="E254" s="624"/>
      <c r="F254" s="625"/>
      <c r="G254" s="626"/>
      <c r="H254" s="627"/>
      <c r="I254" s="634" t="str">
        <f t="shared" si="5"/>
        <v/>
      </c>
    </row>
    <row r="255" spans="1:9" ht="20.100000000000001" customHeight="1">
      <c r="A255" s="621"/>
      <c r="B255" s="622"/>
      <c r="C255" s="623"/>
      <c r="D255" s="623"/>
      <c r="E255" s="624"/>
      <c r="F255" s="625"/>
      <c r="G255" s="626"/>
      <c r="H255" s="627"/>
      <c r="I255" s="634" t="str">
        <f t="shared" si="5"/>
        <v/>
      </c>
    </row>
    <row r="256" spans="1:9" ht="20.100000000000001" customHeight="1">
      <c r="A256" s="621"/>
      <c r="B256" s="622"/>
      <c r="C256" s="623"/>
      <c r="D256" s="623"/>
      <c r="E256" s="624"/>
      <c r="F256" s="625"/>
      <c r="G256" s="626"/>
      <c r="H256" s="627"/>
      <c r="I256" s="634" t="str">
        <f t="shared" si="5"/>
        <v/>
      </c>
    </row>
    <row r="257" spans="1:9" ht="20.100000000000001" customHeight="1">
      <c r="A257" s="621"/>
      <c r="B257" s="622"/>
      <c r="C257" s="623"/>
      <c r="D257" s="623"/>
      <c r="E257" s="624"/>
      <c r="F257" s="625"/>
      <c r="G257" s="626"/>
      <c r="H257" s="627"/>
      <c r="I257" s="634" t="str">
        <f t="shared" si="5"/>
        <v/>
      </c>
    </row>
    <row r="258" spans="1:9" ht="20.100000000000001" customHeight="1">
      <c r="A258" s="621"/>
      <c r="B258" s="622"/>
      <c r="C258" s="623"/>
      <c r="D258" s="623"/>
      <c r="E258" s="624"/>
      <c r="F258" s="625"/>
      <c r="G258" s="626"/>
      <c r="H258" s="627"/>
      <c r="I258" s="634" t="str">
        <f t="shared" si="5"/>
        <v/>
      </c>
    </row>
    <row r="259" spans="1:9" ht="20.100000000000001" customHeight="1">
      <c r="A259" s="621"/>
      <c r="B259" s="622"/>
      <c r="C259" s="623"/>
      <c r="D259" s="623"/>
      <c r="E259" s="624"/>
      <c r="F259" s="625"/>
      <c r="G259" s="626"/>
      <c r="H259" s="627"/>
      <c r="I259" s="634" t="str">
        <f t="shared" si="5"/>
        <v/>
      </c>
    </row>
    <row r="260" spans="1:9" ht="20.100000000000001" customHeight="1">
      <c r="A260" s="621"/>
      <c r="B260" s="622"/>
      <c r="C260" s="623"/>
      <c r="D260" s="623"/>
      <c r="E260" s="624"/>
      <c r="F260" s="625"/>
      <c r="G260" s="626"/>
      <c r="H260" s="627"/>
      <c r="I260" s="634" t="str">
        <f t="shared" si="5"/>
        <v/>
      </c>
    </row>
    <row r="261" spans="1:9" ht="20.100000000000001" customHeight="1">
      <c r="A261" s="621"/>
      <c r="B261" s="622"/>
      <c r="C261" s="623"/>
      <c r="D261" s="623"/>
      <c r="E261" s="624"/>
      <c r="F261" s="625"/>
      <c r="G261" s="626"/>
      <c r="H261" s="627"/>
      <c r="I261" s="634" t="str">
        <f t="shared" ref="I261:I303" si="6">IF(OR(G261&lt;&gt;"",H261&lt;&gt;""),I260+G261-H261,"")</f>
        <v/>
      </c>
    </row>
    <row r="262" spans="1:9" ht="20.100000000000001" customHeight="1">
      <c r="A262" s="621"/>
      <c r="B262" s="622"/>
      <c r="C262" s="623"/>
      <c r="D262" s="623"/>
      <c r="E262" s="624"/>
      <c r="F262" s="625"/>
      <c r="G262" s="626"/>
      <c r="H262" s="627"/>
      <c r="I262" s="634" t="str">
        <f t="shared" si="6"/>
        <v/>
      </c>
    </row>
    <row r="263" spans="1:9" ht="20.100000000000001" customHeight="1">
      <c r="A263" s="621"/>
      <c r="B263" s="622"/>
      <c r="C263" s="623"/>
      <c r="D263" s="623"/>
      <c r="E263" s="624"/>
      <c r="F263" s="625"/>
      <c r="G263" s="626"/>
      <c r="H263" s="627"/>
      <c r="I263" s="634" t="str">
        <f t="shared" si="6"/>
        <v/>
      </c>
    </row>
    <row r="264" spans="1:9" ht="20.100000000000001" customHeight="1">
      <c r="A264" s="621"/>
      <c r="B264" s="622"/>
      <c r="C264" s="623"/>
      <c r="D264" s="623"/>
      <c r="E264" s="624"/>
      <c r="F264" s="625"/>
      <c r="G264" s="626"/>
      <c r="H264" s="627"/>
      <c r="I264" s="634" t="str">
        <f t="shared" si="6"/>
        <v/>
      </c>
    </row>
    <row r="265" spans="1:9" ht="20.100000000000001" customHeight="1">
      <c r="A265" s="621"/>
      <c r="B265" s="622"/>
      <c r="C265" s="623"/>
      <c r="D265" s="623"/>
      <c r="E265" s="624"/>
      <c r="F265" s="625"/>
      <c r="G265" s="626"/>
      <c r="H265" s="627"/>
      <c r="I265" s="634" t="str">
        <f t="shared" si="6"/>
        <v/>
      </c>
    </row>
    <row r="266" spans="1:9" ht="20.100000000000001" customHeight="1">
      <c r="A266" s="621"/>
      <c r="B266" s="622"/>
      <c r="C266" s="623"/>
      <c r="D266" s="623"/>
      <c r="E266" s="624"/>
      <c r="F266" s="625"/>
      <c r="G266" s="626"/>
      <c r="H266" s="627"/>
      <c r="I266" s="634" t="str">
        <f t="shared" si="6"/>
        <v/>
      </c>
    </row>
    <row r="267" spans="1:9" ht="20.100000000000001" customHeight="1">
      <c r="A267" s="621"/>
      <c r="B267" s="622"/>
      <c r="C267" s="623"/>
      <c r="D267" s="623"/>
      <c r="E267" s="624"/>
      <c r="F267" s="625"/>
      <c r="G267" s="626"/>
      <c r="H267" s="627"/>
      <c r="I267" s="634" t="str">
        <f t="shared" si="6"/>
        <v/>
      </c>
    </row>
    <row r="268" spans="1:9" ht="20.100000000000001" customHeight="1">
      <c r="A268" s="621"/>
      <c r="B268" s="622"/>
      <c r="C268" s="623"/>
      <c r="D268" s="623"/>
      <c r="E268" s="624"/>
      <c r="F268" s="625"/>
      <c r="G268" s="626"/>
      <c r="H268" s="627"/>
      <c r="I268" s="634" t="str">
        <f t="shared" si="6"/>
        <v/>
      </c>
    </row>
    <row r="269" spans="1:9" ht="20.100000000000001" customHeight="1">
      <c r="A269" s="621"/>
      <c r="B269" s="622"/>
      <c r="C269" s="623"/>
      <c r="D269" s="623"/>
      <c r="E269" s="624"/>
      <c r="F269" s="625"/>
      <c r="G269" s="626"/>
      <c r="H269" s="627"/>
      <c r="I269" s="634" t="str">
        <f t="shared" si="6"/>
        <v/>
      </c>
    </row>
    <row r="270" spans="1:9" ht="20.100000000000001" customHeight="1">
      <c r="A270" s="621"/>
      <c r="B270" s="622"/>
      <c r="C270" s="623"/>
      <c r="D270" s="623"/>
      <c r="E270" s="624"/>
      <c r="F270" s="625"/>
      <c r="G270" s="626"/>
      <c r="H270" s="627"/>
      <c r="I270" s="634" t="str">
        <f t="shared" si="6"/>
        <v/>
      </c>
    </row>
    <row r="271" spans="1:9" ht="20.100000000000001" customHeight="1">
      <c r="A271" s="621"/>
      <c r="B271" s="622"/>
      <c r="C271" s="623"/>
      <c r="D271" s="623"/>
      <c r="E271" s="624"/>
      <c r="F271" s="625"/>
      <c r="G271" s="626"/>
      <c r="H271" s="627"/>
      <c r="I271" s="634" t="str">
        <f t="shared" si="6"/>
        <v/>
      </c>
    </row>
    <row r="272" spans="1:9" ht="20.100000000000001" customHeight="1">
      <c r="A272" s="621"/>
      <c r="B272" s="622"/>
      <c r="C272" s="623"/>
      <c r="D272" s="623"/>
      <c r="E272" s="624"/>
      <c r="F272" s="625"/>
      <c r="G272" s="626"/>
      <c r="H272" s="627"/>
      <c r="I272" s="634" t="str">
        <f t="shared" si="6"/>
        <v/>
      </c>
    </row>
    <row r="273" spans="1:9" ht="20.100000000000001" customHeight="1">
      <c r="A273" s="621"/>
      <c r="B273" s="622"/>
      <c r="C273" s="623"/>
      <c r="D273" s="623"/>
      <c r="E273" s="624"/>
      <c r="F273" s="625"/>
      <c r="G273" s="626"/>
      <c r="H273" s="627"/>
      <c r="I273" s="634" t="str">
        <f t="shared" si="6"/>
        <v/>
      </c>
    </row>
    <row r="274" spans="1:9" ht="20.100000000000001" customHeight="1">
      <c r="A274" s="621"/>
      <c r="B274" s="622"/>
      <c r="C274" s="623"/>
      <c r="D274" s="623"/>
      <c r="E274" s="624"/>
      <c r="F274" s="625"/>
      <c r="G274" s="626"/>
      <c r="H274" s="627"/>
      <c r="I274" s="634" t="str">
        <f t="shared" si="6"/>
        <v/>
      </c>
    </row>
    <row r="275" spans="1:9" ht="20.100000000000001" customHeight="1">
      <c r="A275" s="621"/>
      <c r="B275" s="622"/>
      <c r="C275" s="623"/>
      <c r="D275" s="623"/>
      <c r="E275" s="624"/>
      <c r="F275" s="625"/>
      <c r="G275" s="626"/>
      <c r="H275" s="627"/>
      <c r="I275" s="634" t="str">
        <f t="shared" si="6"/>
        <v/>
      </c>
    </row>
    <row r="276" spans="1:9" ht="20.100000000000001" customHeight="1">
      <c r="A276" s="621"/>
      <c r="B276" s="622"/>
      <c r="C276" s="623"/>
      <c r="D276" s="623"/>
      <c r="E276" s="624"/>
      <c r="F276" s="625"/>
      <c r="G276" s="626"/>
      <c r="H276" s="627"/>
      <c r="I276" s="634" t="str">
        <f t="shared" si="6"/>
        <v/>
      </c>
    </row>
    <row r="277" spans="1:9" ht="20.100000000000001" customHeight="1">
      <c r="A277" s="621"/>
      <c r="B277" s="622"/>
      <c r="C277" s="623"/>
      <c r="D277" s="623"/>
      <c r="E277" s="624"/>
      <c r="F277" s="625"/>
      <c r="G277" s="626"/>
      <c r="H277" s="627"/>
      <c r="I277" s="634" t="str">
        <f t="shared" si="6"/>
        <v/>
      </c>
    </row>
    <row r="278" spans="1:9" ht="20.100000000000001" customHeight="1">
      <c r="A278" s="621"/>
      <c r="B278" s="622"/>
      <c r="C278" s="623"/>
      <c r="D278" s="623"/>
      <c r="E278" s="624"/>
      <c r="F278" s="625"/>
      <c r="G278" s="626"/>
      <c r="H278" s="627"/>
      <c r="I278" s="634" t="str">
        <f t="shared" si="6"/>
        <v/>
      </c>
    </row>
    <row r="279" spans="1:9" ht="20.100000000000001" customHeight="1">
      <c r="A279" s="621"/>
      <c r="B279" s="622"/>
      <c r="C279" s="623"/>
      <c r="D279" s="623"/>
      <c r="E279" s="624"/>
      <c r="F279" s="625"/>
      <c r="G279" s="626"/>
      <c r="H279" s="627"/>
      <c r="I279" s="634" t="str">
        <f t="shared" si="6"/>
        <v/>
      </c>
    </row>
    <row r="280" spans="1:9" ht="20.100000000000001" customHeight="1">
      <c r="A280" s="621"/>
      <c r="B280" s="622"/>
      <c r="C280" s="623"/>
      <c r="D280" s="623"/>
      <c r="E280" s="624"/>
      <c r="F280" s="625"/>
      <c r="G280" s="626"/>
      <c r="H280" s="627"/>
      <c r="I280" s="634" t="str">
        <f t="shared" si="6"/>
        <v/>
      </c>
    </row>
    <row r="281" spans="1:9" ht="20.100000000000001" customHeight="1">
      <c r="A281" s="621"/>
      <c r="B281" s="622"/>
      <c r="C281" s="623"/>
      <c r="D281" s="623"/>
      <c r="E281" s="624"/>
      <c r="F281" s="625"/>
      <c r="G281" s="626"/>
      <c r="H281" s="627"/>
      <c r="I281" s="634" t="str">
        <f t="shared" si="6"/>
        <v/>
      </c>
    </row>
    <row r="282" spans="1:9" ht="20.100000000000001" customHeight="1">
      <c r="A282" s="621"/>
      <c r="B282" s="622"/>
      <c r="C282" s="623"/>
      <c r="D282" s="623"/>
      <c r="E282" s="624"/>
      <c r="F282" s="625"/>
      <c r="G282" s="626"/>
      <c r="H282" s="627"/>
      <c r="I282" s="634" t="str">
        <f t="shared" si="6"/>
        <v/>
      </c>
    </row>
    <row r="283" spans="1:9" ht="20.100000000000001" customHeight="1">
      <c r="A283" s="621"/>
      <c r="B283" s="622"/>
      <c r="C283" s="623"/>
      <c r="D283" s="623"/>
      <c r="E283" s="624"/>
      <c r="F283" s="625"/>
      <c r="G283" s="626"/>
      <c r="H283" s="627"/>
      <c r="I283" s="634" t="str">
        <f t="shared" si="6"/>
        <v/>
      </c>
    </row>
    <row r="284" spans="1:9" ht="20.100000000000001" customHeight="1">
      <c r="A284" s="621"/>
      <c r="B284" s="622"/>
      <c r="C284" s="623"/>
      <c r="D284" s="623"/>
      <c r="E284" s="624"/>
      <c r="F284" s="625"/>
      <c r="G284" s="626"/>
      <c r="H284" s="627"/>
      <c r="I284" s="634" t="str">
        <f t="shared" si="6"/>
        <v/>
      </c>
    </row>
    <row r="285" spans="1:9" ht="20.100000000000001" customHeight="1">
      <c r="A285" s="621"/>
      <c r="B285" s="622"/>
      <c r="C285" s="623"/>
      <c r="D285" s="623"/>
      <c r="E285" s="624"/>
      <c r="F285" s="625"/>
      <c r="G285" s="626"/>
      <c r="H285" s="627"/>
      <c r="I285" s="634" t="str">
        <f t="shared" si="6"/>
        <v/>
      </c>
    </row>
    <row r="286" spans="1:9" ht="20.100000000000001" customHeight="1">
      <c r="A286" s="621"/>
      <c r="B286" s="622"/>
      <c r="C286" s="623"/>
      <c r="D286" s="623"/>
      <c r="E286" s="624"/>
      <c r="F286" s="625"/>
      <c r="G286" s="626"/>
      <c r="H286" s="627"/>
      <c r="I286" s="634" t="str">
        <f t="shared" si="6"/>
        <v/>
      </c>
    </row>
    <row r="287" spans="1:9" ht="20.100000000000001" customHeight="1">
      <c r="A287" s="621"/>
      <c r="B287" s="622"/>
      <c r="C287" s="623"/>
      <c r="D287" s="623"/>
      <c r="E287" s="624"/>
      <c r="F287" s="625"/>
      <c r="G287" s="626"/>
      <c r="H287" s="627"/>
      <c r="I287" s="634" t="str">
        <f t="shared" si="6"/>
        <v/>
      </c>
    </row>
    <row r="288" spans="1:9" ht="20.100000000000001" customHeight="1">
      <c r="A288" s="621"/>
      <c r="B288" s="622"/>
      <c r="C288" s="623"/>
      <c r="D288" s="623"/>
      <c r="E288" s="624"/>
      <c r="F288" s="625"/>
      <c r="G288" s="626"/>
      <c r="H288" s="627"/>
      <c r="I288" s="634" t="str">
        <f t="shared" si="6"/>
        <v/>
      </c>
    </row>
    <row r="289" spans="1:9" ht="20.100000000000001" customHeight="1">
      <c r="A289" s="621"/>
      <c r="B289" s="622"/>
      <c r="C289" s="623"/>
      <c r="D289" s="623"/>
      <c r="E289" s="624"/>
      <c r="F289" s="625"/>
      <c r="G289" s="626"/>
      <c r="H289" s="627"/>
      <c r="I289" s="634" t="str">
        <f t="shared" si="6"/>
        <v/>
      </c>
    </row>
    <row r="290" spans="1:9" ht="20.100000000000001" customHeight="1">
      <c r="A290" s="621"/>
      <c r="B290" s="622"/>
      <c r="C290" s="623"/>
      <c r="D290" s="623"/>
      <c r="E290" s="624"/>
      <c r="F290" s="625"/>
      <c r="G290" s="626"/>
      <c r="H290" s="627"/>
      <c r="I290" s="634" t="str">
        <f t="shared" si="6"/>
        <v/>
      </c>
    </row>
    <row r="291" spans="1:9" ht="20.100000000000001" customHeight="1">
      <c r="A291" s="621"/>
      <c r="B291" s="622"/>
      <c r="C291" s="623"/>
      <c r="D291" s="623"/>
      <c r="E291" s="624"/>
      <c r="F291" s="625"/>
      <c r="G291" s="626"/>
      <c r="H291" s="627"/>
      <c r="I291" s="634" t="str">
        <f t="shared" si="6"/>
        <v/>
      </c>
    </row>
    <row r="292" spans="1:9" ht="20.100000000000001" customHeight="1">
      <c r="A292" s="621"/>
      <c r="B292" s="622"/>
      <c r="C292" s="623"/>
      <c r="D292" s="623"/>
      <c r="E292" s="624"/>
      <c r="F292" s="625"/>
      <c r="G292" s="626"/>
      <c r="H292" s="627"/>
      <c r="I292" s="634" t="str">
        <f t="shared" si="6"/>
        <v/>
      </c>
    </row>
    <row r="293" spans="1:9" ht="20.100000000000001" customHeight="1">
      <c r="A293" s="621"/>
      <c r="B293" s="622"/>
      <c r="C293" s="623"/>
      <c r="D293" s="623"/>
      <c r="E293" s="624"/>
      <c r="F293" s="625"/>
      <c r="G293" s="626"/>
      <c r="H293" s="627"/>
      <c r="I293" s="634" t="str">
        <f t="shared" si="6"/>
        <v/>
      </c>
    </row>
    <row r="294" spans="1:9" ht="20.100000000000001" customHeight="1">
      <c r="A294" s="621"/>
      <c r="B294" s="622"/>
      <c r="C294" s="623"/>
      <c r="D294" s="623"/>
      <c r="E294" s="624"/>
      <c r="F294" s="625"/>
      <c r="G294" s="626"/>
      <c r="H294" s="627"/>
      <c r="I294" s="634" t="str">
        <f t="shared" si="6"/>
        <v/>
      </c>
    </row>
    <row r="295" spans="1:9" ht="20.100000000000001" customHeight="1">
      <c r="A295" s="621"/>
      <c r="B295" s="622"/>
      <c r="C295" s="623"/>
      <c r="D295" s="623"/>
      <c r="E295" s="624"/>
      <c r="F295" s="625"/>
      <c r="G295" s="626"/>
      <c r="H295" s="627"/>
      <c r="I295" s="634" t="str">
        <f t="shared" si="6"/>
        <v/>
      </c>
    </row>
    <row r="296" spans="1:9" ht="20.100000000000001" customHeight="1">
      <c r="A296" s="621"/>
      <c r="B296" s="622"/>
      <c r="C296" s="623"/>
      <c r="D296" s="623"/>
      <c r="E296" s="624"/>
      <c r="F296" s="625"/>
      <c r="G296" s="626"/>
      <c r="H296" s="627"/>
      <c r="I296" s="634" t="str">
        <f t="shared" si="6"/>
        <v/>
      </c>
    </row>
    <row r="297" spans="1:9" ht="20.100000000000001" customHeight="1">
      <c r="A297" s="621"/>
      <c r="B297" s="622"/>
      <c r="C297" s="623"/>
      <c r="D297" s="623"/>
      <c r="E297" s="624"/>
      <c r="F297" s="625"/>
      <c r="G297" s="626"/>
      <c r="H297" s="627"/>
      <c r="I297" s="634" t="str">
        <f t="shared" si="6"/>
        <v/>
      </c>
    </row>
    <row r="298" spans="1:9" ht="20.100000000000001" customHeight="1">
      <c r="A298" s="621"/>
      <c r="B298" s="622"/>
      <c r="C298" s="623"/>
      <c r="D298" s="623"/>
      <c r="E298" s="624"/>
      <c r="F298" s="625"/>
      <c r="G298" s="626"/>
      <c r="H298" s="627"/>
      <c r="I298" s="634" t="str">
        <f t="shared" si="6"/>
        <v/>
      </c>
    </row>
    <row r="299" spans="1:9" ht="20.100000000000001" customHeight="1">
      <c r="A299" s="621"/>
      <c r="B299" s="622"/>
      <c r="C299" s="623"/>
      <c r="D299" s="623"/>
      <c r="E299" s="624"/>
      <c r="F299" s="625"/>
      <c r="G299" s="626"/>
      <c r="H299" s="627"/>
      <c r="I299" s="634" t="str">
        <f t="shared" si="6"/>
        <v/>
      </c>
    </row>
    <row r="300" spans="1:9" ht="20.100000000000001" customHeight="1">
      <c r="A300" s="621"/>
      <c r="B300" s="622"/>
      <c r="C300" s="623"/>
      <c r="D300" s="623"/>
      <c r="E300" s="624"/>
      <c r="F300" s="625"/>
      <c r="G300" s="626"/>
      <c r="H300" s="627"/>
      <c r="I300" s="634" t="str">
        <f t="shared" si="6"/>
        <v/>
      </c>
    </row>
    <row r="301" spans="1:9" ht="20.100000000000001" customHeight="1">
      <c r="A301" s="621"/>
      <c r="B301" s="622"/>
      <c r="C301" s="623"/>
      <c r="D301" s="623"/>
      <c r="E301" s="624"/>
      <c r="F301" s="625"/>
      <c r="G301" s="626"/>
      <c r="H301" s="627"/>
      <c r="I301" s="634" t="str">
        <f t="shared" si="6"/>
        <v/>
      </c>
    </row>
    <row r="302" spans="1:9" ht="20.100000000000001" customHeight="1">
      <c r="A302" s="621"/>
      <c r="B302" s="622"/>
      <c r="C302" s="623"/>
      <c r="D302" s="623"/>
      <c r="E302" s="624"/>
      <c r="F302" s="625"/>
      <c r="G302" s="626"/>
      <c r="H302" s="627"/>
      <c r="I302" s="634" t="str">
        <f t="shared" si="6"/>
        <v/>
      </c>
    </row>
    <row r="303" spans="1:9" ht="20.100000000000001" customHeight="1">
      <c r="A303" s="621"/>
      <c r="B303" s="622"/>
      <c r="C303" s="623"/>
      <c r="D303" s="623"/>
      <c r="E303" s="624"/>
      <c r="F303" s="625"/>
      <c r="G303" s="626"/>
      <c r="H303" s="627"/>
      <c r="I303" s="634" t="str">
        <f t="shared" si="6"/>
        <v/>
      </c>
    </row>
    <row r="304" spans="1:9" ht="20.100000000000001" customHeight="1">
      <c r="A304" s="621"/>
      <c r="B304" s="622"/>
      <c r="C304" s="623"/>
      <c r="D304" s="623"/>
      <c r="E304" s="624"/>
      <c r="F304" s="625"/>
      <c r="G304" s="650"/>
      <c r="H304" s="651"/>
      <c r="I304" s="653" t="str">
        <f>IF(OR(G304&lt;&gt;"",H304&lt;&gt;""),I303+G304-H304,"")</f>
        <v/>
      </c>
    </row>
    <row r="305" spans="1:9" ht="20.100000000000001" customHeight="1">
      <c r="A305" s="619"/>
      <c r="B305" s="1129" t="s">
        <v>415</v>
      </c>
      <c r="C305" s="1130"/>
      <c r="D305" s="1131"/>
      <c r="E305" s="783"/>
      <c r="F305" s="784"/>
      <c r="G305" s="682">
        <f>SUM(G4:G304)</f>
        <v>0</v>
      </c>
      <c r="H305" s="682">
        <f>SUM(H4:H304)</f>
        <v>0</v>
      </c>
      <c r="I305" s="680">
        <f>G305-H305</f>
        <v>0</v>
      </c>
    </row>
    <row r="306" spans="1:9" ht="20.100000000000001" customHeight="1" thickBot="1">
      <c r="A306" s="630"/>
      <c r="B306" s="1123" t="str">
        <f>IF(A305="","次 期 繰 越","次 項 繰 越")</f>
        <v>次 期 繰 越</v>
      </c>
      <c r="C306" s="1124"/>
      <c r="D306" s="1125"/>
      <c r="E306" s="642"/>
      <c r="F306" s="642"/>
      <c r="G306" s="643">
        <f>IF(I305&gt;0,"",ABS(I305))</f>
        <v>0</v>
      </c>
      <c r="H306" s="644">
        <f>IF(I305&lt;0,"",ABS(I305))</f>
        <v>0</v>
      </c>
      <c r="I306" s="637"/>
    </row>
    <row r="307" spans="1:9" ht="24.95" customHeight="1">
      <c r="B307" s="645"/>
      <c r="C307" s="646"/>
      <c r="D307" s="646"/>
      <c r="E307" s="647"/>
      <c r="F307" s="647"/>
      <c r="G307" s="648">
        <f>SUM(G305:G306)</f>
        <v>0</v>
      </c>
      <c r="H307" s="648">
        <f>SUM(H305:H306)</f>
        <v>0</v>
      </c>
      <c r="I307" s="638" t="str">
        <f>IF(G307=H307,"","【要確認】")</f>
        <v/>
      </c>
    </row>
  </sheetData>
  <sheetProtection sheet="1" objects="1" scenarios="1"/>
  <sortState ref="A5:J98">
    <sortCondition ref="A5:A98"/>
  </sortState>
  <mergeCells count="5">
    <mergeCell ref="B306:D306"/>
    <mergeCell ref="A1:I1"/>
    <mergeCell ref="B3:D3"/>
    <mergeCell ref="B4:D4"/>
    <mergeCell ref="B305:D305"/>
  </mergeCells>
  <phoneticPr fontId="2"/>
  <dataValidations count="1">
    <dataValidation allowBlank="1" showInputMessage="1" sqref="B306"/>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G4:H4 I2" unlocked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43</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4</v>
      </c>
    </row>
    <row r="3" spans="1:9" s="618" customFormat="1" ht="30" customHeight="1" thickTop="1" thickBot="1">
      <c r="A3" s="613">
        <f>設定メニュー!$B$2</f>
        <v>42736</v>
      </c>
      <c r="B3" s="1114" t="s">
        <v>1</v>
      </c>
      <c r="C3" s="1115"/>
      <c r="D3" s="1116"/>
      <c r="E3" s="614" t="s">
        <v>28</v>
      </c>
      <c r="F3" s="615" t="s">
        <v>63</v>
      </c>
      <c r="G3" s="615" t="s">
        <v>4</v>
      </c>
      <c r="H3" s="616" t="s">
        <v>72</v>
      </c>
      <c r="I3" s="617"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G4-H4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5"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9"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ref="I40:I73" si="2">IF(OR(G40&lt;&gt;"",H40&lt;&gt;""),I39+G40-H40,"")</f>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ref="I74:I98" si="3">IF(OR(G74&lt;&gt;"",H74&lt;&gt;""),I73+G74-H74,"")</f>
        <v/>
      </c>
    </row>
    <row r="75" spans="1:9" ht="20.100000000000001" customHeight="1">
      <c r="A75" s="621"/>
      <c r="B75" s="622"/>
      <c r="C75" s="623"/>
      <c r="D75" s="623"/>
      <c r="E75" s="624"/>
      <c r="F75" s="625"/>
      <c r="G75" s="626"/>
      <c r="H75" s="627"/>
      <c r="I75" s="634" t="str">
        <f t="shared" si="3"/>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28"/>
      <c r="H98" s="629"/>
      <c r="I98" s="635" t="str">
        <f t="shared" si="3"/>
        <v/>
      </c>
    </row>
    <row r="99" spans="1:9" ht="20.100000000000001" customHeight="1">
      <c r="A99" s="652"/>
      <c r="B99" s="1133" t="s">
        <v>282</v>
      </c>
      <c r="C99" s="1134"/>
      <c r="D99" s="1135"/>
      <c r="E99" s="639"/>
      <c r="F99" s="640"/>
      <c r="G99" s="641">
        <f>SUM(G4:G98)</f>
        <v>0</v>
      </c>
      <c r="H99" s="641">
        <f>SUM(H4:H98)</f>
        <v>0</v>
      </c>
      <c r="I99" s="636">
        <f>G99-H99</f>
        <v>0</v>
      </c>
    </row>
    <row r="100" spans="1:9" ht="20.100000000000001" customHeight="1" thickBot="1">
      <c r="A100" s="630"/>
      <c r="B100" s="1123" t="str">
        <f>IF(A99="","次 期 繰 越","次 項 繰 越")</f>
        <v>次 期 繰 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85</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5</v>
      </c>
    </row>
    <row r="3" spans="1:9" s="618" customFormat="1" ht="30" customHeight="1" thickTop="1" thickBot="1">
      <c r="A3" s="613">
        <f>設定メニュー!$B$2</f>
        <v>42736</v>
      </c>
      <c r="B3" s="1114" t="s">
        <v>1</v>
      </c>
      <c r="C3" s="1115"/>
      <c r="D3" s="1116"/>
      <c r="E3" s="614" t="s">
        <v>28</v>
      </c>
      <c r="F3" s="615" t="s">
        <v>63</v>
      </c>
      <c r="G3" s="615" t="s">
        <v>4</v>
      </c>
      <c r="H3" s="616" t="s">
        <v>72</v>
      </c>
      <c r="I3" s="617"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G4-H4</f>
        <v>0</v>
      </c>
    </row>
    <row r="5" spans="1:9" ht="20.100000000000001" customHeight="1">
      <c r="A5" s="621"/>
      <c r="B5" s="622"/>
      <c r="C5" s="623"/>
      <c r="D5" s="623"/>
      <c r="E5" s="624"/>
      <c r="F5" s="625"/>
      <c r="G5" s="626"/>
      <c r="H5" s="627"/>
      <c r="I5" s="634" t="str">
        <f t="shared" ref="I5:I38"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si="0"/>
        <v/>
      </c>
    </row>
    <row r="38" spans="1:9" ht="20.100000000000001" customHeight="1">
      <c r="A38" s="621"/>
      <c r="B38" s="622"/>
      <c r="C38" s="623"/>
      <c r="D38" s="623"/>
      <c r="E38" s="624"/>
      <c r="F38" s="625"/>
      <c r="G38" s="626"/>
      <c r="H38" s="627"/>
      <c r="I38" s="634" t="str">
        <f t="shared" si="0"/>
        <v/>
      </c>
    </row>
    <row r="39" spans="1:9" ht="20.100000000000001" customHeight="1">
      <c r="A39" s="621"/>
      <c r="B39" s="622"/>
      <c r="C39" s="623"/>
      <c r="D39" s="623"/>
      <c r="E39" s="624"/>
      <c r="F39" s="625"/>
      <c r="G39" s="626"/>
      <c r="H39" s="627"/>
      <c r="I39" s="634" t="str">
        <f t="shared" ref="I39:I73" si="1">IF(OR(G39&lt;&gt;"",H39&lt;&gt;""),I38+G39-H39,"")</f>
        <v/>
      </c>
    </row>
    <row r="40" spans="1:9" ht="20.100000000000001" customHeight="1">
      <c r="A40" s="621"/>
      <c r="B40" s="622"/>
      <c r="C40" s="623"/>
      <c r="D40" s="623"/>
      <c r="E40" s="624"/>
      <c r="F40" s="625"/>
      <c r="G40" s="626"/>
      <c r="H40" s="627"/>
      <c r="I40" s="634" t="str">
        <f t="shared" si="1"/>
        <v/>
      </c>
    </row>
    <row r="41" spans="1:9" ht="20.100000000000001" customHeight="1">
      <c r="A41" s="621"/>
      <c r="B41" s="622"/>
      <c r="C41" s="623"/>
      <c r="D41" s="623"/>
      <c r="E41" s="624"/>
      <c r="F41" s="625"/>
      <c r="G41" s="626"/>
      <c r="H41" s="627"/>
      <c r="I41" s="634" t="str">
        <f t="shared" si="1"/>
        <v/>
      </c>
    </row>
    <row r="42" spans="1:9" ht="20.100000000000001" customHeight="1">
      <c r="A42" s="621"/>
      <c r="B42" s="622"/>
      <c r="C42" s="623"/>
      <c r="D42" s="623"/>
      <c r="E42" s="624"/>
      <c r="F42" s="625"/>
      <c r="G42" s="626"/>
      <c r="H42" s="627"/>
      <c r="I42" s="634" t="str">
        <f t="shared" si="1"/>
        <v/>
      </c>
    </row>
    <row r="43" spans="1:9" ht="20.100000000000001" customHeight="1">
      <c r="A43" s="621"/>
      <c r="B43" s="622"/>
      <c r="C43" s="623"/>
      <c r="D43" s="623"/>
      <c r="E43" s="624"/>
      <c r="F43" s="625"/>
      <c r="G43" s="626"/>
      <c r="H43" s="627"/>
      <c r="I43" s="634" t="str">
        <f t="shared" si="1"/>
        <v/>
      </c>
    </row>
    <row r="44" spans="1:9" ht="20.100000000000001" customHeight="1">
      <c r="A44" s="621"/>
      <c r="B44" s="622"/>
      <c r="C44" s="623"/>
      <c r="D44" s="623"/>
      <c r="E44" s="624"/>
      <c r="F44" s="625"/>
      <c r="G44" s="626"/>
      <c r="H44" s="627"/>
      <c r="I44" s="634" t="str">
        <f t="shared" si="1"/>
        <v/>
      </c>
    </row>
    <row r="45" spans="1:9" ht="20.100000000000001" customHeight="1">
      <c r="A45" s="621"/>
      <c r="B45" s="622"/>
      <c r="C45" s="623"/>
      <c r="D45" s="623"/>
      <c r="E45" s="624"/>
      <c r="F45" s="625"/>
      <c r="G45" s="626"/>
      <c r="H45" s="627"/>
      <c r="I45" s="634" t="str">
        <f t="shared" si="1"/>
        <v/>
      </c>
    </row>
    <row r="46" spans="1:9" ht="20.100000000000001" customHeight="1">
      <c r="A46" s="621"/>
      <c r="B46" s="622"/>
      <c r="C46" s="623"/>
      <c r="D46" s="623"/>
      <c r="E46" s="624"/>
      <c r="F46" s="625"/>
      <c r="G46" s="626"/>
      <c r="H46" s="627"/>
      <c r="I46" s="634" t="str">
        <f t="shared" si="1"/>
        <v/>
      </c>
    </row>
    <row r="47" spans="1:9" ht="20.100000000000001" customHeight="1">
      <c r="A47" s="621"/>
      <c r="B47" s="622"/>
      <c r="C47" s="623"/>
      <c r="D47" s="623"/>
      <c r="E47" s="624"/>
      <c r="F47" s="625"/>
      <c r="G47" s="626"/>
      <c r="H47" s="627"/>
      <c r="I47" s="634" t="str">
        <f t="shared" si="1"/>
        <v/>
      </c>
    </row>
    <row r="48" spans="1:9" ht="20.100000000000001" customHeight="1">
      <c r="A48" s="621"/>
      <c r="B48" s="622"/>
      <c r="C48" s="623"/>
      <c r="D48" s="623"/>
      <c r="E48" s="624"/>
      <c r="F48" s="625"/>
      <c r="G48" s="626"/>
      <c r="H48" s="627"/>
      <c r="I48" s="634" t="str">
        <f t="shared" si="1"/>
        <v/>
      </c>
    </row>
    <row r="49" spans="1:9" ht="20.100000000000001" customHeight="1">
      <c r="A49" s="621"/>
      <c r="B49" s="622"/>
      <c r="C49" s="623"/>
      <c r="D49" s="623"/>
      <c r="E49" s="624"/>
      <c r="F49" s="625"/>
      <c r="G49" s="626"/>
      <c r="H49" s="627"/>
      <c r="I49" s="634" t="str">
        <f t="shared" si="1"/>
        <v/>
      </c>
    </row>
    <row r="50" spans="1:9" ht="20.100000000000001" customHeight="1">
      <c r="A50" s="621"/>
      <c r="B50" s="622"/>
      <c r="C50" s="623"/>
      <c r="D50" s="623"/>
      <c r="E50" s="624"/>
      <c r="F50" s="625"/>
      <c r="G50" s="626"/>
      <c r="H50" s="627"/>
      <c r="I50" s="634" t="str">
        <f t="shared" si="1"/>
        <v/>
      </c>
    </row>
    <row r="51" spans="1:9" ht="20.100000000000001" customHeight="1">
      <c r="A51" s="621"/>
      <c r="B51" s="622"/>
      <c r="C51" s="623"/>
      <c r="D51" s="623"/>
      <c r="E51" s="624"/>
      <c r="F51" s="625"/>
      <c r="G51" s="626"/>
      <c r="H51" s="627"/>
      <c r="I51" s="634" t="str">
        <f t="shared" si="1"/>
        <v/>
      </c>
    </row>
    <row r="52" spans="1:9" ht="20.100000000000001" customHeight="1">
      <c r="A52" s="621"/>
      <c r="B52" s="622"/>
      <c r="C52" s="623"/>
      <c r="D52" s="623"/>
      <c r="E52" s="624"/>
      <c r="F52" s="625"/>
      <c r="G52" s="626"/>
      <c r="H52" s="627"/>
      <c r="I52" s="634" t="str">
        <f t="shared" si="1"/>
        <v/>
      </c>
    </row>
    <row r="53" spans="1:9" ht="20.100000000000001" customHeight="1">
      <c r="A53" s="621"/>
      <c r="B53" s="622"/>
      <c r="C53" s="623"/>
      <c r="D53" s="623"/>
      <c r="E53" s="624"/>
      <c r="F53" s="625"/>
      <c r="G53" s="626"/>
      <c r="H53" s="627"/>
      <c r="I53" s="634" t="str">
        <f t="shared" si="1"/>
        <v/>
      </c>
    </row>
    <row r="54" spans="1:9" ht="20.100000000000001" customHeight="1">
      <c r="A54" s="621"/>
      <c r="B54" s="622"/>
      <c r="C54" s="623"/>
      <c r="D54" s="623"/>
      <c r="E54" s="624"/>
      <c r="F54" s="625"/>
      <c r="G54" s="626"/>
      <c r="H54" s="627"/>
      <c r="I54" s="634" t="str">
        <f t="shared" si="1"/>
        <v/>
      </c>
    </row>
    <row r="55" spans="1:9" ht="20.100000000000001" customHeight="1">
      <c r="A55" s="621"/>
      <c r="B55" s="622"/>
      <c r="C55" s="623"/>
      <c r="D55" s="623"/>
      <c r="E55" s="624"/>
      <c r="F55" s="625"/>
      <c r="G55" s="626"/>
      <c r="H55" s="627"/>
      <c r="I55" s="634" t="str">
        <f t="shared" si="1"/>
        <v/>
      </c>
    </row>
    <row r="56" spans="1:9" ht="20.100000000000001" customHeight="1">
      <c r="A56" s="621"/>
      <c r="B56" s="622"/>
      <c r="C56" s="623"/>
      <c r="D56" s="623"/>
      <c r="E56" s="624"/>
      <c r="F56" s="625"/>
      <c r="G56" s="626"/>
      <c r="H56" s="627"/>
      <c r="I56" s="634" t="str">
        <f t="shared" si="1"/>
        <v/>
      </c>
    </row>
    <row r="57" spans="1:9" ht="20.100000000000001" customHeight="1">
      <c r="A57" s="621"/>
      <c r="B57" s="622"/>
      <c r="C57" s="623"/>
      <c r="D57" s="623"/>
      <c r="E57" s="624"/>
      <c r="F57" s="625"/>
      <c r="G57" s="626"/>
      <c r="H57" s="627"/>
      <c r="I57" s="634" t="str">
        <f t="shared" si="1"/>
        <v/>
      </c>
    </row>
    <row r="58" spans="1:9" ht="20.100000000000001" customHeight="1">
      <c r="A58" s="621"/>
      <c r="B58" s="622"/>
      <c r="C58" s="623"/>
      <c r="D58" s="623"/>
      <c r="E58" s="624"/>
      <c r="F58" s="625"/>
      <c r="G58" s="626"/>
      <c r="H58" s="627"/>
      <c r="I58" s="634" t="str">
        <f t="shared" si="1"/>
        <v/>
      </c>
    </row>
    <row r="59" spans="1:9" ht="20.100000000000001" customHeight="1">
      <c r="A59" s="621"/>
      <c r="B59" s="622"/>
      <c r="C59" s="623"/>
      <c r="D59" s="623"/>
      <c r="E59" s="624"/>
      <c r="F59" s="625"/>
      <c r="G59" s="626"/>
      <c r="H59" s="627"/>
      <c r="I59" s="634" t="str">
        <f t="shared" si="1"/>
        <v/>
      </c>
    </row>
    <row r="60" spans="1:9" ht="20.100000000000001" customHeight="1">
      <c r="A60" s="621"/>
      <c r="B60" s="622"/>
      <c r="C60" s="623"/>
      <c r="D60" s="623"/>
      <c r="E60" s="624"/>
      <c r="F60" s="625"/>
      <c r="G60" s="626"/>
      <c r="H60" s="627"/>
      <c r="I60" s="634" t="str">
        <f t="shared" si="1"/>
        <v/>
      </c>
    </row>
    <row r="61" spans="1:9" ht="20.100000000000001" customHeight="1">
      <c r="A61" s="621"/>
      <c r="B61" s="622"/>
      <c r="C61" s="623"/>
      <c r="D61" s="623"/>
      <c r="E61" s="624"/>
      <c r="F61" s="625"/>
      <c r="G61" s="626"/>
      <c r="H61" s="627"/>
      <c r="I61" s="634" t="str">
        <f t="shared" si="1"/>
        <v/>
      </c>
    </row>
    <row r="62" spans="1:9" ht="20.100000000000001" customHeight="1">
      <c r="A62" s="621"/>
      <c r="B62" s="622"/>
      <c r="C62" s="623"/>
      <c r="D62" s="623"/>
      <c r="E62" s="624"/>
      <c r="F62" s="625"/>
      <c r="G62" s="626"/>
      <c r="H62" s="627"/>
      <c r="I62" s="634" t="str">
        <f t="shared" si="1"/>
        <v/>
      </c>
    </row>
    <row r="63" spans="1:9" ht="20.100000000000001" customHeight="1">
      <c r="A63" s="621"/>
      <c r="B63" s="622"/>
      <c r="C63" s="623"/>
      <c r="D63" s="623"/>
      <c r="E63" s="624"/>
      <c r="F63" s="625"/>
      <c r="G63" s="626"/>
      <c r="H63" s="627"/>
      <c r="I63" s="634" t="str">
        <f t="shared" si="1"/>
        <v/>
      </c>
    </row>
    <row r="64" spans="1:9" ht="20.100000000000001" customHeight="1">
      <c r="A64" s="621"/>
      <c r="B64" s="622"/>
      <c r="C64" s="623"/>
      <c r="D64" s="623"/>
      <c r="E64" s="624"/>
      <c r="F64" s="625"/>
      <c r="G64" s="626"/>
      <c r="H64" s="627"/>
      <c r="I64" s="634" t="str">
        <f t="shared" si="1"/>
        <v/>
      </c>
    </row>
    <row r="65" spans="1:9" ht="20.100000000000001" customHeight="1">
      <c r="A65" s="621"/>
      <c r="B65" s="622"/>
      <c r="C65" s="623"/>
      <c r="D65" s="623"/>
      <c r="E65" s="624"/>
      <c r="F65" s="625"/>
      <c r="G65" s="626"/>
      <c r="H65" s="627"/>
      <c r="I65" s="634" t="str">
        <f t="shared" si="1"/>
        <v/>
      </c>
    </row>
    <row r="66" spans="1:9" ht="20.100000000000001" customHeight="1">
      <c r="A66" s="621"/>
      <c r="B66" s="622"/>
      <c r="C66" s="623"/>
      <c r="D66" s="623"/>
      <c r="E66" s="624"/>
      <c r="F66" s="625"/>
      <c r="G66" s="626"/>
      <c r="H66" s="627"/>
      <c r="I66" s="634" t="str">
        <f t="shared" si="1"/>
        <v/>
      </c>
    </row>
    <row r="67" spans="1:9" ht="20.100000000000001" customHeight="1">
      <c r="A67" s="621"/>
      <c r="B67" s="622"/>
      <c r="C67" s="623"/>
      <c r="D67" s="623"/>
      <c r="E67" s="624"/>
      <c r="F67" s="625"/>
      <c r="G67" s="626"/>
      <c r="H67" s="627"/>
      <c r="I67" s="634" t="str">
        <f t="shared" si="1"/>
        <v/>
      </c>
    </row>
    <row r="68" spans="1:9" ht="20.100000000000001" customHeight="1">
      <c r="A68" s="621"/>
      <c r="B68" s="622"/>
      <c r="C68" s="623"/>
      <c r="D68" s="623"/>
      <c r="E68" s="624"/>
      <c r="F68" s="625"/>
      <c r="G68" s="626"/>
      <c r="H68" s="627"/>
      <c r="I68" s="634" t="str">
        <f t="shared" si="1"/>
        <v/>
      </c>
    </row>
    <row r="69" spans="1:9" ht="20.100000000000001" customHeight="1">
      <c r="A69" s="621"/>
      <c r="B69" s="622"/>
      <c r="C69" s="623"/>
      <c r="D69" s="623"/>
      <c r="E69" s="624"/>
      <c r="F69" s="625"/>
      <c r="G69" s="626"/>
      <c r="H69" s="627"/>
      <c r="I69" s="634" t="str">
        <f t="shared" si="1"/>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ref="I74:I98" si="2">IF(OR(G74&lt;&gt;"",H74&lt;&gt;""),I73+G74-H74,"")</f>
        <v/>
      </c>
    </row>
    <row r="75" spans="1:9" ht="20.100000000000001" customHeight="1">
      <c r="A75" s="621"/>
      <c r="B75" s="622"/>
      <c r="C75" s="623"/>
      <c r="D75" s="623"/>
      <c r="E75" s="624"/>
      <c r="F75" s="625"/>
      <c r="G75" s="626"/>
      <c r="H75" s="627"/>
      <c r="I75" s="634" t="str">
        <f t="shared" si="2"/>
        <v/>
      </c>
    </row>
    <row r="76" spans="1:9" ht="20.100000000000001" customHeight="1">
      <c r="A76" s="621"/>
      <c r="B76" s="622"/>
      <c r="C76" s="623"/>
      <c r="D76" s="623"/>
      <c r="E76" s="624"/>
      <c r="F76" s="625"/>
      <c r="G76" s="626"/>
      <c r="H76" s="627"/>
      <c r="I76" s="634" t="str">
        <f t="shared" si="2"/>
        <v/>
      </c>
    </row>
    <row r="77" spans="1:9" ht="20.100000000000001" customHeight="1">
      <c r="A77" s="621"/>
      <c r="B77" s="622"/>
      <c r="C77" s="623"/>
      <c r="D77" s="623"/>
      <c r="E77" s="624"/>
      <c r="F77" s="625"/>
      <c r="G77" s="626"/>
      <c r="H77" s="627"/>
      <c r="I77" s="634" t="str">
        <f t="shared" si="2"/>
        <v/>
      </c>
    </row>
    <row r="78" spans="1:9" ht="20.100000000000001" customHeight="1">
      <c r="A78" s="621"/>
      <c r="B78" s="622"/>
      <c r="C78" s="623"/>
      <c r="D78" s="623"/>
      <c r="E78" s="624"/>
      <c r="F78" s="625"/>
      <c r="G78" s="626"/>
      <c r="H78" s="627"/>
      <c r="I78" s="634" t="str">
        <f t="shared" si="2"/>
        <v/>
      </c>
    </row>
    <row r="79" spans="1:9" ht="20.100000000000001" customHeight="1">
      <c r="A79" s="621"/>
      <c r="B79" s="622"/>
      <c r="C79" s="623"/>
      <c r="D79" s="623"/>
      <c r="E79" s="624"/>
      <c r="F79" s="625"/>
      <c r="G79" s="626"/>
      <c r="H79" s="627"/>
      <c r="I79" s="634" t="str">
        <f t="shared" si="2"/>
        <v/>
      </c>
    </row>
    <row r="80" spans="1:9" ht="20.100000000000001" customHeight="1">
      <c r="A80" s="621"/>
      <c r="B80" s="622"/>
      <c r="C80" s="623"/>
      <c r="D80" s="623"/>
      <c r="E80" s="624"/>
      <c r="F80" s="625"/>
      <c r="G80" s="626"/>
      <c r="H80" s="627"/>
      <c r="I80" s="634" t="str">
        <f t="shared" si="2"/>
        <v/>
      </c>
    </row>
    <row r="81" spans="1:9" ht="20.100000000000001" customHeight="1">
      <c r="A81" s="621"/>
      <c r="B81" s="622"/>
      <c r="C81" s="623"/>
      <c r="D81" s="623"/>
      <c r="E81" s="624"/>
      <c r="F81" s="625"/>
      <c r="G81" s="626"/>
      <c r="H81" s="627"/>
      <c r="I81" s="634" t="str">
        <f t="shared" si="2"/>
        <v/>
      </c>
    </row>
    <row r="82" spans="1:9" ht="20.100000000000001" customHeight="1">
      <c r="A82" s="621"/>
      <c r="B82" s="622"/>
      <c r="C82" s="623"/>
      <c r="D82" s="623"/>
      <c r="E82" s="624"/>
      <c r="F82" s="625"/>
      <c r="G82" s="626"/>
      <c r="H82" s="627"/>
      <c r="I82" s="634" t="str">
        <f t="shared" si="2"/>
        <v/>
      </c>
    </row>
    <row r="83" spans="1:9" ht="20.100000000000001" customHeight="1">
      <c r="A83" s="621"/>
      <c r="B83" s="622"/>
      <c r="C83" s="623"/>
      <c r="D83" s="623"/>
      <c r="E83" s="624"/>
      <c r="F83" s="625"/>
      <c r="G83" s="626"/>
      <c r="H83" s="627"/>
      <c r="I83" s="634" t="str">
        <f t="shared" si="2"/>
        <v/>
      </c>
    </row>
    <row r="84" spans="1:9" ht="20.100000000000001" customHeight="1">
      <c r="A84" s="621"/>
      <c r="B84" s="622"/>
      <c r="C84" s="623"/>
      <c r="D84" s="623"/>
      <c r="E84" s="624"/>
      <c r="F84" s="625"/>
      <c r="G84" s="626"/>
      <c r="H84" s="627"/>
      <c r="I84" s="634" t="str">
        <f t="shared" si="2"/>
        <v/>
      </c>
    </row>
    <row r="85" spans="1:9" ht="20.100000000000001" customHeight="1">
      <c r="A85" s="621"/>
      <c r="B85" s="622"/>
      <c r="C85" s="623"/>
      <c r="D85" s="623"/>
      <c r="E85" s="624"/>
      <c r="F85" s="625"/>
      <c r="G85" s="626"/>
      <c r="H85" s="627"/>
      <c r="I85" s="634" t="str">
        <f t="shared" si="2"/>
        <v/>
      </c>
    </row>
    <row r="86" spans="1:9" ht="20.100000000000001" customHeight="1">
      <c r="A86" s="621"/>
      <c r="B86" s="622"/>
      <c r="C86" s="623"/>
      <c r="D86" s="623"/>
      <c r="E86" s="624"/>
      <c r="F86" s="625"/>
      <c r="G86" s="626"/>
      <c r="H86" s="627"/>
      <c r="I86" s="634" t="str">
        <f t="shared" si="2"/>
        <v/>
      </c>
    </row>
    <row r="87" spans="1:9" ht="20.100000000000001" customHeight="1">
      <c r="A87" s="621"/>
      <c r="B87" s="622"/>
      <c r="C87" s="623"/>
      <c r="D87" s="623"/>
      <c r="E87" s="624"/>
      <c r="F87" s="625"/>
      <c r="G87" s="626"/>
      <c r="H87" s="627"/>
      <c r="I87" s="634" t="str">
        <f t="shared" si="2"/>
        <v/>
      </c>
    </row>
    <row r="88" spans="1:9" ht="20.100000000000001" customHeight="1">
      <c r="A88" s="621"/>
      <c r="B88" s="622"/>
      <c r="C88" s="623"/>
      <c r="D88" s="623"/>
      <c r="E88" s="624"/>
      <c r="F88" s="625"/>
      <c r="G88" s="626"/>
      <c r="H88" s="627"/>
      <c r="I88" s="634" t="str">
        <f t="shared" si="2"/>
        <v/>
      </c>
    </row>
    <row r="89" spans="1:9" ht="20.100000000000001" customHeight="1">
      <c r="A89" s="621"/>
      <c r="B89" s="622"/>
      <c r="C89" s="623"/>
      <c r="D89" s="623"/>
      <c r="E89" s="624"/>
      <c r="F89" s="625"/>
      <c r="G89" s="626"/>
      <c r="H89" s="627"/>
      <c r="I89" s="634" t="str">
        <f t="shared" si="2"/>
        <v/>
      </c>
    </row>
    <row r="90" spans="1:9" ht="20.100000000000001" customHeight="1">
      <c r="A90" s="621"/>
      <c r="B90" s="622"/>
      <c r="C90" s="623"/>
      <c r="D90" s="623"/>
      <c r="E90" s="624"/>
      <c r="F90" s="625"/>
      <c r="G90" s="626"/>
      <c r="H90" s="627"/>
      <c r="I90" s="634" t="str">
        <f t="shared" si="2"/>
        <v/>
      </c>
    </row>
    <row r="91" spans="1:9" ht="20.100000000000001" customHeight="1">
      <c r="A91" s="621"/>
      <c r="B91" s="622"/>
      <c r="C91" s="623"/>
      <c r="D91" s="623"/>
      <c r="E91" s="624"/>
      <c r="F91" s="625"/>
      <c r="G91" s="626"/>
      <c r="H91" s="627"/>
      <c r="I91" s="634" t="str">
        <f t="shared" si="2"/>
        <v/>
      </c>
    </row>
    <row r="92" spans="1:9" ht="20.100000000000001" customHeight="1">
      <c r="A92" s="621"/>
      <c r="B92" s="622"/>
      <c r="C92" s="623"/>
      <c r="D92" s="623"/>
      <c r="E92" s="624"/>
      <c r="F92" s="625"/>
      <c r="G92" s="626"/>
      <c r="H92" s="627"/>
      <c r="I92" s="634" t="str">
        <f t="shared" si="2"/>
        <v/>
      </c>
    </row>
    <row r="93" spans="1:9" ht="20.100000000000001" customHeight="1">
      <c r="A93" s="621"/>
      <c r="B93" s="622"/>
      <c r="C93" s="623"/>
      <c r="D93" s="623"/>
      <c r="E93" s="624"/>
      <c r="F93" s="625"/>
      <c r="G93" s="626"/>
      <c r="H93" s="627"/>
      <c r="I93" s="634" t="str">
        <f t="shared" si="2"/>
        <v/>
      </c>
    </row>
    <row r="94" spans="1:9" ht="20.100000000000001" customHeight="1">
      <c r="A94" s="621"/>
      <c r="B94" s="622"/>
      <c r="C94" s="623"/>
      <c r="D94" s="623"/>
      <c r="E94" s="624"/>
      <c r="F94" s="625"/>
      <c r="G94" s="626"/>
      <c r="H94" s="627"/>
      <c r="I94" s="634" t="str">
        <f t="shared" si="2"/>
        <v/>
      </c>
    </row>
    <row r="95" spans="1:9" ht="20.100000000000001" customHeight="1">
      <c r="A95" s="621"/>
      <c r="B95" s="622"/>
      <c r="C95" s="623"/>
      <c r="D95" s="623"/>
      <c r="E95" s="624"/>
      <c r="F95" s="625"/>
      <c r="G95" s="626"/>
      <c r="H95" s="627"/>
      <c r="I95" s="634" t="str">
        <f t="shared" si="2"/>
        <v/>
      </c>
    </row>
    <row r="96" spans="1:9" ht="20.100000000000001" customHeight="1">
      <c r="A96" s="621"/>
      <c r="B96" s="622"/>
      <c r="C96" s="623"/>
      <c r="D96" s="623"/>
      <c r="E96" s="624"/>
      <c r="F96" s="625"/>
      <c r="G96" s="626"/>
      <c r="H96" s="627"/>
      <c r="I96" s="634" t="str">
        <f t="shared" si="2"/>
        <v/>
      </c>
    </row>
    <row r="97" spans="1:9" ht="20.100000000000001" customHeight="1">
      <c r="A97" s="621"/>
      <c r="B97" s="622"/>
      <c r="C97" s="623"/>
      <c r="D97" s="623"/>
      <c r="E97" s="624"/>
      <c r="F97" s="625"/>
      <c r="G97" s="626"/>
      <c r="H97" s="627"/>
      <c r="I97" s="634" t="str">
        <f t="shared" si="2"/>
        <v/>
      </c>
    </row>
    <row r="98" spans="1:9" ht="20.100000000000001" customHeight="1">
      <c r="A98" s="621"/>
      <c r="B98" s="622"/>
      <c r="C98" s="623"/>
      <c r="D98" s="623"/>
      <c r="E98" s="624"/>
      <c r="F98" s="625"/>
      <c r="G98" s="628"/>
      <c r="H98" s="629"/>
      <c r="I98" s="635" t="str">
        <f t="shared" si="2"/>
        <v/>
      </c>
    </row>
    <row r="99" spans="1:9" ht="20.100000000000001" customHeight="1">
      <c r="A99" s="652"/>
      <c r="B99" s="1133" t="s">
        <v>282</v>
      </c>
      <c r="C99" s="1134"/>
      <c r="D99" s="1135"/>
      <c r="E99" s="639"/>
      <c r="F99" s="640"/>
      <c r="G99" s="641">
        <f>SUM(G4:G98)</f>
        <v>0</v>
      </c>
      <c r="H99" s="641">
        <f>SUM(H4:H98)</f>
        <v>0</v>
      </c>
      <c r="I99" s="636">
        <f>G99-H99</f>
        <v>0</v>
      </c>
    </row>
    <row r="100" spans="1:9" ht="20.100000000000001" customHeight="1" thickBot="1">
      <c r="A100" s="630"/>
      <c r="B100" s="1123" t="str">
        <f>IF(A99="","次 期 繰 越","次 項 繰 越")</f>
        <v>次 期 繰 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291</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6</v>
      </c>
    </row>
    <row r="3" spans="1:9" s="618" customFormat="1" ht="30" customHeight="1" thickTop="1" thickBot="1">
      <c r="A3" s="613">
        <f>設定メニュー!$B$2</f>
        <v>42736</v>
      </c>
      <c r="B3" s="1114" t="s">
        <v>1</v>
      </c>
      <c r="C3" s="1115"/>
      <c r="D3" s="1116"/>
      <c r="E3" s="614" t="s">
        <v>28</v>
      </c>
      <c r="F3" s="615" t="s">
        <v>63</v>
      </c>
      <c r="G3" s="615" t="s">
        <v>4</v>
      </c>
      <c r="H3" s="616" t="s">
        <v>72</v>
      </c>
      <c r="I3" s="617"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G4-H4</f>
        <v>0</v>
      </c>
    </row>
    <row r="5" spans="1:9" ht="20.100000000000001" customHeight="1">
      <c r="A5" s="621"/>
      <c r="B5" s="622"/>
      <c r="C5" s="623"/>
      <c r="D5" s="623"/>
      <c r="E5" s="624"/>
      <c r="F5" s="625"/>
      <c r="G5" s="626"/>
      <c r="H5" s="627"/>
      <c r="I5" s="634" t="str">
        <f t="shared" ref="I5:I14"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ref="I15:I37" si="1">IF(OR(G15&lt;&gt;"",H15&lt;&gt;""),I14+G15-H15,"")</f>
        <v/>
      </c>
    </row>
    <row r="16" spans="1:9" ht="20.100000000000001" customHeight="1">
      <c r="A16" s="621"/>
      <c r="B16" s="622"/>
      <c r="C16" s="623"/>
      <c r="D16" s="623"/>
      <c r="E16" s="624"/>
      <c r="F16" s="625"/>
      <c r="G16" s="626"/>
      <c r="H16" s="627"/>
      <c r="I16" s="634" t="str">
        <f t="shared" si="1"/>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ref="I38:I72" si="2">IF(OR(G38&lt;&gt;"",H38&lt;&gt;""),I37+G38-H38,"")</f>
        <v/>
      </c>
    </row>
    <row r="39" spans="1:9" ht="20.100000000000001" customHeight="1">
      <c r="A39" s="621"/>
      <c r="B39" s="622"/>
      <c r="C39" s="623"/>
      <c r="D39" s="623"/>
      <c r="E39" s="624"/>
      <c r="F39" s="625"/>
      <c r="G39" s="626"/>
      <c r="H39" s="627"/>
      <c r="I39" s="634" t="str">
        <f t="shared" si="2"/>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IF(OR(G73&lt;&gt;"",H73&lt;&gt;""),I72+G73-H73,"")</f>
        <v/>
      </c>
    </row>
    <row r="74" spans="1:9" ht="20.100000000000001" customHeight="1">
      <c r="A74" s="621"/>
      <c r="B74" s="622"/>
      <c r="C74" s="623"/>
      <c r="D74" s="623"/>
      <c r="E74" s="624"/>
      <c r="F74" s="625"/>
      <c r="G74" s="626"/>
      <c r="H74" s="627"/>
      <c r="I74" s="634" t="str">
        <f t="shared" ref="I74:I98" si="3">IF(OR(G74&lt;&gt;"",H74&lt;&gt;""),I73+G74-H74,"")</f>
        <v/>
      </c>
    </row>
    <row r="75" spans="1:9" ht="20.100000000000001" customHeight="1">
      <c r="A75" s="621"/>
      <c r="B75" s="622"/>
      <c r="C75" s="623"/>
      <c r="D75" s="623"/>
      <c r="E75" s="624"/>
      <c r="F75" s="625"/>
      <c r="G75" s="626"/>
      <c r="H75" s="627"/>
      <c r="I75" s="634" t="str">
        <f t="shared" si="3"/>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28"/>
      <c r="H98" s="629"/>
      <c r="I98" s="635" t="str">
        <f t="shared" si="3"/>
        <v/>
      </c>
    </row>
    <row r="99" spans="1:9" ht="20.100000000000001" customHeight="1">
      <c r="A99" s="652"/>
      <c r="B99" s="1133" t="s">
        <v>282</v>
      </c>
      <c r="C99" s="1134"/>
      <c r="D99" s="1135"/>
      <c r="E99" s="639"/>
      <c r="F99" s="640"/>
      <c r="G99" s="641">
        <f>SUM(G4:G98)</f>
        <v>0</v>
      </c>
      <c r="H99" s="641">
        <f>SUM(H4:H98)</f>
        <v>0</v>
      </c>
      <c r="I99" s="636">
        <f>G99-H99</f>
        <v>0</v>
      </c>
    </row>
    <row r="100" spans="1:9" ht="20.100000000000001" customHeight="1" thickBot="1">
      <c r="A100" s="630"/>
      <c r="B100" s="1123" t="str">
        <f>IF(A99="","次 期 繰 越","次 項 繰 越")</f>
        <v>次 期 繰 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21</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7</v>
      </c>
    </row>
    <row r="3" spans="1:9" s="618" customFormat="1" ht="30" customHeight="1" thickTop="1" thickBot="1">
      <c r="A3" s="613">
        <f>設定メニュー!$B$2</f>
        <v>42736</v>
      </c>
      <c r="B3" s="1114" t="s">
        <v>1</v>
      </c>
      <c r="C3" s="1115"/>
      <c r="D3" s="1116"/>
      <c r="E3" s="614" t="s">
        <v>28</v>
      </c>
      <c r="F3" s="615" t="s">
        <v>63</v>
      </c>
      <c r="G3" s="615" t="s">
        <v>4</v>
      </c>
      <c r="H3" s="616" t="s">
        <v>72</v>
      </c>
      <c r="I3" s="617"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IF(OR(G4&lt;&gt;"",H4&lt;&gt;""),G4-H4,"")</f>
        <v>0</v>
      </c>
    </row>
    <row r="5" spans="1:9" ht="20.100000000000001" customHeight="1">
      <c r="A5" s="621"/>
      <c r="B5" s="622"/>
      <c r="C5" s="623"/>
      <c r="D5" s="623"/>
      <c r="E5" s="624"/>
      <c r="F5" s="625"/>
      <c r="G5" s="626"/>
      <c r="H5" s="627"/>
      <c r="I5" s="634" t="str">
        <f t="shared" ref="I5:I11"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ref="I12:I38" si="1">IF(OR(G12&lt;&gt;"",H12&lt;&gt;""),I11+G12-H12,"")</f>
        <v/>
      </c>
    </row>
    <row r="13" spans="1:9" ht="20.100000000000001" customHeight="1">
      <c r="A13" s="621"/>
      <c r="B13" s="622"/>
      <c r="C13" s="623"/>
      <c r="D13" s="623"/>
      <c r="E13" s="624"/>
      <c r="F13" s="625"/>
      <c r="G13" s="626"/>
      <c r="H13" s="627"/>
      <c r="I13" s="634" t="str">
        <f t="shared" si="1"/>
        <v/>
      </c>
    </row>
    <row r="14" spans="1:9" ht="20.100000000000001" customHeight="1">
      <c r="A14" s="621"/>
      <c r="B14" s="622"/>
      <c r="C14" s="623"/>
      <c r="D14" s="623"/>
      <c r="E14" s="624"/>
      <c r="F14" s="625"/>
      <c r="G14" s="626"/>
      <c r="H14" s="627"/>
      <c r="I14" s="634" t="str">
        <f t="shared" si="1"/>
        <v/>
      </c>
    </row>
    <row r="15" spans="1:9" ht="20.100000000000001" customHeight="1">
      <c r="A15" s="621"/>
      <c r="B15" s="622"/>
      <c r="C15" s="623"/>
      <c r="D15" s="623"/>
      <c r="E15" s="624"/>
      <c r="F15" s="625"/>
      <c r="G15" s="626"/>
      <c r="H15" s="627"/>
      <c r="I15" s="634" t="str">
        <f t="shared" si="1"/>
        <v/>
      </c>
    </row>
    <row r="16" spans="1:9" ht="20.100000000000001" customHeight="1">
      <c r="A16" s="621"/>
      <c r="B16" s="622"/>
      <c r="C16" s="623"/>
      <c r="D16" s="623"/>
      <c r="E16" s="624"/>
      <c r="F16" s="625"/>
      <c r="G16" s="626"/>
      <c r="H16" s="627"/>
      <c r="I16" s="634" t="str">
        <f t="shared" si="1"/>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ref="I39:I49" si="2">IF(OR(G39&lt;&gt;"",H39&lt;&gt;""),I38+G39-H39,"")</f>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ref="I50:I73" si="3">IF(OR(G50&lt;&gt;"",H50&lt;&gt;""),I49+G50-H50,"")</f>
        <v/>
      </c>
    </row>
    <row r="51" spans="1:9" ht="20.100000000000001" customHeight="1">
      <c r="A51" s="621"/>
      <c r="B51" s="622"/>
      <c r="C51" s="623"/>
      <c r="D51" s="623"/>
      <c r="E51" s="624"/>
      <c r="F51" s="625"/>
      <c r="G51" s="626"/>
      <c r="H51" s="627"/>
      <c r="I51" s="634" t="str">
        <f t="shared" si="3"/>
        <v/>
      </c>
    </row>
    <row r="52" spans="1:9" ht="20.100000000000001" customHeight="1">
      <c r="A52" s="621"/>
      <c r="B52" s="622"/>
      <c r="C52" s="623"/>
      <c r="D52" s="623"/>
      <c r="E52" s="624"/>
      <c r="F52" s="625"/>
      <c r="G52" s="626"/>
      <c r="H52" s="627"/>
      <c r="I52" s="634" t="str">
        <f t="shared" si="3"/>
        <v/>
      </c>
    </row>
    <row r="53" spans="1:9" ht="20.100000000000001" customHeight="1">
      <c r="A53" s="621"/>
      <c r="B53" s="622"/>
      <c r="C53" s="623"/>
      <c r="D53" s="623"/>
      <c r="E53" s="624"/>
      <c r="F53" s="625"/>
      <c r="G53" s="626"/>
      <c r="H53" s="627"/>
      <c r="I53" s="634" t="str">
        <f t="shared" si="3"/>
        <v/>
      </c>
    </row>
    <row r="54" spans="1:9" ht="20.100000000000001" customHeight="1">
      <c r="A54" s="621"/>
      <c r="B54" s="622"/>
      <c r="C54" s="623"/>
      <c r="D54" s="623"/>
      <c r="E54" s="624"/>
      <c r="F54" s="625"/>
      <c r="G54" s="626"/>
      <c r="H54" s="627"/>
      <c r="I54" s="634" t="str">
        <f t="shared" si="3"/>
        <v/>
      </c>
    </row>
    <row r="55" spans="1:9" ht="20.100000000000001" customHeight="1">
      <c r="A55" s="621"/>
      <c r="B55" s="622"/>
      <c r="C55" s="623"/>
      <c r="D55" s="623"/>
      <c r="E55" s="624"/>
      <c r="F55" s="625"/>
      <c r="G55" s="626"/>
      <c r="H55" s="627"/>
      <c r="I55" s="634" t="str">
        <f t="shared" si="3"/>
        <v/>
      </c>
    </row>
    <row r="56" spans="1:9" ht="20.100000000000001" customHeight="1">
      <c r="A56" s="621"/>
      <c r="B56" s="622"/>
      <c r="C56" s="623"/>
      <c r="D56" s="623"/>
      <c r="E56" s="624"/>
      <c r="F56" s="625"/>
      <c r="G56" s="626"/>
      <c r="H56" s="627"/>
      <c r="I56" s="634" t="str">
        <f t="shared" si="3"/>
        <v/>
      </c>
    </row>
    <row r="57" spans="1:9" ht="20.100000000000001" customHeight="1">
      <c r="A57" s="621"/>
      <c r="B57" s="622"/>
      <c r="C57" s="623"/>
      <c r="D57" s="623"/>
      <c r="E57" s="624"/>
      <c r="F57" s="625"/>
      <c r="G57" s="626"/>
      <c r="H57" s="627"/>
      <c r="I57" s="634" t="str">
        <f t="shared" si="3"/>
        <v/>
      </c>
    </row>
    <row r="58" spans="1:9" ht="20.100000000000001" customHeight="1">
      <c r="A58" s="621"/>
      <c r="B58" s="622"/>
      <c r="C58" s="623"/>
      <c r="D58" s="623"/>
      <c r="E58" s="624"/>
      <c r="F58" s="625"/>
      <c r="G58" s="626"/>
      <c r="H58" s="627"/>
      <c r="I58" s="634" t="str">
        <f t="shared" si="3"/>
        <v/>
      </c>
    </row>
    <row r="59" spans="1:9" ht="20.100000000000001" customHeight="1">
      <c r="A59" s="621"/>
      <c r="B59" s="622"/>
      <c r="C59" s="623"/>
      <c r="D59" s="623"/>
      <c r="E59" s="624"/>
      <c r="F59" s="625"/>
      <c r="G59" s="626"/>
      <c r="H59" s="627"/>
      <c r="I59" s="634" t="str">
        <f t="shared" si="3"/>
        <v/>
      </c>
    </row>
    <row r="60" spans="1:9" ht="20.100000000000001" customHeight="1">
      <c r="A60" s="621"/>
      <c r="B60" s="622"/>
      <c r="C60" s="623"/>
      <c r="D60" s="623"/>
      <c r="E60" s="624"/>
      <c r="F60" s="625"/>
      <c r="G60" s="626"/>
      <c r="H60" s="627"/>
      <c r="I60" s="634" t="str">
        <f t="shared" si="3"/>
        <v/>
      </c>
    </row>
    <row r="61" spans="1:9" ht="20.100000000000001" customHeight="1">
      <c r="A61" s="621"/>
      <c r="B61" s="622"/>
      <c r="C61" s="623"/>
      <c r="D61" s="623"/>
      <c r="E61" s="624"/>
      <c r="F61" s="625"/>
      <c r="G61" s="626"/>
      <c r="H61" s="627"/>
      <c r="I61" s="634" t="str">
        <f t="shared" si="3"/>
        <v/>
      </c>
    </row>
    <row r="62" spans="1:9" ht="20.100000000000001" customHeight="1">
      <c r="A62" s="621"/>
      <c r="B62" s="622"/>
      <c r="C62" s="623"/>
      <c r="D62" s="623"/>
      <c r="E62" s="624"/>
      <c r="F62" s="625"/>
      <c r="G62" s="626"/>
      <c r="H62" s="627"/>
      <c r="I62" s="634" t="str">
        <f t="shared" si="3"/>
        <v/>
      </c>
    </row>
    <row r="63" spans="1:9" ht="20.100000000000001" customHeight="1">
      <c r="A63" s="621"/>
      <c r="B63" s="622"/>
      <c r="C63" s="623"/>
      <c r="D63" s="623"/>
      <c r="E63" s="624"/>
      <c r="F63" s="625"/>
      <c r="G63" s="626"/>
      <c r="H63" s="627"/>
      <c r="I63" s="634" t="str">
        <f t="shared" si="3"/>
        <v/>
      </c>
    </row>
    <row r="64" spans="1:9" ht="20.100000000000001" customHeight="1">
      <c r="A64" s="621"/>
      <c r="B64" s="622"/>
      <c r="C64" s="623"/>
      <c r="D64" s="623"/>
      <c r="E64" s="624"/>
      <c r="F64" s="625"/>
      <c r="G64" s="626"/>
      <c r="H64" s="627"/>
      <c r="I64" s="634" t="str">
        <f t="shared" si="3"/>
        <v/>
      </c>
    </row>
    <row r="65" spans="1:9" ht="20.100000000000001" customHeight="1">
      <c r="A65" s="621"/>
      <c r="B65" s="622"/>
      <c r="C65" s="623"/>
      <c r="D65" s="623"/>
      <c r="E65" s="624"/>
      <c r="F65" s="625"/>
      <c r="G65" s="626"/>
      <c r="H65" s="627"/>
      <c r="I65" s="634" t="str">
        <f t="shared" si="3"/>
        <v/>
      </c>
    </row>
    <row r="66" spans="1:9" ht="20.100000000000001" customHeight="1">
      <c r="A66" s="621"/>
      <c r="B66" s="622"/>
      <c r="C66" s="623"/>
      <c r="D66" s="623"/>
      <c r="E66" s="624"/>
      <c r="F66" s="625"/>
      <c r="G66" s="626"/>
      <c r="H66" s="627"/>
      <c r="I66" s="634" t="str">
        <f t="shared" si="3"/>
        <v/>
      </c>
    </row>
    <row r="67" spans="1:9" ht="20.100000000000001" customHeight="1">
      <c r="A67" s="621"/>
      <c r="B67" s="622"/>
      <c r="C67" s="623"/>
      <c r="D67" s="623"/>
      <c r="E67" s="624"/>
      <c r="F67" s="625"/>
      <c r="G67" s="626"/>
      <c r="H67" s="627"/>
      <c r="I67" s="634" t="str">
        <f t="shared" si="3"/>
        <v/>
      </c>
    </row>
    <row r="68" spans="1:9" ht="20.100000000000001" customHeight="1">
      <c r="A68" s="621"/>
      <c r="B68" s="622"/>
      <c r="C68" s="623"/>
      <c r="D68" s="623"/>
      <c r="E68" s="624"/>
      <c r="F68" s="625"/>
      <c r="G68" s="626"/>
      <c r="H68" s="627"/>
      <c r="I68" s="634" t="str">
        <f t="shared" si="3"/>
        <v/>
      </c>
    </row>
    <row r="69" spans="1:9" ht="20.100000000000001" customHeight="1">
      <c r="A69" s="621"/>
      <c r="B69" s="622"/>
      <c r="C69" s="623"/>
      <c r="D69" s="623"/>
      <c r="E69" s="624"/>
      <c r="F69" s="625"/>
      <c r="G69" s="626"/>
      <c r="H69" s="627"/>
      <c r="I69" s="634" t="str">
        <f t="shared" si="3"/>
        <v/>
      </c>
    </row>
    <row r="70" spans="1:9" ht="20.100000000000001" customHeight="1">
      <c r="A70" s="621"/>
      <c r="B70" s="622"/>
      <c r="C70" s="623"/>
      <c r="D70" s="623"/>
      <c r="E70" s="624"/>
      <c r="F70" s="625"/>
      <c r="G70" s="626"/>
      <c r="H70" s="627"/>
      <c r="I70" s="634" t="str">
        <f t="shared" si="3"/>
        <v/>
      </c>
    </row>
    <row r="71" spans="1:9" ht="20.100000000000001" customHeight="1">
      <c r="A71" s="621"/>
      <c r="B71" s="622"/>
      <c r="C71" s="623"/>
      <c r="D71" s="623"/>
      <c r="E71" s="624"/>
      <c r="F71" s="625"/>
      <c r="G71" s="626"/>
      <c r="H71" s="627"/>
      <c r="I71" s="634" t="str">
        <f t="shared" si="3"/>
        <v/>
      </c>
    </row>
    <row r="72" spans="1:9" ht="20.100000000000001" customHeight="1">
      <c r="A72" s="621"/>
      <c r="B72" s="622"/>
      <c r="C72" s="623"/>
      <c r="D72" s="623"/>
      <c r="E72" s="624"/>
      <c r="F72" s="625"/>
      <c r="G72" s="626"/>
      <c r="H72" s="627"/>
      <c r="I72" s="634" t="str">
        <f t="shared" si="3"/>
        <v/>
      </c>
    </row>
    <row r="73" spans="1:9" ht="20.100000000000001" customHeight="1">
      <c r="A73" s="621"/>
      <c r="B73" s="622"/>
      <c r="C73" s="623"/>
      <c r="D73" s="623"/>
      <c r="E73" s="624"/>
      <c r="F73" s="625"/>
      <c r="G73" s="626"/>
      <c r="H73" s="627"/>
      <c r="I73" s="634" t="str">
        <f t="shared" si="3"/>
        <v/>
      </c>
    </row>
    <row r="74" spans="1:9" ht="20.100000000000001" customHeight="1">
      <c r="A74" s="621"/>
      <c r="B74" s="622"/>
      <c r="C74" s="623"/>
      <c r="D74" s="623"/>
      <c r="E74" s="624"/>
      <c r="F74" s="625"/>
      <c r="G74" s="626"/>
      <c r="H74" s="627"/>
      <c r="I74" s="634" t="str">
        <f t="shared" ref="I74:I98" si="4">IF(OR(G74&lt;&gt;"",H74&lt;&gt;""),I73+G74-H74,"")</f>
        <v/>
      </c>
    </row>
    <row r="75" spans="1:9" ht="20.100000000000001" customHeight="1">
      <c r="A75" s="621"/>
      <c r="B75" s="622"/>
      <c r="C75" s="623"/>
      <c r="D75" s="623"/>
      <c r="E75" s="624"/>
      <c r="F75" s="625"/>
      <c r="G75" s="626"/>
      <c r="H75" s="627"/>
      <c r="I75" s="634" t="str">
        <f t="shared" si="4"/>
        <v/>
      </c>
    </row>
    <row r="76" spans="1:9" ht="20.100000000000001" customHeight="1">
      <c r="A76" s="621"/>
      <c r="B76" s="622"/>
      <c r="C76" s="623"/>
      <c r="D76" s="623"/>
      <c r="E76" s="624"/>
      <c r="F76" s="625"/>
      <c r="G76" s="626"/>
      <c r="H76" s="627"/>
      <c r="I76" s="634" t="str">
        <f t="shared" si="4"/>
        <v/>
      </c>
    </row>
    <row r="77" spans="1:9" ht="20.100000000000001" customHeight="1">
      <c r="A77" s="621"/>
      <c r="B77" s="622"/>
      <c r="C77" s="623"/>
      <c r="D77" s="623"/>
      <c r="E77" s="624"/>
      <c r="F77" s="625"/>
      <c r="G77" s="626"/>
      <c r="H77" s="627"/>
      <c r="I77" s="634" t="str">
        <f t="shared" si="4"/>
        <v/>
      </c>
    </row>
    <row r="78" spans="1:9" ht="20.100000000000001" customHeight="1">
      <c r="A78" s="621"/>
      <c r="B78" s="622"/>
      <c r="C78" s="623"/>
      <c r="D78" s="623"/>
      <c r="E78" s="624"/>
      <c r="F78" s="625"/>
      <c r="G78" s="626"/>
      <c r="H78" s="627"/>
      <c r="I78" s="634" t="str">
        <f t="shared" si="4"/>
        <v/>
      </c>
    </row>
    <row r="79" spans="1:9" ht="20.100000000000001" customHeight="1">
      <c r="A79" s="621"/>
      <c r="B79" s="622"/>
      <c r="C79" s="623"/>
      <c r="D79" s="623"/>
      <c r="E79" s="624"/>
      <c r="F79" s="625"/>
      <c r="G79" s="626"/>
      <c r="H79" s="627"/>
      <c r="I79" s="634" t="str">
        <f t="shared" si="4"/>
        <v/>
      </c>
    </row>
    <row r="80" spans="1:9" ht="20.100000000000001" customHeight="1">
      <c r="A80" s="621"/>
      <c r="B80" s="622"/>
      <c r="C80" s="623"/>
      <c r="D80" s="623"/>
      <c r="E80" s="624"/>
      <c r="F80" s="625"/>
      <c r="G80" s="626"/>
      <c r="H80" s="627"/>
      <c r="I80" s="634" t="str">
        <f t="shared" si="4"/>
        <v/>
      </c>
    </row>
    <row r="81" spans="1:9" ht="20.100000000000001" customHeight="1">
      <c r="A81" s="621"/>
      <c r="B81" s="622"/>
      <c r="C81" s="623"/>
      <c r="D81" s="623"/>
      <c r="E81" s="624"/>
      <c r="F81" s="625"/>
      <c r="G81" s="626"/>
      <c r="H81" s="627"/>
      <c r="I81" s="634" t="str">
        <f t="shared" si="4"/>
        <v/>
      </c>
    </row>
    <row r="82" spans="1:9" ht="20.100000000000001" customHeight="1">
      <c r="A82" s="621"/>
      <c r="B82" s="622"/>
      <c r="C82" s="623"/>
      <c r="D82" s="623"/>
      <c r="E82" s="624"/>
      <c r="F82" s="625"/>
      <c r="G82" s="626"/>
      <c r="H82" s="627"/>
      <c r="I82" s="634" t="str">
        <f t="shared" si="4"/>
        <v/>
      </c>
    </row>
    <row r="83" spans="1:9" ht="20.100000000000001" customHeight="1">
      <c r="A83" s="621"/>
      <c r="B83" s="622"/>
      <c r="C83" s="623"/>
      <c r="D83" s="623"/>
      <c r="E83" s="624"/>
      <c r="F83" s="625"/>
      <c r="G83" s="626"/>
      <c r="H83" s="627"/>
      <c r="I83" s="634" t="str">
        <f t="shared" si="4"/>
        <v/>
      </c>
    </row>
    <row r="84" spans="1:9" ht="20.100000000000001" customHeight="1">
      <c r="A84" s="621"/>
      <c r="B84" s="622"/>
      <c r="C84" s="623"/>
      <c r="D84" s="623"/>
      <c r="E84" s="624"/>
      <c r="F84" s="625"/>
      <c r="G84" s="626"/>
      <c r="H84" s="627"/>
      <c r="I84" s="634" t="str">
        <f t="shared" si="4"/>
        <v/>
      </c>
    </row>
    <row r="85" spans="1:9" ht="20.100000000000001" customHeight="1">
      <c r="A85" s="621"/>
      <c r="B85" s="622"/>
      <c r="C85" s="623"/>
      <c r="D85" s="623"/>
      <c r="E85" s="624"/>
      <c r="F85" s="625"/>
      <c r="G85" s="626"/>
      <c r="H85" s="627"/>
      <c r="I85" s="634" t="str">
        <f t="shared" si="4"/>
        <v/>
      </c>
    </row>
    <row r="86" spans="1:9" ht="20.100000000000001" customHeight="1">
      <c r="A86" s="621"/>
      <c r="B86" s="622"/>
      <c r="C86" s="623"/>
      <c r="D86" s="623"/>
      <c r="E86" s="624"/>
      <c r="F86" s="625"/>
      <c r="G86" s="626"/>
      <c r="H86" s="627"/>
      <c r="I86" s="634" t="str">
        <f t="shared" si="4"/>
        <v/>
      </c>
    </row>
    <row r="87" spans="1:9" ht="20.100000000000001" customHeight="1">
      <c r="A87" s="621"/>
      <c r="B87" s="622"/>
      <c r="C87" s="623"/>
      <c r="D87" s="623"/>
      <c r="E87" s="624"/>
      <c r="F87" s="625"/>
      <c r="G87" s="626"/>
      <c r="H87" s="627"/>
      <c r="I87" s="634" t="str">
        <f t="shared" si="4"/>
        <v/>
      </c>
    </row>
    <row r="88" spans="1:9" ht="20.100000000000001" customHeight="1">
      <c r="A88" s="621"/>
      <c r="B88" s="622"/>
      <c r="C88" s="623"/>
      <c r="D88" s="623"/>
      <c r="E88" s="624"/>
      <c r="F88" s="625"/>
      <c r="G88" s="626"/>
      <c r="H88" s="627"/>
      <c r="I88" s="634" t="str">
        <f t="shared" si="4"/>
        <v/>
      </c>
    </row>
    <row r="89" spans="1:9" ht="20.100000000000001" customHeight="1">
      <c r="A89" s="621"/>
      <c r="B89" s="622"/>
      <c r="C89" s="623"/>
      <c r="D89" s="623"/>
      <c r="E89" s="624"/>
      <c r="F89" s="625"/>
      <c r="G89" s="626"/>
      <c r="H89" s="627"/>
      <c r="I89" s="634" t="str">
        <f t="shared" si="4"/>
        <v/>
      </c>
    </row>
    <row r="90" spans="1:9" ht="20.100000000000001" customHeight="1">
      <c r="A90" s="621"/>
      <c r="B90" s="622"/>
      <c r="C90" s="623"/>
      <c r="D90" s="623"/>
      <c r="E90" s="624"/>
      <c r="F90" s="625"/>
      <c r="G90" s="626"/>
      <c r="H90" s="627"/>
      <c r="I90" s="634" t="str">
        <f t="shared" si="4"/>
        <v/>
      </c>
    </row>
    <row r="91" spans="1:9" ht="20.100000000000001" customHeight="1">
      <c r="A91" s="621"/>
      <c r="B91" s="622"/>
      <c r="C91" s="623"/>
      <c r="D91" s="623"/>
      <c r="E91" s="624"/>
      <c r="F91" s="625"/>
      <c r="G91" s="626"/>
      <c r="H91" s="627"/>
      <c r="I91" s="634" t="str">
        <f t="shared" si="4"/>
        <v/>
      </c>
    </row>
    <row r="92" spans="1:9" ht="20.100000000000001" customHeight="1">
      <c r="A92" s="621"/>
      <c r="B92" s="622"/>
      <c r="C92" s="623"/>
      <c r="D92" s="623"/>
      <c r="E92" s="624"/>
      <c r="F92" s="625"/>
      <c r="G92" s="626"/>
      <c r="H92" s="627"/>
      <c r="I92" s="634" t="str">
        <f t="shared" si="4"/>
        <v/>
      </c>
    </row>
    <row r="93" spans="1:9" ht="20.100000000000001" customHeight="1">
      <c r="A93" s="621"/>
      <c r="B93" s="622"/>
      <c r="C93" s="623"/>
      <c r="D93" s="623"/>
      <c r="E93" s="624"/>
      <c r="F93" s="625"/>
      <c r="G93" s="626"/>
      <c r="H93" s="627"/>
      <c r="I93" s="634" t="str">
        <f t="shared" si="4"/>
        <v/>
      </c>
    </row>
    <row r="94" spans="1:9" ht="20.100000000000001" customHeight="1">
      <c r="A94" s="621"/>
      <c r="B94" s="622"/>
      <c r="C94" s="623"/>
      <c r="D94" s="623"/>
      <c r="E94" s="624"/>
      <c r="F94" s="625"/>
      <c r="G94" s="626"/>
      <c r="H94" s="627"/>
      <c r="I94" s="634" t="str">
        <f t="shared" si="4"/>
        <v/>
      </c>
    </row>
    <row r="95" spans="1:9" ht="20.100000000000001" customHeight="1">
      <c r="A95" s="621"/>
      <c r="B95" s="622"/>
      <c r="C95" s="623"/>
      <c r="D95" s="623"/>
      <c r="E95" s="624"/>
      <c r="F95" s="625"/>
      <c r="G95" s="626"/>
      <c r="H95" s="627"/>
      <c r="I95" s="634" t="str">
        <f t="shared" si="4"/>
        <v/>
      </c>
    </row>
    <row r="96" spans="1:9" ht="20.100000000000001" customHeight="1">
      <c r="A96" s="621"/>
      <c r="B96" s="622"/>
      <c r="C96" s="623"/>
      <c r="D96" s="623"/>
      <c r="E96" s="624"/>
      <c r="F96" s="625"/>
      <c r="G96" s="626"/>
      <c r="H96" s="627"/>
      <c r="I96" s="634" t="str">
        <f t="shared" si="4"/>
        <v/>
      </c>
    </row>
    <row r="97" spans="1:9" ht="20.100000000000001" customHeight="1">
      <c r="A97" s="621"/>
      <c r="B97" s="622"/>
      <c r="C97" s="623"/>
      <c r="D97" s="623"/>
      <c r="E97" s="624"/>
      <c r="F97" s="625"/>
      <c r="G97" s="626"/>
      <c r="H97" s="627"/>
      <c r="I97" s="634" t="str">
        <f t="shared" si="4"/>
        <v/>
      </c>
    </row>
    <row r="98" spans="1:9" ht="20.100000000000001" customHeight="1">
      <c r="A98" s="621"/>
      <c r="B98" s="622"/>
      <c r="C98" s="623"/>
      <c r="D98" s="623"/>
      <c r="E98" s="624"/>
      <c r="F98" s="625"/>
      <c r="G98" s="628"/>
      <c r="H98" s="629"/>
      <c r="I98" s="635" t="str">
        <f t="shared" si="4"/>
        <v/>
      </c>
    </row>
    <row r="99" spans="1:9" ht="20.100000000000001" customHeight="1">
      <c r="A99" s="652"/>
      <c r="B99" s="1133" t="s">
        <v>282</v>
      </c>
      <c r="C99" s="1134"/>
      <c r="D99" s="1135"/>
      <c r="E99" s="639"/>
      <c r="F99" s="640"/>
      <c r="G99" s="641">
        <f>SUM(G4:G98)</f>
        <v>0</v>
      </c>
      <c r="H99" s="641">
        <f>SUM(H4:H98)</f>
        <v>0</v>
      </c>
      <c r="I99" s="636">
        <f>G99-H99</f>
        <v>0</v>
      </c>
    </row>
    <row r="100" spans="1:9" ht="20.100000000000001" customHeight="1" thickBot="1">
      <c r="A100" s="630"/>
      <c r="B100" s="1123" t="str">
        <f>IF(A99="","次 期 繰 越","次 項 繰 越")</f>
        <v>次 期 繰 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G4:H4 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F5</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9C06E"/>
  </sheetPr>
  <dimension ref="A1:I101"/>
  <sheetViews>
    <sheetView showWhiteSpace="0" zoomScale="120" zoomScaleNormal="120" workbookViewId="0">
      <pane ySplit="3" topLeftCell="A4" activePane="bottomLeft" state="frozen"/>
      <selection activeCell="A4" sqref="A4"/>
      <selection pane="bottomLeft" activeCell="I5" sqref="I5"/>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23</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8</v>
      </c>
    </row>
    <row r="3" spans="1:9" s="618" customFormat="1" ht="30" customHeight="1" thickTop="1" thickBot="1">
      <c r="A3" s="654">
        <f>設定メニュー!$B$2</f>
        <v>42736</v>
      </c>
      <c r="B3" s="1136" t="s">
        <v>1</v>
      </c>
      <c r="C3" s="1137"/>
      <c r="D3" s="1138"/>
      <c r="E3" s="655" t="s">
        <v>28</v>
      </c>
      <c r="F3" s="656" t="s">
        <v>63</v>
      </c>
      <c r="G3" s="656" t="s">
        <v>4</v>
      </c>
      <c r="H3" s="657" t="s">
        <v>72</v>
      </c>
      <c r="I3" s="658"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IF(OR(G4&lt;&gt;"",H4&lt;&gt;""),H4-G4,"")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38"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IF(OR(G9&lt;&gt;"",H9&lt;&gt;""),I8-G9+H9,"")</f>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si="0"/>
        <v/>
      </c>
    </row>
    <row r="38" spans="1:9" ht="20.100000000000001" customHeight="1">
      <c r="A38" s="621"/>
      <c r="B38" s="622"/>
      <c r="C38" s="623"/>
      <c r="D38" s="623"/>
      <c r="E38" s="624"/>
      <c r="F38" s="625"/>
      <c r="G38" s="626"/>
      <c r="H38" s="627"/>
      <c r="I38" s="634" t="str">
        <f t="shared" si="0"/>
        <v/>
      </c>
    </row>
    <row r="39" spans="1:9" ht="20.100000000000001" customHeight="1">
      <c r="A39" s="621"/>
      <c r="B39" s="622"/>
      <c r="C39" s="623"/>
      <c r="D39" s="623"/>
      <c r="E39" s="624"/>
      <c r="F39" s="625"/>
      <c r="G39" s="626"/>
      <c r="H39" s="627"/>
      <c r="I39" s="634" t="str">
        <f t="shared" ref="I39:I72" si="1">IF(OR(G39&lt;&gt;"",H39&lt;&gt;""),I38-G39+H39,"")</f>
        <v/>
      </c>
    </row>
    <row r="40" spans="1:9" ht="20.100000000000001" customHeight="1">
      <c r="A40" s="621"/>
      <c r="B40" s="622"/>
      <c r="C40" s="623"/>
      <c r="D40" s="623"/>
      <c r="E40" s="624"/>
      <c r="F40" s="625"/>
      <c r="G40" s="626"/>
      <c r="H40" s="627"/>
      <c r="I40" s="634" t="str">
        <f t="shared" si="1"/>
        <v/>
      </c>
    </row>
    <row r="41" spans="1:9" ht="20.100000000000001" customHeight="1">
      <c r="A41" s="621"/>
      <c r="B41" s="622"/>
      <c r="C41" s="623"/>
      <c r="D41" s="623"/>
      <c r="E41" s="624"/>
      <c r="F41" s="625"/>
      <c r="G41" s="626"/>
      <c r="H41" s="627"/>
      <c r="I41" s="634" t="str">
        <f t="shared" si="1"/>
        <v/>
      </c>
    </row>
    <row r="42" spans="1:9" ht="20.100000000000001" customHeight="1">
      <c r="A42" s="621"/>
      <c r="B42" s="622"/>
      <c r="C42" s="623"/>
      <c r="D42" s="623"/>
      <c r="E42" s="624"/>
      <c r="F42" s="625"/>
      <c r="G42" s="626"/>
      <c r="H42" s="627"/>
      <c r="I42" s="634" t="str">
        <f t="shared" si="1"/>
        <v/>
      </c>
    </row>
    <row r="43" spans="1:9" ht="20.100000000000001" customHeight="1">
      <c r="A43" s="621"/>
      <c r="B43" s="622"/>
      <c r="C43" s="623"/>
      <c r="D43" s="623"/>
      <c r="E43" s="624"/>
      <c r="F43" s="625"/>
      <c r="G43" s="626"/>
      <c r="H43" s="627"/>
      <c r="I43" s="634" t="str">
        <f t="shared" si="1"/>
        <v/>
      </c>
    </row>
    <row r="44" spans="1:9" ht="20.100000000000001" customHeight="1">
      <c r="A44" s="621"/>
      <c r="B44" s="622"/>
      <c r="C44" s="623"/>
      <c r="D44" s="623"/>
      <c r="E44" s="624"/>
      <c r="F44" s="625"/>
      <c r="G44" s="626"/>
      <c r="H44" s="627"/>
      <c r="I44" s="634" t="str">
        <f t="shared" si="1"/>
        <v/>
      </c>
    </row>
    <row r="45" spans="1:9" ht="20.100000000000001" customHeight="1">
      <c r="A45" s="621"/>
      <c r="B45" s="622"/>
      <c r="C45" s="623"/>
      <c r="D45" s="623"/>
      <c r="E45" s="624"/>
      <c r="F45" s="625"/>
      <c r="G45" s="626"/>
      <c r="H45" s="627"/>
      <c r="I45" s="634" t="str">
        <f t="shared" si="1"/>
        <v/>
      </c>
    </row>
    <row r="46" spans="1:9" ht="20.100000000000001" customHeight="1">
      <c r="A46" s="621"/>
      <c r="B46" s="622"/>
      <c r="C46" s="623"/>
      <c r="D46" s="623"/>
      <c r="E46" s="624"/>
      <c r="F46" s="625"/>
      <c r="G46" s="626"/>
      <c r="H46" s="627"/>
      <c r="I46" s="634" t="str">
        <f t="shared" si="1"/>
        <v/>
      </c>
    </row>
    <row r="47" spans="1:9" ht="20.100000000000001" customHeight="1">
      <c r="A47" s="621"/>
      <c r="B47" s="622"/>
      <c r="C47" s="623"/>
      <c r="D47" s="623"/>
      <c r="E47" s="624"/>
      <c r="F47" s="625"/>
      <c r="G47" s="626"/>
      <c r="H47" s="627"/>
      <c r="I47" s="634" t="str">
        <f t="shared" si="1"/>
        <v/>
      </c>
    </row>
    <row r="48" spans="1:9" ht="20.100000000000001" customHeight="1">
      <c r="A48" s="621"/>
      <c r="B48" s="622"/>
      <c r="C48" s="623"/>
      <c r="D48" s="623"/>
      <c r="E48" s="624"/>
      <c r="F48" s="625"/>
      <c r="G48" s="626"/>
      <c r="H48" s="627"/>
      <c r="I48" s="634" t="str">
        <f t="shared" si="1"/>
        <v/>
      </c>
    </row>
    <row r="49" spans="1:9" ht="20.100000000000001" customHeight="1">
      <c r="A49" s="621"/>
      <c r="B49" s="622"/>
      <c r="C49" s="623"/>
      <c r="D49" s="623"/>
      <c r="E49" s="624"/>
      <c r="F49" s="625"/>
      <c r="G49" s="626"/>
      <c r="H49" s="627"/>
      <c r="I49" s="634" t="str">
        <f t="shared" si="1"/>
        <v/>
      </c>
    </row>
    <row r="50" spans="1:9" ht="20.100000000000001" customHeight="1">
      <c r="A50" s="621"/>
      <c r="B50" s="622"/>
      <c r="C50" s="623"/>
      <c r="D50" s="623"/>
      <c r="E50" s="624"/>
      <c r="F50" s="625"/>
      <c r="G50" s="626"/>
      <c r="H50" s="627"/>
      <c r="I50" s="634" t="str">
        <f t="shared" si="1"/>
        <v/>
      </c>
    </row>
    <row r="51" spans="1:9" ht="20.100000000000001" customHeight="1">
      <c r="A51" s="621"/>
      <c r="B51" s="622"/>
      <c r="C51" s="623"/>
      <c r="D51" s="623"/>
      <c r="E51" s="624"/>
      <c r="F51" s="625"/>
      <c r="G51" s="626"/>
      <c r="H51" s="627"/>
      <c r="I51" s="634" t="str">
        <f t="shared" si="1"/>
        <v/>
      </c>
    </row>
    <row r="52" spans="1:9" ht="20.100000000000001" customHeight="1">
      <c r="A52" s="621"/>
      <c r="B52" s="622"/>
      <c r="C52" s="623"/>
      <c r="D52" s="623"/>
      <c r="E52" s="624"/>
      <c r="F52" s="625"/>
      <c r="G52" s="626"/>
      <c r="H52" s="627"/>
      <c r="I52" s="634" t="str">
        <f t="shared" si="1"/>
        <v/>
      </c>
    </row>
    <row r="53" spans="1:9" ht="20.100000000000001" customHeight="1">
      <c r="A53" s="621"/>
      <c r="B53" s="622"/>
      <c r="C53" s="623"/>
      <c r="D53" s="623"/>
      <c r="E53" s="624"/>
      <c r="F53" s="625"/>
      <c r="G53" s="626"/>
      <c r="H53" s="627"/>
      <c r="I53" s="634" t="str">
        <f t="shared" si="1"/>
        <v/>
      </c>
    </row>
    <row r="54" spans="1:9" ht="20.100000000000001" customHeight="1">
      <c r="A54" s="621"/>
      <c r="B54" s="622"/>
      <c r="C54" s="623"/>
      <c r="D54" s="623"/>
      <c r="E54" s="624"/>
      <c r="F54" s="625"/>
      <c r="G54" s="626"/>
      <c r="H54" s="627"/>
      <c r="I54" s="634" t="str">
        <f t="shared" si="1"/>
        <v/>
      </c>
    </row>
    <row r="55" spans="1:9" ht="20.100000000000001" customHeight="1">
      <c r="A55" s="621"/>
      <c r="B55" s="622"/>
      <c r="C55" s="623"/>
      <c r="D55" s="623"/>
      <c r="E55" s="624"/>
      <c r="F55" s="625"/>
      <c r="G55" s="626"/>
      <c r="H55" s="627"/>
      <c r="I55" s="634" t="str">
        <f t="shared" si="1"/>
        <v/>
      </c>
    </row>
    <row r="56" spans="1:9" ht="20.100000000000001" customHeight="1">
      <c r="A56" s="621"/>
      <c r="B56" s="622"/>
      <c r="C56" s="623"/>
      <c r="D56" s="623"/>
      <c r="E56" s="624"/>
      <c r="F56" s="625"/>
      <c r="G56" s="626"/>
      <c r="H56" s="627"/>
      <c r="I56" s="634" t="str">
        <f t="shared" si="1"/>
        <v/>
      </c>
    </row>
    <row r="57" spans="1:9" ht="20.100000000000001" customHeight="1">
      <c r="A57" s="621"/>
      <c r="B57" s="622"/>
      <c r="C57" s="623"/>
      <c r="D57" s="623"/>
      <c r="E57" s="624"/>
      <c r="F57" s="625"/>
      <c r="G57" s="626"/>
      <c r="H57" s="627"/>
      <c r="I57" s="634" t="str">
        <f t="shared" si="1"/>
        <v/>
      </c>
    </row>
    <row r="58" spans="1:9" ht="20.100000000000001" customHeight="1">
      <c r="A58" s="621"/>
      <c r="B58" s="622"/>
      <c r="C58" s="623"/>
      <c r="D58" s="623"/>
      <c r="E58" s="624"/>
      <c r="F58" s="625"/>
      <c r="G58" s="626"/>
      <c r="H58" s="627"/>
      <c r="I58" s="634" t="str">
        <f t="shared" si="1"/>
        <v/>
      </c>
    </row>
    <row r="59" spans="1:9" ht="20.100000000000001" customHeight="1">
      <c r="A59" s="621"/>
      <c r="B59" s="622"/>
      <c r="C59" s="623"/>
      <c r="D59" s="623"/>
      <c r="E59" s="624"/>
      <c r="F59" s="625"/>
      <c r="G59" s="626"/>
      <c r="H59" s="627"/>
      <c r="I59" s="634" t="str">
        <f t="shared" si="1"/>
        <v/>
      </c>
    </row>
    <row r="60" spans="1:9" ht="20.100000000000001" customHeight="1">
      <c r="A60" s="621"/>
      <c r="B60" s="622"/>
      <c r="C60" s="623"/>
      <c r="D60" s="623"/>
      <c r="E60" s="624"/>
      <c r="F60" s="625"/>
      <c r="G60" s="626"/>
      <c r="H60" s="627"/>
      <c r="I60" s="634" t="str">
        <f t="shared" si="1"/>
        <v/>
      </c>
    </row>
    <row r="61" spans="1:9" ht="20.100000000000001" customHeight="1">
      <c r="A61" s="621"/>
      <c r="B61" s="622"/>
      <c r="C61" s="623"/>
      <c r="D61" s="623"/>
      <c r="E61" s="624"/>
      <c r="F61" s="625"/>
      <c r="G61" s="626"/>
      <c r="H61" s="627"/>
      <c r="I61" s="634" t="str">
        <f t="shared" si="1"/>
        <v/>
      </c>
    </row>
    <row r="62" spans="1:9" ht="20.100000000000001" customHeight="1">
      <c r="A62" s="621"/>
      <c r="B62" s="622"/>
      <c r="C62" s="623"/>
      <c r="D62" s="623"/>
      <c r="E62" s="624"/>
      <c r="F62" s="625"/>
      <c r="G62" s="626"/>
      <c r="H62" s="627"/>
      <c r="I62" s="634" t="str">
        <f t="shared" si="1"/>
        <v/>
      </c>
    </row>
    <row r="63" spans="1:9" ht="20.100000000000001" customHeight="1">
      <c r="A63" s="621"/>
      <c r="B63" s="622"/>
      <c r="C63" s="623"/>
      <c r="D63" s="623"/>
      <c r="E63" s="624"/>
      <c r="F63" s="625"/>
      <c r="G63" s="626"/>
      <c r="H63" s="627"/>
      <c r="I63" s="634" t="str">
        <f t="shared" si="1"/>
        <v/>
      </c>
    </row>
    <row r="64" spans="1:9" ht="20.100000000000001" customHeight="1">
      <c r="A64" s="621"/>
      <c r="B64" s="622"/>
      <c r="C64" s="623"/>
      <c r="D64" s="623"/>
      <c r="E64" s="624"/>
      <c r="F64" s="625"/>
      <c r="G64" s="626"/>
      <c r="H64" s="627"/>
      <c r="I64" s="634" t="str">
        <f t="shared" si="1"/>
        <v/>
      </c>
    </row>
    <row r="65" spans="1:9" ht="20.100000000000001" customHeight="1">
      <c r="A65" s="621"/>
      <c r="B65" s="622"/>
      <c r="C65" s="623"/>
      <c r="D65" s="623"/>
      <c r="E65" s="624"/>
      <c r="F65" s="625"/>
      <c r="G65" s="626"/>
      <c r="H65" s="627"/>
      <c r="I65" s="634" t="str">
        <f t="shared" si="1"/>
        <v/>
      </c>
    </row>
    <row r="66" spans="1:9" ht="20.100000000000001" customHeight="1">
      <c r="A66" s="621"/>
      <c r="B66" s="622"/>
      <c r="C66" s="623"/>
      <c r="D66" s="623"/>
      <c r="E66" s="624"/>
      <c r="F66" s="625"/>
      <c r="G66" s="626"/>
      <c r="H66" s="627"/>
      <c r="I66" s="634" t="str">
        <f t="shared" si="1"/>
        <v/>
      </c>
    </row>
    <row r="67" spans="1:9" ht="20.100000000000001" customHeight="1">
      <c r="A67" s="621"/>
      <c r="B67" s="622"/>
      <c r="C67" s="623"/>
      <c r="D67" s="623"/>
      <c r="E67" s="624"/>
      <c r="F67" s="625"/>
      <c r="G67" s="626"/>
      <c r="H67" s="627"/>
      <c r="I67" s="634" t="str">
        <f t="shared" si="1"/>
        <v/>
      </c>
    </row>
    <row r="68" spans="1:9" ht="20.100000000000001" customHeight="1">
      <c r="A68" s="621"/>
      <c r="B68" s="622"/>
      <c r="C68" s="623"/>
      <c r="D68" s="623"/>
      <c r="E68" s="624"/>
      <c r="F68" s="625"/>
      <c r="G68" s="626"/>
      <c r="H68" s="627"/>
      <c r="I68" s="634" t="str">
        <f t="shared" si="1"/>
        <v/>
      </c>
    </row>
    <row r="69" spans="1:9" ht="20.100000000000001" customHeight="1">
      <c r="A69" s="621"/>
      <c r="B69" s="622"/>
      <c r="C69" s="623"/>
      <c r="D69" s="623"/>
      <c r="E69" s="624"/>
      <c r="F69" s="625"/>
      <c r="G69" s="626"/>
      <c r="H69" s="627"/>
      <c r="I69" s="634" t="str">
        <f t="shared" si="1"/>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ref="I73:I98" si="2">IF(OR(G73&lt;&gt;"",H73&lt;&gt;""),I72-G73+H73,"")</f>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si="2"/>
        <v/>
      </c>
    </row>
    <row r="76" spans="1:9" ht="20.100000000000001" customHeight="1">
      <c r="A76" s="621"/>
      <c r="B76" s="622"/>
      <c r="C76" s="623"/>
      <c r="D76" s="623"/>
      <c r="E76" s="624"/>
      <c r="F76" s="625"/>
      <c r="G76" s="626"/>
      <c r="H76" s="627"/>
      <c r="I76" s="634" t="str">
        <f t="shared" si="2"/>
        <v/>
      </c>
    </row>
    <row r="77" spans="1:9" ht="20.100000000000001" customHeight="1">
      <c r="A77" s="621"/>
      <c r="B77" s="622"/>
      <c r="C77" s="623"/>
      <c r="D77" s="623"/>
      <c r="E77" s="624"/>
      <c r="F77" s="625"/>
      <c r="G77" s="626"/>
      <c r="H77" s="627"/>
      <c r="I77" s="634" t="str">
        <f t="shared" si="2"/>
        <v/>
      </c>
    </row>
    <row r="78" spans="1:9" ht="20.100000000000001" customHeight="1">
      <c r="A78" s="621"/>
      <c r="B78" s="622"/>
      <c r="C78" s="623"/>
      <c r="D78" s="623"/>
      <c r="E78" s="624"/>
      <c r="F78" s="625"/>
      <c r="G78" s="626"/>
      <c r="H78" s="627"/>
      <c r="I78" s="634" t="str">
        <f t="shared" si="2"/>
        <v/>
      </c>
    </row>
    <row r="79" spans="1:9" ht="20.100000000000001" customHeight="1">
      <c r="A79" s="621"/>
      <c r="B79" s="622"/>
      <c r="C79" s="623"/>
      <c r="D79" s="623"/>
      <c r="E79" s="624"/>
      <c r="F79" s="625"/>
      <c r="G79" s="626"/>
      <c r="H79" s="627"/>
      <c r="I79" s="634" t="str">
        <f t="shared" si="2"/>
        <v/>
      </c>
    </row>
    <row r="80" spans="1:9" ht="20.100000000000001" customHeight="1">
      <c r="A80" s="621"/>
      <c r="B80" s="622"/>
      <c r="C80" s="623"/>
      <c r="D80" s="623"/>
      <c r="E80" s="624"/>
      <c r="F80" s="625"/>
      <c r="G80" s="626"/>
      <c r="H80" s="627"/>
      <c r="I80" s="634" t="str">
        <f t="shared" si="2"/>
        <v/>
      </c>
    </row>
    <row r="81" spans="1:9" ht="20.100000000000001" customHeight="1">
      <c r="A81" s="621"/>
      <c r="B81" s="622"/>
      <c r="C81" s="623"/>
      <c r="D81" s="623"/>
      <c r="E81" s="624"/>
      <c r="F81" s="625"/>
      <c r="G81" s="626"/>
      <c r="H81" s="627"/>
      <c r="I81" s="634" t="str">
        <f t="shared" si="2"/>
        <v/>
      </c>
    </row>
    <row r="82" spans="1:9" ht="20.100000000000001" customHeight="1">
      <c r="A82" s="621"/>
      <c r="B82" s="622"/>
      <c r="C82" s="623"/>
      <c r="D82" s="623"/>
      <c r="E82" s="624"/>
      <c r="F82" s="625"/>
      <c r="G82" s="626"/>
      <c r="H82" s="627"/>
      <c r="I82" s="634" t="str">
        <f t="shared" si="2"/>
        <v/>
      </c>
    </row>
    <row r="83" spans="1:9" ht="20.100000000000001" customHeight="1">
      <c r="A83" s="621"/>
      <c r="B83" s="622"/>
      <c r="C83" s="623"/>
      <c r="D83" s="623"/>
      <c r="E83" s="624"/>
      <c r="F83" s="625"/>
      <c r="G83" s="626"/>
      <c r="H83" s="627"/>
      <c r="I83" s="634" t="str">
        <f t="shared" si="2"/>
        <v/>
      </c>
    </row>
    <row r="84" spans="1:9" ht="20.100000000000001" customHeight="1">
      <c r="A84" s="621"/>
      <c r="B84" s="622"/>
      <c r="C84" s="623"/>
      <c r="D84" s="623"/>
      <c r="E84" s="624"/>
      <c r="F84" s="625"/>
      <c r="G84" s="626"/>
      <c r="H84" s="627"/>
      <c r="I84" s="634" t="str">
        <f t="shared" si="2"/>
        <v/>
      </c>
    </row>
    <row r="85" spans="1:9" ht="20.100000000000001" customHeight="1">
      <c r="A85" s="621"/>
      <c r="B85" s="622"/>
      <c r="C85" s="623"/>
      <c r="D85" s="623"/>
      <c r="E85" s="624"/>
      <c r="F85" s="625"/>
      <c r="G85" s="626"/>
      <c r="H85" s="627"/>
      <c r="I85" s="634" t="str">
        <f t="shared" si="2"/>
        <v/>
      </c>
    </row>
    <row r="86" spans="1:9" ht="20.100000000000001" customHeight="1">
      <c r="A86" s="621"/>
      <c r="B86" s="622"/>
      <c r="C86" s="623"/>
      <c r="D86" s="623"/>
      <c r="E86" s="624"/>
      <c r="F86" s="625"/>
      <c r="G86" s="626"/>
      <c r="H86" s="627"/>
      <c r="I86" s="634" t="str">
        <f t="shared" si="2"/>
        <v/>
      </c>
    </row>
    <row r="87" spans="1:9" ht="20.100000000000001" customHeight="1">
      <c r="A87" s="621"/>
      <c r="B87" s="622"/>
      <c r="C87" s="623"/>
      <c r="D87" s="623"/>
      <c r="E87" s="624"/>
      <c r="F87" s="625"/>
      <c r="G87" s="626"/>
      <c r="H87" s="627"/>
      <c r="I87" s="634" t="str">
        <f t="shared" si="2"/>
        <v/>
      </c>
    </row>
    <row r="88" spans="1:9" ht="20.100000000000001" customHeight="1">
      <c r="A88" s="621"/>
      <c r="B88" s="622"/>
      <c r="C88" s="623"/>
      <c r="D88" s="623"/>
      <c r="E88" s="624"/>
      <c r="F88" s="625"/>
      <c r="G88" s="626"/>
      <c r="H88" s="627"/>
      <c r="I88" s="634" t="str">
        <f t="shared" si="2"/>
        <v/>
      </c>
    </row>
    <row r="89" spans="1:9" ht="20.100000000000001" customHeight="1">
      <c r="A89" s="621"/>
      <c r="B89" s="622"/>
      <c r="C89" s="623"/>
      <c r="D89" s="623"/>
      <c r="E89" s="624"/>
      <c r="F89" s="625"/>
      <c r="G89" s="626"/>
      <c r="H89" s="627"/>
      <c r="I89" s="634" t="str">
        <f t="shared" si="2"/>
        <v/>
      </c>
    </row>
    <row r="90" spans="1:9" ht="20.100000000000001" customHeight="1">
      <c r="A90" s="621"/>
      <c r="B90" s="622"/>
      <c r="C90" s="623"/>
      <c r="D90" s="623"/>
      <c r="E90" s="624"/>
      <c r="F90" s="625"/>
      <c r="G90" s="626"/>
      <c r="H90" s="627"/>
      <c r="I90" s="634" t="str">
        <f t="shared" si="2"/>
        <v/>
      </c>
    </row>
    <row r="91" spans="1:9" ht="20.100000000000001" customHeight="1">
      <c r="A91" s="621"/>
      <c r="B91" s="622"/>
      <c r="C91" s="623"/>
      <c r="D91" s="623"/>
      <c r="E91" s="624"/>
      <c r="F91" s="625"/>
      <c r="G91" s="626"/>
      <c r="H91" s="627"/>
      <c r="I91" s="634" t="str">
        <f t="shared" si="2"/>
        <v/>
      </c>
    </row>
    <row r="92" spans="1:9" ht="20.100000000000001" customHeight="1">
      <c r="A92" s="621"/>
      <c r="B92" s="622"/>
      <c r="C92" s="623"/>
      <c r="D92" s="623"/>
      <c r="E92" s="624"/>
      <c r="F92" s="625"/>
      <c r="G92" s="626"/>
      <c r="H92" s="627"/>
      <c r="I92" s="634" t="str">
        <f t="shared" si="2"/>
        <v/>
      </c>
    </row>
    <row r="93" spans="1:9" ht="20.100000000000001" customHeight="1">
      <c r="A93" s="621"/>
      <c r="B93" s="622"/>
      <c r="C93" s="623"/>
      <c r="D93" s="623"/>
      <c r="E93" s="624"/>
      <c r="F93" s="625"/>
      <c r="G93" s="626"/>
      <c r="H93" s="627"/>
      <c r="I93" s="634" t="str">
        <f t="shared" si="2"/>
        <v/>
      </c>
    </row>
    <row r="94" spans="1:9" ht="20.100000000000001" customHeight="1">
      <c r="A94" s="621"/>
      <c r="B94" s="622"/>
      <c r="C94" s="623"/>
      <c r="D94" s="623"/>
      <c r="E94" s="624"/>
      <c r="F94" s="625"/>
      <c r="G94" s="626"/>
      <c r="H94" s="627"/>
      <c r="I94" s="634" t="str">
        <f t="shared" si="2"/>
        <v/>
      </c>
    </row>
    <row r="95" spans="1:9" ht="20.100000000000001" customHeight="1">
      <c r="A95" s="621"/>
      <c r="B95" s="622"/>
      <c r="C95" s="623"/>
      <c r="D95" s="623"/>
      <c r="E95" s="624"/>
      <c r="F95" s="625"/>
      <c r="G95" s="626"/>
      <c r="H95" s="627"/>
      <c r="I95" s="634" t="str">
        <f t="shared" si="2"/>
        <v/>
      </c>
    </row>
    <row r="96" spans="1:9" ht="20.100000000000001" customHeight="1">
      <c r="A96" s="621"/>
      <c r="B96" s="622"/>
      <c r="C96" s="623"/>
      <c r="D96" s="623"/>
      <c r="E96" s="624"/>
      <c r="F96" s="625"/>
      <c r="G96" s="626"/>
      <c r="H96" s="627"/>
      <c r="I96" s="634" t="str">
        <f>IF(OR(G96&lt;&gt;"",H96&lt;&gt;""),I95-G96+H96,"")</f>
        <v/>
      </c>
    </row>
    <row r="97" spans="1:9" ht="20.100000000000001" customHeight="1">
      <c r="A97" s="621"/>
      <c r="B97" s="622"/>
      <c r="C97" s="623"/>
      <c r="D97" s="623"/>
      <c r="E97" s="624"/>
      <c r="F97" s="625"/>
      <c r="G97" s="626"/>
      <c r="H97" s="627"/>
      <c r="I97" s="634" t="str">
        <f t="shared" si="2"/>
        <v/>
      </c>
    </row>
    <row r="98" spans="1:9" ht="20.100000000000001" customHeight="1">
      <c r="A98" s="621"/>
      <c r="B98" s="622"/>
      <c r="C98" s="623"/>
      <c r="D98" s="623"/>
      <c r="E98" s="624"/>
      <c r="F98" s="625"/>
      <c r="G98" s="628"/>
      <c r="H98" s="629"/>
      <c r="I98" s="635" t="str">
        <f t="shared" si="2"/>
        <v/>
      </c>
    </row>
    <row r="99" spans="1:9" ht="20.100000000000001" customHeight="1">
      <c r="A99" s="652"/>
      <c r="B99" s="1133" t="s">
        <v>282</v>
      </c>
      <c r="C99" s="1134"/>
      <c r="D99" s="1135"/>
      <c r="E99" s="639"/>
      <c r="F99" s="640"/>
      <c r="G99" s="682">
        <f>SUM(G4:G98)</f>
        <v>0</v>
      </c>
      <c r="H99" s="682">
        <f>SUM(H4:H98)</f>
        <v>0</v>
      </c>
      <c r="I99" s="680">
        <f>H99-G99</f>
        <v>0</v>
      </c>
    </row>
    <row r="100" spans="1:9" ht="20.100000000000001" customHeight="1" thickBot="1">
      <c r="A100" s="630"/>
      <c r="B100" s="1123" t="str">
        <f>IF(A99="","次 期 繰 越","次 項 繰 越")</f>
        <v>次 期 繰 越</v>
      </c>
      <c r="C100" s="1124"/>
      <c r="D100" s="1125"/>
      <c r="E100" s="642"/>
      <c r="F100" s="642"/>
      <c r="G100" s="643">
        <f>IF(I99&lt;0,"",ABS(I99))</f>
        <v>0</v>
      </c>
      <c r="H100" s="644">
        <f>IF(I99&gt;0,"",ABS(I99))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I2 G4:H4" unlockedFormula="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9C06E"/>
  </sheetPr>
  <dimension ref="A1:I101"/>
  <sheetViews>
    <sheetView showWhiteSpace="0" zoomScale="120" zoomScaleNormal="120" workbookViewId="0">
      <pane ySplit="3" topLeftCell="A4" activePane="bottomLeft" state="frozen"/>
      <selection activeCell="A4" sqref="A4"/>
      <selection pane="bottomLeft" activeCell="B8" sqref="B8"/>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42</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9</v>
      </c>
    </row>
    <row r="3" spans="1:9" s="618" customFormat="1" ht="30" customHeight="1" thickTop="1" thickBot="1">
      <c r="A3" s="654">
        <f>設定メニュー!$B$2</f>
        <v>42736</v>
      </c>
      <c r="B3" s="1136" t="s">
        <v>1</v>
      </c>
      <c r="C3" s="1137"/>
      <c r="D3" s="1138"/>
      <c r="E3" s="655" t="s">
        <v>28</v>
      </c>
      <c r="F3" s="656" t="s">
        <v>63</v>
      </c>
      <c r="G3" s="656" t="s">
        <v>4</v>
      </c>
      <c r="H3" s="657" t="s">
        <v>72</v>
      </c>
      <c r="I3" s="658" t="s">
        <v>29</v>
      </c>
    </row>
    <row r="4" spans="1:9" ht="20.100000000000001" customHeight="1">
      <c r="A4" s="785">
        <f>設定メニュー!$B$2</f>
        <v>42736</v>
      </c>
      <c r="B4" s="1126" t="s">
        <v>6</v>
      </c>
      <c r="C4" s="1127"/>
      <c r="D4" s="1128"/>
      <c r="E4" s="786"/>
      <c r="F4" s="787"/>
      <c r="G4" s="788">
        <f>VLOOKUP($A$1,合計残高試算表!$A$5:$G$44,2,0)</f>
        <v>0</v>
      </c>
      <c r="H4" s="788">
        <f>VLOOKUP($A$1,合計残高試算表!$A$5:$G$44,3,0)</f>
        <v>0</v>
      </c>
      <c r="I4" s="789">
        <f>IF(OR(G4&lt;&gt;"",H4&lt;&gt;""),H4-G4,"")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2"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ref="I13:I37" si="1">IF(OR(G13&lt;&gt;"",H13&lt;&gt;""),I12-G13+H13,"")</f>
        <v/>
      </c>
    </row>
    <row r="14" spans="1:9" ht="20.100000000000001" customHeight="1">
      <c r="A14" s="621"/>
      <c r="B14" s="622"/>
      <c r="C14" s="623"/>
      <c r="D14" s="623"/>
      <c r="E14" s="624"/>
      <c r="F14" s="625"/>
      <c r="G14" s="626"/>
      <c r="H14" s="627"/>
      <c r="I14" s="634" t="str">
        <f t="shared" si="1"/>
        <v/>
      </c>
    </row>
    <row r="15" spans="1:9" ht="20.100000000000001" customHeight="1">
      <c r="A15" s="621"/>
      <c r="B15" s="622"/>
      <c r="C15" s="623"/>
      <c r="D15" s="623"/>
      <c r="E15" s="624"/>
      <c r="F15" s="625"/>
      <c r="G15" s="626"/>
      <c r="H15" s="627"/>
      <c r="I15" s="634" t="str">
        <f t="shared" si="1"/>
        <v/>
      </c>
    </row>
    <row r="16" spans="1:9" ht="20.100000000000001" customHeight="1">
      <c r="A16" s="621"/>
      <c r="B16" s="622"/>
      <c r="C16" s="623"/>
      <c r="D16" s="623"/>
      <c r="E16" s="624"/>
      <c r="F16" s="625"/>
      <c r="G16" s="626"/>
      <c r="H16" s="627"/>
      <c r="I16" s="634" t="str">
        <f t="shared" si="1"/>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ref="I38:I74" si="2">IF(OR(G38&lt;&gt;"",H38&lt;&gt;""),I37-G38+H38,"")</f>
        <v/>
      </c>
    </row>
    <row r="39" spans="1:9" ht="20.100000000000001" customHeight="1">
      <c r="A39" s="621"/>
      <c r="B39" s="622"/>
      <c r="C39" s="623"/>
      <c r="D39" s="623"/>
      <c r="E39" s="624"/>
      <c r="F39" s="625"/>
      <c r="G39" s="626"/>
      <c r="H39" s="627"/>
      <c r="I39" s="634" t="str">
        <f t="shared" si="2"/>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28"/>
      <c r="H98" s="629"/>
      <c r="I98" s="635" t="str">
        <f t="shared" si="3"/>
        <v/>
      </c>
    </row>
    <row r="99" spans="1:9" ht="20.100000000000001" customHeight="1">
      <c r="A99" s="782"/>
      <c r="B99" s="1129" t="s">
        <v>282</v>
      </c>
      <c r="C99" s="1130"/>
      <c r="D99" s="1131"/>
      <c r="E99" s="783"/>
      <c r="F99" s="784"/>
      <c r="G99" s="641">
        <f>SUM(G4:G98)</f>
        <v>0</v>
      </c>
      <c r="H99" s="641">
        <f>SUM(H4:H98)</f>
        <v>0</v>
      </c>
      <c r="I99" s="636">
        <f>H99-G99</f>
        <v>0</v>
      </c>
    </row>
    <row r="100" spans="1:9" ht="20.100000000000001" customHeight="1" thickBot="1">
      <c r="A100" s="630"/>
      <c r="B100" s="1123" t="str">
        <f>IF(A99="","次 期 繰 越","次 項 繰 越")</f>
        <v>次 期 繰 越</v>
      </c>
      <c r="C100" s="1124"/>
      <c r="D100" s="1125"/>
      <c r="E100" s="642"/>
      <c r="F100" s="642"/>
      <c r="G100" s="643">
        <f>IF(I99&lt;0,"",ABS(I99))</f>
        <v>0</v>
      </c>
      <c r="H100" s="644">
        <f>IF(I99&gt;0,"",ABS(I99))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5">
    <mergeCell ref="B100:D100"/>
    <mergeCell ref="A1:I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I2 G4:H4" unlockedFormula="1"/>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8ECAA0"/>
  </sheetPr>
  <dimension ref="A1:I208"/>
  <sheetViews>
    <sheetView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24</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10</v>
      </c>
    </row>
    <row r="3" spans="1:9" s="618" customFormat="1" ht="30" customHeight="1" thickTop="1" thickBot="1">
      <c r="A3" s="659">
        <f>設定メニュー!$B$2</f>
        <v>42736</v>
      </c>
      <c r="B3" s="1139" t="s">
        <v>1</v>
      </c>
      <c r="C3" s="1140"/>
      <c r="D3" s="1141"/>
      <c r="E3" s="660" t="s">
        <v>28</v>
      </c>
      <c r="F3" s="661" t="s">
        <v>63</v>
      </c>
      <c r="G3" s="661" t="s">
        <v>4</v>
      </c>
      <c r="H3" s="662" t="s">
        <v>72</v>
      </c>
      <c r="I3" s="663"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IF(OR(G6&lt;&gt;"",H6&lt;&gt;""),I5-G6+H6,"")</f>
        <v/>
      </c>
    </row>
    <row r="7" spans="1:9" ht="20.100000000000001" customHeight="1">
      <c r="A7" s="621"/>
      <c r="B7" s="622"/>
      <c r="C7" s="623"/>
      <c r="D7" s="623"/>
      <c r="E7" s="624"/>
      <c r="F7" s="625"/>
      <c r="G7" s="626"/>
      <c r="H7" s="627"/>
      <c r="I7" s="634" t="str">
        <f t="shared" ref="I7:I25" si="0">IF(OR(G7&lt;&gt;"",H7&lt;&gt;""),I6-G7+H7,"")</f>
        <v/>
      </c>
    </row>
    <row r="8" spans="1:9" ht="20.100000000000001" customHeight="1">
      <c r="A8" s="621"/>
      <c r="B8" s="622"/>
      <c r="C8" s="623"/>
      <c r="D8" s="623"/>
      <c r="E8" s="624"/>
      <c r="F8" s="625"/>
      <c r="G8" s="626"/>
      <c r="H8" s="627"/>
      <c r="I8" s="634" t="str">
        <f>IF(OR(G8&lt;&gt;"",H8&lt;&gt;""),I7-G8+H8,"")</f>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IF(OR(G26&lt;&gt;"",H26&lt;&gt;""),I25-G26+H26,"")</f>
        <v/>
      </c>
    </row>
    <row r="27" spans="1:9" ht="20.100000000000001" customHeight="1">
      <c r="A27" s="621"/>
      <c r="B27" s="622"/>
      <c r="C27" s="623"/>
      <c r="D27" s="623"/>
      <c r="E27" s="624"/>
      <c r="F27" s="625"/>
      <c r="G27" s="626"/>
      <c r="H27" s="627"/>
      <c r="I27" s="634" t="str">
        <f t="shared" ref="I27:I188" si="1">IF(OR(G27&lt;&gt;"",H27&lt;&gt;""),I26-G27+H27,"")</f>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si="1"/>
        <v/>
      </c>
    </row>
    <row r="41" spans="1:9" ht="20.100000000000001" customHeight="1">
      <c r="A41" s="621"/>
      <c r="B41" s="622"/>
      <c r="C41" s="623"/>
      <c r="D41" s="623"/>
      <c r="E41" s="624"/>
      <c r="F41" s="625"/>
      <c r="G41" s="626"/>
      <c r="H41" s="627"/>
      <c r="I41" s="634" t="str">
        <f t="shared" si="1"/>
        <v/>
      </c>
    </row>
    <row r="42" spans="1:9" ht="20.100000000000001" customHeight="1">
      <c r="A42" s="621"/>
      <c r="B42" s="622"/>
      <c r="C42" s="623"/>
      <c r="D42" s="623"/>
      <c r="E42" s="624"/>
      <c r="F42" s="625"/>
      <c r="G42" s="626"/>
      <c r="H42" s="627"/>
      <c r="I42" s="634" t="str">
        <f t="shared" si="1"/>
        <v/>
      </c>
    </row>
    <row r="43" spans="1:9" ht="20.100000000000001" customHeight="1">
      <c r="A43" s="621"/>
      <c r="B43" s="622"/>
      <c r="C43" s="623"/>
      <c r="D43" s="623"/>
      <c r="E43" s="624"/>
      <c r="F43" s="625"/>
      <c r="G43" s="626"/>
      <c r="H43" s="627"/>
      <c r="I43" s="634" t="str">
        <f t="shared" si="1"/>
        <v/>
      </c>
    </row>
    <row r="44" spans="1:9" ht="20.100000000000001" customHeight="1">
      <c r="A44" s="621"/>
      <c r="B44" s="622"/>
      <c r="C44" s="623"/>
      <c r="D44" s="623"/>
      <c r="E44" s="624"/>
      <c r="F44" s="625"/>
      <c r="G44" s="626"/>
      <c r="H44" s="627"/>
      <c r="I44" s="634" t="str">
        <f t="shared" si="1"/>
        <v/>
      </c>
    </row>
    <row r="45" spans="1:9" ht="20.100000000000001" customHeight="1">
      <c r="A45" s="621"/>
      <c r="B45" s="622"/>
      <c r="C45" s="623"/>
      <c r="D45" s="623"/>
      <c r="E45" s="624"/>
      <c r="F45" s="625"/>
      <c r="G45" s="626"/>
      <c r="H45" s="627"/>
      <c r="I45" s="634" t="str">
        <f t="shared" si="1"/>
        <v/>
      </c>
    </row>
    <row r="46" spans="1:9" ht="20.100000000000001" customHeight="1">
      <c r="A46" s="621"/>
      <c r="B46" s="622"/>
      <c r="C46" s="623"/>
      <c r="D46" s="623"/>
      <c r="E46" s="624"/>
      <c r="F46" s="625"/>
      <c r="G46" s="626"/>
      <c r="H46" s="627"/>
      <c r="I46" s="634" t="str">
        <f t="shared" si="1"/>
        <v/>
      </c>
    </row>
    <row r="47" spans="1:9" ht="20.100000000000001" customHeight="1">
      <c r="A47" s="621"/>
      <c r="B47" s="622"/>
      <c r="C47" s="623"/>
      <c r="D47" s="623"/>
      <c r="E47" s="624"/>
      <c r="F47" s="625"/>
      <c r="G47" s="626"/>
      <c r="H47" s="627"/>
      <c r="I47" s="634" t="str">
        <f t="shared" si="1"/>
        <v/>
      </c>
    </row>
    <row r="48" spans="1:9" ht="20.100000000000001" customHeight="1">
      <c r="A48" s="621"/>
      <c r="B48" s="622"/>
      <c r="C48" s="623"/>
      <c r="D48" s="623"/>
      <c r="E48" s="624"/>
      <c r="F48" s="625"/>
      <c r="G48" s="626"/>
      <c r="H48" s="627"/>
      <c r="I48" s="634" t="str">
        <f t="shared" si="1"/>
        <v/>
      </c>
    </row>
    <row r="49" spans="1:9" ht="20.100000000000001" customHeight="1">
      <c r="A49" s="621"/>
      <c r="B49" s="622"/>
      <c r="C49" s="623"/>
      <c r="D49" s="623"/>
      <c r="E49" s="624"/>
      <c r="F49" s="625"/>
      <c r="G49" s="626"/>
      <c r="H49" s="627"/>
      <c r="I49" s="634" t="str">
        <f t="shared" si="1"/>
        <v/>
      </c>
    </row>
    <row r="50" spans="1:9" ht="20.100000000000001" customHeight="1">
      <c r="A50" s="621"/>
      <c r="B50" s="622"/>
      <c r="C50" s="623"/>
      <c r="D50" s="623"/>
      <c r="E50" s="624"/>
      <c r="F50" s="625"/>
      <c r="G50" s="626"/>
      <c r="H50" s="627"/>
      <c r="I50" s="634" t="str">
        <f t="shared" si="1"/>
        <v/>
      </c>
    </row>
    <row r="51" spans="1:9" ht="20.100000000000001" customHeight="1">
      <c r="A51" s="621"/>
      <c r="B51" s="622"/>
      <c r="C51" s="623"/>
      <c r="D51" s="623"/>
      <c r="E51" s="624"/>
      <c r="F51" s="625"/>
      <c r="G51" s="626"/>
      <c r="H51" s="627"/>
      <c r="I51" s="634" t="str">
        <f t="shared" si="1"/>
        <v/>
      </c>
    </row>
    <row r="52" spans="1:9" ht="20.100000000000001" customHeight="1">
      <c r="A52" s="621"/>
      <c r="B52" s="622"/>
      <c r="C52" s="623"/>
      <c r="D52" s="623"/>
      <c r="E52" s="624"/>
      <c r="F52" s="625"/>
      <c r="G52" s="626"/>
      <c r="H52" s="627"/>
      <c r="I52" s="634" t="str">
        <f t="shared" si="1"/>
        <v/>
      </c>
    </row>
    <row r="53" spans="1:9" ht="20.100000000000001" customHeight="1">
      <c r="A53" s="621"/>
      <c r="B53" s="622"/>
      <c r="C53" s="623"/>
      <c r="D53" s="623"/>
      <c r="E53" s="624"/>
      <c r="F53" s="625"/>
      <c r="G53" s="626"/>
      <c r="H53" s="627"/>
      <c r="I53" s="634" t="str">
        <f t="shared" si="1"/>
        <v/>
      </c>
    </row>
    <row r="54" spans="1:9" ht="20.100000000000001" customHeight="1">
      <c r="A54" s="621"/>
      <c r="B54" s="622"/>
      <c r="C54" s="623"/>
      <c r="D54" s="623"/>
      <c r="E54" s="624"/>
      <c r="F54" s="625"/>
      <c r="G54" s="626"/>
      <c r="H54" s="627"/>
      <c r="I54" s="634" t="str">
        <f t="shared" si="1"/>
        <v/>
      </c>
    </row>
    <row r="55" spans="1:9" ht="20.100000000000001" customHeight="1">
      <c r="A55" s="621"/>
      <c r="B55" s="622"/>
      <c r="C55" s="623"/>
      <c r="D55" s="623"/>
      <c r="E55" s="624"/>
      <c r="F55" s="625"/>
      <c r="G55" s="626"/>
      <c r="H55" s="627"/>
      <c r="I55" s="634" t="str">
        <f t="shared" si="1"/>
        <v/>
      </c>
    </row>
    <row r="56" spans="1:9" ht="20.100000000000001" customHeight="1">
      <c r="A56" s="621"/>
      <c r="B56" s="622"/>
      <c r="C56" s="623"/>
      <c r="D56" s="623"/>
      <c r="E56" s="624"/>
      <c r="F56" s="625"/>
      <c r="G56" s="626"/>
      <c r="H56" s="627"/>
      <c r="I56" s="634" t="str">
        <f t="shared" si="1"/>
        <v/>
      </c>
    </row>
    <row r="57" spans="1:9" ht="20.100000000000001" customHeight="1">
      <c r="A57" s="621"/>
      <c r="B57" s="622"/>
      <c r="C57" s="623"/>
      <c r="D57" s="623"/>
      <c r="E57" s="624"/>
      <c r="F57" s="625"/>
      <c r="G57" s="626"/>
      <c r="H57" s="627"/>
      <c r="I57" s="634" t="str">
        <f t="shared" si="1"/>
        <v/>
      </c>
    </row>
    <row r="58" spans="1:9" ht="20.100000000000001" customHeight="1">
      <c r="A58" s="621"/>
      <c r="B58" s="622"/>
      <c r="C58" s="623"/>
      <c r="D58" s="623"/>
      <c r="E58" s="624"/>
      <c r="F58" s="625"/>
      <c r="G58" s="626"/>
      <c r="H58" s="627"/>
      <c r="I58" s="634" t="str">
        <f t="shared" si="1"/>
        <v/>
      </c>
    </row>
    <row r="59" spans="1:9" ht="20.100000000000001" customHeight="1">
      <c r="A59" s="621"/>
      <c r="B59" s="622"/>
      <c r="C59" s="623"/>
      <c r="D59" s="623"/>
      <c r="E59" s="624"/>
      <c r="F59" s="625"/>
      <c r="G59" s="626"/>
      <c r="H59" s="627"/>
      <c r="I59" s="634" t="str">
        <f t="shared" si="1"/>
        <v/>
      </c>
    </row>
    <row r="60" spans="1:9" ht="20.100000000000001" customHeight="1">
      <c r="A60" s="621"/>
      <c r="B60" s="622"/>
      <c r="C60" s="623"/>
      <c r="D60" s="623"/>
      <c r="E60" s="624"/>
      <c r="F60" s="625"/>
      <c r="G60" s="626"/>
      <c r="H60" s="627"/>
      <c r="I60" s="634" t="str">
        <f t="shared" si="1"/>
        <v/>
      </c>
    </row>
    <row r="61" spans="1:9" ht="20.100000000000001" customHeight="1">
      <c r="A61" s="621"/>
      <c r="B61" s="622"/>
      <c r="C61" s="623"/>
      <c r="D61" s="623"/>
      <c r="E61" s="624"/>
      <c r="F61" s="625"/>
      <c r="G61" s="626"/>
      <c r="H61" s="627"/>
      <c r="I61" s="634" t="str">
        <f t="shared" si="1"/>
        <v/>
      </c>
    </row>
    <row r="62" spans="1:9" ht="20.100000000000001" customHeight="1">
      <c r="A62" s="621"/>
      <c r="B62" s="622"/>
      <c r="C62" s="623"/>
      <c r="D62" s="623"/>
      <c r="E62" s="624"/>
      <c r="F62" s="625"/>
      <c r="G62" s="626"/>
      <c r="H62" s="627"/>
      <c r="I62" s="634" t="str">
        <f t="shared" si="1"/>
        <v/>
      </c>
    </row>
    <row r="63" spans="1:9" ht="20.100000000000001" customHeight="1">
      <c r="A63" s="621"/>
      <c r="B63" s="622"/>
      <c r="C63" s="623"/>
      <c r="D63" s="623"/>
      <c r="E63" s="624"/>
      <c r="F63" s="625"/>
      <c r="G63" s="626"/>
      <c r="H63" s="627"/>
      <c r="I63" s="634" t="str">
        <f t="shared" si="1"/>
        <v/>
      </c>
    </row>
    <row r="64" spans="1:9" ht="20.100000000000001" customHeight="1">
      <c r="A64" s="621"/>
      <c r="B64" s="622"/>
      <c r="C64" s="623"/>
      <c r="D64" s="623"/>
      <c r="E64" s="624"/>
      <c r="F64" s="625"/>
      <c r="G64" s="626"/>
      <c r="H64" s="627"/>
      <c r="I64" s="634" t="str">
        <f t="shared" si="1"/>
        <v/>
      </c>
    </row>
    <row r="65" spans="1:9" ht="20.100000000000001" customHeight="1">
      <c r="A65" s="621"/>
      <c r="B65" s="622"/>
      <c r="C65" s="623"/>
      <c r="D65" s="623"/>
      <c r="E65" s="624"/>
      <c r="F65" s="625"/>
      <c r="G65" s="626"/>
      <c r="H65" s="627"/>
      <c r="I65" s="634" t="str">
        <f t="shared" si="1"/>
        <v/>
      </c>
    </row>
    <row r="66" spans="1:9" ht="20.100000000000001" customHeight="1">
      <c r="A66" s="621"/>
      <c r="B66" s="622"/>
      <c r="C66" s="623"/>
      <c r="D66" s="623"/>
      <c r="E66" s="624"/>
      <c r="F66" s="625"/>
      <c r="G66" s="626"/>
      <c r="H66" s="627"/>
      <c r="I66" s="634" t="str">
        <f t="shared" si="1"/>
        <v/>
      </c>
    </row>
    <row r="67" spans="1:9" ht="20.100000000000001" customHeight="1">
      <c r="A67" s="621"/>
      <c r="B67" s="622"/>
      <c r="C67" s="623"/>
      <c r="D67" s="623"/>
      <c r="E67" s="624"/>
      <c r="F67" s="625"/>
      <c r="G67" s="626"/>
      <c r="H67" s="627"/>
      <c r="I67" s="634" t="str">
        <f t="shared" si="1"/>
        <v/>
      </c>
    </row>
    <row r="68" spans="1:9" ht="20.100000000000001" customHeight="1">
      <c r="A68" s="621"/>
      <c r="B68" s="622"/>
      <c r="C68" s="623"/>
      <c r="D68" s="623"/>
      <c r="E68" s="624"/>
      <c r="F68" s="625"/>
      <c r="G68" s="626"/>
      <c r="H68" s="627"/>
      <c r="I68" s="634" t="str">
        <f t="shared" si="1"/>
        <v/>
      </c>
    </row>
    <row r="69" spans="1:9" ht="20.100000000000001" customHeight="1">
      <c r="A69" s="621"/>
      <c r="B69" s="622"/>
      <c r="C69" s="623"/>
      <c r="D69" s="623"/>
      <c r="E69" s="624"/>
      <c r="F69" s="625"/>
      <c r="G69" s="626"/>
      <c r="H69" s="627"/>
      <c r="I69" s="634" t="str">
        <f t="shared" si="1"/>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si="1"/>
        <v/>
      </c>
    </row>
    <row r="75" spans="1:9" ht="20.100000000000001" customHeight="1">
      <c r="A75" s="621"/>
      <c r="B75" s="622"/>
      <c r="C75" s="623"/>
      <c r="D75" s="623"/>
      <c r="E75" s="624"/>
      <c r="F75" s="625"/>
      <c r="G75" s="626"/>
      <c r="H75" s="627"/>
      <c r="I75" s="634" t="str">
        <f t="shared" si="1"/>
        <v/>
      </c>
    </row>
    <row r="76" spans="1:9" ht="20.100000000000001" customHeight="1">
      <c r="A76" s="621"/>
      <c r="B76" s="622"/>
      <c r="C76" s="623"/>
      <c r="D76" s="623"/>
      <c r="E76" s="624"/>
      <c r="F76" s="625"/>
      <c r="G76" s="626"/>
      <c r="H76" s="627"/>
      <c r="I76" s="634" t="str">
        <f t="shared" si="1"/>
        <v/>
      </c>
    </row>
    <row r="77" spans="1:9" ht="20.100000000000001" customHeight="1">
      <c r="A77" s="621"/>
      <c r="B77" s="622"/>
      <c r="C77" s="623"/>
      <c r="D77" s="623"/>
      <c r="E77" s="624"/>
      <c r="F77" s="625"/>
      <c r="G77" s="626"/>
      <c r="H77" s="627"/>
      <c r="I77" s="634" t="str">
        <f t="shared" si="1"/>
        <v/>
      </c>
    </row>
    <row r="78" spans="1:9" ht="20.100000000000001" customHeight="1">
      <c r="A78" s="621"/>
      <c r="B78" s="622"/>
      <c r="C78" s="623"/>
      <c r="D78" s="623"/>
      <c r="E78" s="624"/>
      <c r="F78" s="625"/>
      <c r="G78" s="626"/>
      <c r="H78" s="627"/>
      <c r="I78" s="634" t="str">
        <f t="shared" si="1"/>
        <v/>
      </c>
    </row>
    <row r="79" spans="1:9" ht="20.100000000000001" customHeight="1">
      <c r="A79" s="621"/>
      <c r="B79" s="622"/>
      <c r="C79" s="623"/>
      <c r="D79" s="623"/>
      <c r="E79" s="624"/>
      <c r="F79" s="625"/>
      <c r="G79" s="626"/>
      <c r="H79" s="627"/>
      <c r="I79" s="634" t="str">
        <f t="shared" si="1"/>
        <v/>
      </c>
    </row>
    <row r="80" spans="1:9" ht="20.100000000000001" customHeight="1">
      <c r="A80" s="621"/>
      <c r="B80" s="622"/>
      <c r="C80" s="623"/>
      <c r="D80" s="623"/>
      <c r="E80" s="624"/>
      <c r="F80" s="625"/>
      <c r="G80" s="626"/>
      <c r="H80" s="627"/>
      <c r="I80" s="634" t="str">
        <f t="shared" si="1"/>
        <v/>
      </c>
    </row>
    <row r="81" spans="1:9" ht="20.100000000000001" customHeight="1">
      <c r="A81" s="621"/>
      <c r="B81" s="622"/>
      <c r="C81" s="623"/>
      <c r="D81" s="623"/>
      <c r="E81" s="624"/>
      <c r="F81" s="625"/>
      <c r="G81" s="626"/>
      <c r="H81" s="627"/>
      <c r="I81" s="634" t="str">
        <f t="shared" si="1"/>
        <v/>
      </c>
    </row>
    <row r="82" spans="1:9" ht="20.100000000000001" customHeight="1">
      <c r="A82" s="621"/>
      <c r="B82" s="622"/>
      <c r="C82" s="623"/>
      <c r="D82" s="623"/>
      <c r="E82" s="624"/>
      <c r="F82" s="625"/>
      <c r="G82" s="626"/>
      <c r="H82" s="627"/>
      <c r="I82" s="634" t="str">
        <f t="shared" si="1"/>
        <v/>
      </c>
    </row>
    <row r="83" spans="1:9" ht="20.100000000000001" customHeight="1">
      <c r="A83" s="621"/>
      <c r="B83" s="622"/>
      <c r="C83" s="623"/>
      <c r="D83" s="623"/>
      <c r="E83" s="624"/>
      <c r="F83" s="625"/>
      <c r="G83" s="626"/>
      <c r="H83" s="627"/>
      <c r="I83" s="634" t="str">
        <f t="shared" si="1"/>
        <v/>
      </c>
    </row>
    <row r="84" spans="1:9" ht="20.100000000000001" customHeight="1">
      <c r="A84" s="621"/>
      <c r="B84" s="622"/>
      <c r="C84" s="623"/>
      <c r="D84" s="623"/>
      <c r="E84" s="624"/>
      <c r="F84" s="625"/>
      <c r="G84" s="626"/>
      <c r="H84" s="627"/>
      <c r="I84" s="634" t="str">
        <f t="shared" si="1"/>
        <v/>
      </c>
    </row>
    <row r="85" spans="1:9" ht="20.100000000000001" customHeight="1">
      <c r="A85" s="621"/>
      <c r="B85" s="622"/>
      <c r="C85" s="623"/>
      <c r="D85" s="623"/>
      <c r="E85" s="624"/>
      <c r="F85" s="625"/>
      <c r="G85" s="626"/>
      <c r="H85" s="627"/>
      <c r="I85" s="634" t="str">
        <f t="shared" si="1"/>
        <v/>
      </c>
    </row>
    <row r="86" spans="1:9" ht="20.100000000000001" customHeight="1">
      <c r="A86" s="621"/>
      <c r="B86" s="622"/>
      <c r="C86" s="623"/>
      <c r="D86" s="623"/>
      <c r="E86" s="624"/>
      <c r="F86" s="625"/>
      <c r="G86" s="626"/>
      <c r="H86" s="627"/>
      <c r="I86" s="634" t="str">
        <f t="shared" si="1"/>
        <v/>
      </c>
    </row>
    <row r="87" spans="1:9" ht="20.100000000000001" customHeight="1">
      <c r="A87" s="621"/>
      <c r="B87" s="622"/>
      <c r="C87" s="623"/>
      <c r="D87" s="623"/>
      <c r="E87" s="624"/>
      <c r="F87" s="625"/>
      <c r="G87" s="626"/>
      <c r="H87" s="627"/>
      <c r="I87" s="634" t="str">
        <f t="shared" si="1"/>
        <v/>
      </c>
    </row>
    <row r="88" spans="1:9" ht="20.100000000000001" customHeight="1">
      <c r="A88" s="621"/>
      <c r="B88" s="622"/>
      <c r="C88" s="623"/>
      <c r="D88" s="623"/>
      <c r="E88" s="624"/>
      <c r="F88" s="625"/>
      <c r="G88" s="626"/>
      <c r="H88" s="627"/>
      <c r="I88" s="634" t="str">
        <f t="shared" si="1"/>
        <v/>
      </c>
    </row>
    <row r="89" spans="1:9" ht="20.100000000000001" customHeight="1">
      <c r="A89" s="621"/>
      <c r="B89" s="622"/>
      <c r="C89" s="623"/>
      <c r="D89" s="623"/>
      <c r="E89" s="624"/>
      <c r="F89" s="625"/>
      <c r="G89" s="626"/>
      <c r="H89" s="627"/>
      <c r="I89" s="634" t="str">
        <f t="shared" si="1"/>
        <v/>
      </c>
    </row>
    <row r="90" spans="1:9" ht="20.100000000000001" customHeight="1">
      <c r="A90" s="621"/>
      <c r="B90" s="622"/>
      <c r="C90" s="623"/>
      <c r="D90" s="623"/>
      <c r="E90" s="624"/>
      <c r="F90" s="625"/>
      <c r="G90" s="626"/>
      <c r="H90" s="627"/>
      <c r="I90" s="634" t="str">
        <f t="shared" si="1"/>
        <v/>
      </c>
    </row>
    <row r="91" spans="1:9" ht="20.100000000000001" customHeight="1">
      <c r="A91" s="621"/>
      <c r="B91" s="622"/>
      <c r="C91" s="623"/>
      <c r="D91" s="623"/>
      <c r="E91" s="624"/>
      <c r="F91" s="625"/>
      <c r="G91" s="626"/>
      <c r="H91" s="627"/>
      <c r="I91" s="634" t="str">
        <f t="shared" si="1"/>
        <v/>
      </c>
    </row>
    <row r="92" spans="1:9" ht="20.100000000000001" customHeight="1">
      <c r="A92" s="621"/>
      <c r="B92" s="622"/>
      <c r="C92" s="623"/>
      <c r="D92" s="623"/>
      <c r="E92" s="624"/>
      <c r="F92" s="625"/>
      <c r="G92" s="626"/>
      <c r="H92" s="627"/>
      <c r="I92" s="634" t="str">
        <f t="shared" si="1"/>
        <v/>
      </c>
    </row>
    <row r="93" spans="1:9" ht="20.100000000000001" customHeight="1">
      <c r="A93" s="621"/>
      <c r="B93" s="622"/>
      <c r="C93" s="623"/>
      <c r="D93" s="623"/>
      <c r="E93" s="624"/>
      <c r="F93" s="625"/>
      <c r="G93" s="626"/>
      <c r="H93" s="627"/>
      <c r="I93" s="634" t="str">
        <f t="shared" si="1"/>
        <v/>
      </c>
    </row>
    <row r="94" spans="1:9" ht="20.100000000000001" customHeight="1">
      <c r="A94" s="621"/>
      <c r="B94" s="622"/>
      <c r="C94" s="623"/>
      <c r="D94" s="623"/>
      <c r="E94" s="624"/>
      <c r="F94" s="625"/>
      <c r="G94" s="626"/>
      <c r="H94" s="627"/>
      <c r="I94" s="634" t="str">
        <f t="shared" si="1"/>
        <v/>
      </c>
    </row>
    <row r="95" spans="1:9" ht="20.100000000000001" customHeight="1">
      <c r="A95" s="621"/>
      <c r="B95" s="622"/>
      <c r="C95" s="623"/>
      <c r="D95" s="623"/>
      <c r="E95" s="624"/>
      <c r="F95" s="625"/>
      <c r="G95" s="626"/>
      <c r="H95" s="627"/>
      <c r="I95" s="634" t="str">
        <f t="shared" si="1"/>
        <v/>
      </c>
    </row>
    <row r="96" spans="1:9" ht="20.100000000000001" customHeight="1">
      <c r="A96" s="621"/>
      <c r="B96" s="622"/>
      <c r="C96" s="623"/>
      <c r="D96" s="623"/>
      <c r="E96" s="624"/>
      <c r="F96" s="625"/>
      <c r="G96" s="626"/>
      <c r="H96" s="627"/>
      <c r="I96" s="634" t="str">
        <f t="shared" si="1"/>
        <v/>
      </c>
    </row>
    <row r="97" spans="1:9" ht="20.100000000000001" customHeight="1">
      <c r="A97" s="621"/>
      <c r="B97" s="622"/>
      <c r="C97" s="623"/>
      <c r="D97" s="623"/>
      <c r="E97" s="624"/>
      <c r="F97" s="625"/>
      <c r="G97" s="626"/>
      <c r="H97" s="627"/>
      <c r="I97" s="634" t="str">
        <f t="shared" si="1"/>
        <v/>
      </c>
    </row>
    <row r="98" spans="1:9" ht="20.100000000000001" customHeight="1">
      <c r="A98" s="621"/>
      <c r="B98" s="622"/>
      <c r="C98" s="623"/>
      <c r="D98" s="623"/>
      <c r="E98" s="624"/>
      <c r="F98" s="625"/>
      <c r="G98" s="626"/>
      <c r="H98" s="627"/>
      <c r="I98" s="634" t="str">
        <f t="shared" si="1"/>
        <v/>
      </c>
    </row>
    <row r="99" spans="1:9" ht="20.100000000000001" customHeight="1">
      <c r="A99" s="621"/>
      <c r="B99" s="622"/>
      <c r="C99" s="623"/>
      <c r="D99" s="623"/>
      <c r="E99" s="624"/>
      <c r="F99" s="625"/>
      <c r="G99" s="626"/>
      <c r="H99" s="627"/>
      <c r="I99" s="634" t="str">
        <f t="shared" si="1"/>
        <v/>
      </c>
    </row>
    <row r="100" spans="1:9" ht="20.100000000000001" customHeight="1">
      <c r="A100" s="621"/>
      <c r="B100" s="622"/>
      <c r="C100" s="623"/>
      <c r="D100" s="623"/>
      <c r="E100" s="624"/>
      <c r="F100" s="625"/>
      <c r="G100" s="626"/>
      <c r="H100" s="627"/>
      <c r="I100" s="634" t="str">
        <f t="shared" si="1"/>
        <v/>
      </c>
    </row>
    <row r="101" spans="1:9" ht="20.100000000000001" customHeight="1">
      <c r="A101" s="621"/>
      <c r="B101" s="622"/>
      <c r="C101" s="623"/>
      <c r="D101" s="623"/>
      <c r="E101" s="624"/>
      <c r="F101" s="625"/>
      <c r="G101" s="626"/>
      <c r="H101" s="627"/>
      <c r="I101" s="634" t="str">
        <f t="shared" si="1"/>
        <v/>
      </c>
    </row>
    <row r="102" spans="1:9" ht="20.100000000000001" customHeight="1">
      <c r="A102" s="621"/>
      <c r="B102" s="622"/>
      <c r="C102" s="623"/>
      <c r="D102" s="623"/>
      <c r="E102" s="624"/>
      <c r="F102" s="625"/>
      <c r="G102" s="626"/>
      <c r="H102" s="627"/>
      <c r="I102" s="634" t="str">
        <f t="shared" si="1"/>
        <v/>
      </c>
    </row>
    <row r="103" spans="1:9" ht="20.100000000000001" customHeight="1">
      <c r="A103" s="621"/>
      <c r="B103" s="622"/>
      <c r="C103" s="623"/>
      <c r="D103" s="623"/>
      <c r="E103" s="624"/>
      <c r="F103" s="625"/>
      <c r="G103" s="626"/>
      <c r="H103" s="627"/>
      <c r="I103" s="634" t="str">
        <f t="shared" si="1"/>
        <v/>
      </c>
    </row>
    <row r="104" spans="1:9" ht="20.100000000000001" customHeight="1">
      <c r="A104" s="621"/>
      <c r="B104" s="622"/>
      <c r="C104" s="623"/>
      <c r="D104" s="623"/>
      <c r="E104" s="624"/>
      <c r="F104" s="625"/>
      <c r="G104" s="626"/>
      <c r="H104" s="627"/>
      <c r="I104" s="634" t="str">
        <f t="shared" si="1"/>
        <v/>
      </c>
    </row>
    <row r="105" spans="1:9" ht="20.100000000000001" customHeight="1">
      <c r="A105" s="621"/>
      <c r="B105" s="622"/>
      <c r="C105" s="623"/>
      <c r="D105" s="623"/>
      <c r="E105" s="624"/>
      <c r="F105" s="625"/>
      <c r="G105" s="626"/>
      <c r="H105" s="627"/>
      <c r="I105" s="634" t="str">
        <f t="shared" si="1"/>
        <v/>
      </c>
    </row>
    <row r="106" spans="1:9" ht="20.100000000000001" customHeight="1">
      <c r="A106" s="621"/>
      <c r="B106" s="622"/>
      <c r="C106" s="623"/>
      <c r="D106" s="623"/>
      <c r="E106" s="624"/>
      <c r="F106" s="625"/>
      <c r="G106" s="626"/>
      <c r="H106" s="627"/>
      <c r="I106" s="634" t="str">
        <f t="shared" si="1"/>
        <v/>
      </c>
    </row>
    <row r="107" spans="1:9" ht="20.100000000000001" customHeight="1">
      <c r="A107" s="621"/>
      <c r="B107" s="622"/>
      <c r="C107" s="623"/>
      <c r="D107" s="623"/>
      <c r="E107" s="624"/>
      <c r="F107" s="625"/>
      <c r="G107" s="626"/>
      <c r="H107" s="627"/>
      <c r="I107" s="634" t="str">
        <f t="shared" si="1"/>
        <v/>
      </c>
    </row>
    <row r="108" spans="1:9" ht="20.100000000000001" customHeight="1">
      <c r="A108" s="621"/>
      <c r="B108" s="622"/>
      <c r="C108" s="623"/>
      <c r="D108" s="623"/>
      <c r="E108" s="624"/>
      <c r="F108" s="625"/>
      <c r="G108" s="626"/>
      <c r="H108" s="627"/>
      <c r="I108" s="634" t="str">
        <f t="shared" si="1"/>
        <v/>
      </c>
    </row>
    <row r="109" spans="1:9" ht="20.100000000000001" customHeight="1">
      <c r="A109" s="621"/>
      <c r="B109" s="622"/>
      <c r="C109" s="623"/>
      <c r="D109" s="623"/>
      <c r="E109" s="624"/>
      <c r="F109" s="625"/>
      <c r="G109" s="626"/>
      <c r="H109" s="627"/>
      <c r="I109" s="634" t="str">
        <f t="shared" si="1"/>
        <v/>
      </c>
    </row>
    <row r="110" spans="1:9" ht="20.100000000000001" customHeight="1">
      <c r="A110" s="621"/>
      <c r="B110" s="622"/>
      <c r="C110" s="623"/>
      <c r="D110" s="623"/>
      <c r="E110" s="624"/>
      <c r="F110" s="625"/>
      <c r="G110" s="626"/>
      <c r="H110" s="627"/>
      <c r="I110" s="634" t="str">
        <f t="shared" si="1"/>
        <v/>
      </c>
    </row>
    <row r="111" spans="1:9" ht="20.100000000000001" customHeight="1">
      <c r="A111" s="621"/>
      <c r="B111" s="622"/>
      <c r="C111" s="623"/>
      <c r="D111" s="623"/>
      <c r="E111" s="624"/>
      <c r="F111" s="625"/>
      <c r="G111" s="626"/>
      <c r="H111" s="627"/>
      <c r="I111" s="634" t="str">
        <f t="shared" si="1"/>
        <v/>
      </c>
    </row>
    <row r="112" spans="1:9" ht="20.100000000000001" customHeight="1">
      <c r="A112" s="621"/>
      <c r="B112" s="622"/>
      <c r="C112" s="623"/>
      <c r="D112" s="623"/>
      <c r="E112" s="624"/>
      <c r="F112" s="625"/>
      <c r="G112" s="626"/>
      <c r="H112" s="627"/>
      <c r="I112" s="634" t="str">
        <f t="shared" si="1"/>
        <v/>
      </c>
    </row>
    <row r="113" spans="1:9" ht="20.100000000000001" customHeight="1">
      <c r="A113" s="621"/>
      <c r="B113" s="622"/>
      <c r="C113" s="623"/>
      <c r="D113" s="623"/>
      <c r="E113" s="624"/>
      <c r="F113" s="625"/>
      <c r="G113" s="626"/>
      <c r="H113" s="627"/>
      <c r="I113" s="634" t="str">
        <f t="shared" si="1"/>
        <v/>
      </c>
    </row>
    <row r="114" spans="1:9" ht="20.100000000000001" customHeight="1">
      <c r="A114" s="621"/>
      <c r="B114" s="622"/>
      <c r="C114" s="623"/>
      <c r="D114" s="623"/>
      <c r="E114" s="624"/>
      <c r="F114" s="625"/>
      <c r="G114" s="626"/>
      <c r="H114" s="627"/>
      <c r="I114" s="634" t="str">
        <f t="shared" si="1"/>
        <v/>
      </c>
    </row>
    <row r="115" spans="1:9" ht="20.100000000000001" customHeight="1">
      <c r="A115" s="621"/>
      <c r="B115" s="622"/>
      <c r="C115" s="623"/>
      <c r="D115" s="623"/>
      <c r="E115" s="624"/>
      <c r="F115" s="625"/>
      <c r="G115" s="626"/>
      <c r="H115" s="627"/>
      <c r="I115" s="634" t="str">
        <f t="shared" si="1"/>
        <v/>
      </c>
    </row>
    <row r="116" spans="1:9" ht="20.100000000000001" customHeight="1">
      <c r="A116" s="621"/>
      <c r="B116" s="622"/>
      <c r="C116" s="623"/>
      <c r="D116" s="623"/>
      <c r="E116" s="624"/>
      <c r="F116" s="625"/>
      <c r="G116" s="626"/>
      <c r="H116" s="627"/>
      <c r="I116" s="634" t="str">
        <f t="shared" si="1"/>
        <v/>
      </c>
    </row>
    <row r="117" spans="1:9" ht="20.100000000000001" customHeight="1">
      <c r="A117" s="621"/>
      <c r="B117" s="622"/>
      <c r="C117" s="623"/>
      <c r="D117" s="623"/>
      <c r="E117" s="624"/>
      <c r="F117" s="625"/>
      <c r="G117" s="626"/>
      <c r="H117" s="627"/>
      <c r="I117" s="634" t="str">
        <f t="shared" si="1"/>
        <v/>
      </c>
    </row>
    <row r="118" spans="1:9" ht="20.100000000000001" customHeight="1">
      <c r="A118" s="621"/>
      <c r="B118" s="622"/>
      <c r="C118" s="623"/>
      <c r="D118" s="623"/>
      <c r="E118" s="624"/>
      <c r="F118" s="625"/>
      <c r="G118" s="626"/>
      <c r="H118" s="627"/>
      <c r="I118" s="634" t="str">
        <f t="shared" si="1"/>
        <v/>
      </c>
    </row>
    <row r="119" spans="1:9" ht="20.100000000000001" customHeight="1">
      <c r="A119" s="621"/>
      <c r="B119" s="622"/>
      <c r="C119" s="623"/>
      <c r="D119" s="623"/>
      <c r="E119" s="624"/>
      <c r="F119" s="625"/>
      <c r="G119" s="626"/>
      <c r="H119" s="627"/>
      <c r="I119" s="634" t="str">
        <f t="shared" si="1"/>
        <v/>
      </c>
    </row>
    <row r="120" spans="1:9" ht="20.100000000000001" customHeight="1">
      <c r="A120" s="621"/>
      <c r="B120" s="622"/>
      <c r="C120" s="623"/>
      <c r="D120" s="623"/>
      <c r="E120" s="624"/>
      <c r="F120" s="625"/>
      <c r="G120" s="626"/>
      <c r="H120" s="627"/>
      <c r="I120" s="634" t="str">
        <f t="shared" si="1"/>
        <v/>
      </c>
    </row>
    <row r="121" spans="1:9" ht="20.100000000000001" customHeight="1">
      <c r="A121" s="621"/>
      <c r="B121" s="622"/>
      <c r="C121" s="623"/>
      <c r="D121" s="623"/>
      <c r="E121" s="624"/>
      <c r="F121" s="625"/>
      <c r="G121" s="626"/>
      <c r="H121" s="627"/>
      <c r="I121" s="634" t="str">
        <f t="shared" si="1"/>
        <v/>
      </c>
    </row>
    <row r="122" spans="1:9" ht="20.100000000000001" customHeight="1">
      <c r="A122" s="621"/>
      <c r="B122" s="622"/>
      <c r="C122" s="623"/>
      <c r="D122" s="623"/>
      <c r="E122" s="624"/>
      <c r="F122" s="625"/>
      <c r="G122" s="626"/>
      <c r="H122" s="627"/>
      <c r="I122" s="634" t="str">
        <f t="shared" si="1"/>
        <v/>
      </c>
    </row>
    <row r="123" spans="1:9" ht="20.100000000000001" customHeight="1">
      <c r="A123" s="621"/>
      <c r="B123" s="622"/>
      <c r="C123" s="623"/>
      <c r="D123" s="623"/>
      <c r="E123" s="624"/>
      <c r="F123" s="625"/>
      <c r="G123" s="626"/>
      <c r="H123" s="627"/>
      <c r="I123" s="634" t="str">
        <f t="shared" si="1"/>
        <v/>
      </c>
    </row>
    <row r="124" spans="1:9" ht="20.100000000000001" customHeight="1">
      <c r="A124" s="621"/>
      <c r="B124" s="622"/>
      <c r="C124" s="623"/>
      <c r="D124" s="623"/>
      <c r="E124" s="624"/>
      <c r="F124" s="625"/>
      <c r="G124" s="626"/>
      <c r="H124" s="627"/>
      <c r="I124" s="634" t="str">
        <f t="shared" si="1"/>
        <v/>
      </c>
    </row>
    <row r="125" spans="1:9" ht="20.100000000000001" customHeight="1">
      <c r="A125" s="621"/>
      <c r="B125" s="622"/>
      <c r="C125" s="623"/>
      <c r="D125" s="623"/>
      <c r="E125" s="624"/>
      <c r="F125" s="625"/>
      <c r="G125" s="626"/>
      <c r="H125" s="627"/>
      <c r="I125" s="634" t="str">
        <f t="shared" si="1"/>
        <v/>
      </c>
    </row>
    <row r="126" spans="1:9" ht="20.100000000000001" customHeight="1">
      <c r="A126" s="621"/>
      <c r="B126" s="622"/>
      <c r="C126" s="623"/>
      <c r="D126" s="623"/>
      <c r="E126" s="624"/>
      <c r="F126" s="625"/>
      <c r="G126" s="626"/>
      <c r="H126" s="627"/>
      <c r="I126" s="634" t="str">
        <f t="shared" si="1"/>
        <v/>
      </c>
    </row>
    <row r="127" spans="1:9" ht="20.100000000000001" customHeight="1">
      <c r="A127" s="621"/>
      <c r="B127" s="622"/>
      <c r="C127" s="623"/>
      <c r="D127" s="623"/>
      <c r="E127" s="624"/>
      <c r="F127" s="625"/>
      <c r="G127" s="626"/>
      <c r="H127" s="627"/>
      <c r="I127" s="634" t="str">
        <f t="shared" si="1"/>
        <v/>
      </c>
    </row>
    <row r="128" spans="1:9" ht="20.100000000000001" customHeight="1">
      <c r="A128" s="621"/>
      <c r="B128" s="622"/>
      <c r="C128" s="623"/>
      <c r="D128" s="623"/>
      <c r="E128" s="624"/>
      <c r="F128" s="625"/>
      <c r="G128" s="626"/>
      <c r="H128" s="627"/>
      <c r="I128" s="634" t="str">
        <f t="shared" si="1"/>
        <v/>
      </c>
    </row>
    <row r="129" spans="1:9" ht="20.100000000000001" customHeight="1">
      <c r="A129" s="621"/>
      <c r="B129" s="622"/>
      <c r="C129" s="623"/>
      <c r="D129" s="623"/>
      <c r="E129" s="624"/>
      <c r="F129" s="625"/>
      <c r="G129" s="626"/>
      <c r="H129" s="627"/>
      <c r="I129" s="634" t="str">
        <f t="shared" si="1"/>
        <v/>
      </c>
    </row>
    <row r="130" spans="1:9" ht="20.100000000000001" customHeight="1">
      <c r="A130" s="621"/>
      <c r="B130" s="622"/>
      <c r="C130" s="623"/>
      <c r="D130" s="623"/>
      <c r="E130" s="624"/>
      <c r="F130" s="625"/>
      <c r="G130" s="626"/>
      <c r="H130" s="627"/>
      <c r="I130" s="634" t="str">
        <f t="shared" si="1"/>
        <v/>
      </c>
    </row>
    <row r="131" spans="1:9" ht="20.100000000000001" customHeight="1">
      <c r="A131" s="621"/>
      <c r="B131" s="622"/>
      <c r="C131" s="623"/>
      <c r="D131" s="623"/>
      <c r="E131" s="624"/>
      <c r="F131" s="625"/>
      <c r="G131" s="626"/>
      <c r="H131" s="627"/>
      <c r="I131" s="634" t="str">
        <f t="shared" si="1"/>
        <v/>
      </c>
    </row>
    <row r="132" spans="1:9" ht="20.100000000000001" customHeight="1">
      <c r="A132" s="621"/>
      <c r="B132" s="622"/>
      <c r="C132" s="623"/>
      <c r="D132" s="623"/>
      <c r="E132" s="624"/>
      <c r="F132" s="625"/>
      <c r="G132" s="626"/>
      <c r="H132" s="627"/>
      <c r="I132" s="634" t="str">
        <f t="shared" si="1"/>
        <v/>
      </c>
    </row>
    <row r="133" spans="1:9" ht="20.100000000000001" customHeight="1">
      <c r="A133" s="621"/>
      <c r="B133" s="622"/>
      <c r="C133" s="623"/>
      <c r="D133" s="623"/>
      <c r="E133" s="624"/>
      <c r="F133" s="625"/>
      <c r="G133" s="626"/>
      <c r="H133" s="627"/>
      <c r="I133" s="634" t="str">
        <f t="shared" si="1"/>
        <v/>
      </c>
    </row>
    <row r="134" spans="1:9" ht="20.100000000000001" customHeight="1">
      <c r="A134" s="621"/>
      <c r="B134" s="622"/>
      <c r="C134" s="623"/>
      <c r="D134" s="623"/>
      <c r="E134" s="624"/>
      <c r="F134" s="625"/>
      <c r="G134" s="626"/>
      <c r="H134" s="627"/>
      <c r="I134" s="634" t="str">
        <f t="shared" si="1"/>
        <v/>
      </c>
    </row>
    <row r="135" spans="1:9" ht="20.100000000000001" customHeight="1">
      <c r="A135" s="621"/>
      <c r="B135" s="622"/>
      <c r="C135" s="623"/>
      <c r="D135" s="623"/>
      <c r="E135" s="624"/>
      <c r="F135" s="625"/>
      <c r="G135" s="626"/>
      <c r="H135" s="627"/>
      <c r="I135" s="634" t="str">
        <f t="shared" si="1"/>
        <v/>
      </c>
    </row>
    <row r="136" spans="1:9" ht="20.100000000000001" customHeight="1">
      <c r="A136" s="621"/>
      <c r="B136" s="622"/>
      <c r="C136" s="623"/>
      <c r="D136" s="623"/>
      <c r="E136" s="624"/>
      <c r="F136" s="625"/>
      <c r="G136" s="626"/>
      <c r="H136" s="627"/>
      <c r="I136" s="634" t="str">
        <f t="shared" si="1"/>
        <v/>
      </c>
    </row>
    <row r="137" spans="1:9" ht="20.100000000000001" customHeight="1">
      <c r="A137" s="621"/>
      <c r="B137" s="622"/>
      <c r="C137" s="623"/>
      <c r="D137" s="623"/>
      <c r="E137" s="624"/>
      <c r="F137" s="625"/>
      <c r="G137" s="626"/>
      <c r="H137" s="627"/>
      <c r="I137" s="634" t="str">
        <f t="shared" si="1"/>
        <v/>
      </c>
    </row>
    <row r="138" spans="1:9" ht="20.100000000000001" customHeight="1">
      <c r="A138" s="621"/>
      <c r="B138" s="622"/>
      <c r="C138" s="623"/>
      <c r="D138" s="623"/>
      <c r="E138" s="624"/>
      <c r="F138" s="625"/>
      <c r="G138" s="626"/>
      <c r="H138" s="627"/>
      <c r="I138" s="634" t="str">
        <f t="shared" si="1"/>
        <v/>
      </c>
    </row>
    <row r="139" spans="1:9" ht="20.100000000000001" customHeight="1">
      <c r="A139" s="621"/>
      <c r="B139" s="622"/>
      <c r="C139" s="623"/>
      <c r="D139" s="623"/>
      <c r="E139" s="624"/>
      <c r="F139" s="625"/>
      <c r="G139" s="626"/>
      <c r="H139" s="627"/>
      <c r="I139" s="634" t="str">
        <f t="shared" si="1"/>
        <v/>
      </c>
    </row>
    <row r="140" spans="1:9" ht="20.100000000000001" customHeight="1">
      <c r="A140" s="621"/>
      <c r="B140" s="622"/>
      <c r="C140" s="623"/>
      <c r="D140" s="623"/>
      <c r="E140" s="624"/>
      <c r="F140" s="625"/>
      <c r="G140" s="626"/>
      <c r="H140" s="627"/>
      <c r="I140" s="634" t="str">
        <f t="shared" si="1"/>
        <v/>
      </c>
    </row>
    <row r="141" spans="1:9" ht="20.100000000000001" customHeight="1">
      <c r="A141" s="621"/>
      <c r="B141" s="622"/>
      <c r="C141" s="623"/>
      <c r="D141" s="623"/>
      <c r="E141" s="624"/>
      <c r="F141" s="625"/>
      <c r="G141" s="626"/>
      <c r="H141" s="627"/>
      <c r="I141" s="634" t="str">
        <f t="shared" si="1"/>
        <v/>
      </c>
    </row>
    <row r="142" spans="1:9" ht="20.100000000000001" customHeight="1">
      <c r="A142" s="621"/>
      <c r="B142" s="622"/>
      <c r="C142" s="623"/>
      <c r="D142" s="623"/>
      <c r="E142" s="624"/>
      <c r="F142" s="625"/>
      <c r="G142" s="626"/>
      <c r="H142" s="627"/>
      <c r="I142" s="634" t="str">
        <f t="shared" si="1"/>
        <v/>
      </c>
    </row>
    <row r="143" spans="1:9" ht="20.100000000000001" customHeight="1">
      <c r="A143" s="621"/>
      <c r="B143" s="622"/>
      <c r="C143" s="623"/>
      <c r="D143" s="623"/>
      <c r="E143" s="624"/>
      <c r="F143" s="625"/>
      <c r="G143" s="626"/>
      <c r="H143" s="627"/>
      <c r="I143" s="634" t="str">
        <f t="shared" si="1"/>
        <v/>
      </c>
    </row>
    <row r="144" spans="1:9" ht="20.100000000000001" customHeight="1">
      <c r="A144" s="621"/>
      <c r="B144" s="622"/>
      <c r="C144" s="623"/>
      <c r="D144" s="623"/>
      <c r="E144" s="624"/>
      <c r="F144" s="625"/>
      <c r="G144" s="626"/>
      <c r="H144" s="627"/>
      <c r="I144" s="634" t="str">
        <f t="shared" si="1"/>
        <v/>
      </c>
    </row>
    <row r="145" spans="1:9" ht="20.100000000000001" customHeight="1">
      <c r="A145" s="621"/>
      <c r="B145" s="622"/>
      <c r="C145" s="623"/>
      <c r="D145" s="623"/>
      <c r="E145" s="624"/>
      <c r="F145" s="625"/>
      <c r="G145" s="626"/>
      <c r="H145" s="627"/>
      <c r="I145" s="634" t="str">
        <f t="shared" si="1"/>
        <v/>
      </c>
    </row>
    <row r="146" spans="1:9" ht="20.100000000000001" customHeight="1">
      <c r="A146" s="621"/>
      <c r="B146" s="622"/>
      <c r="C146" s="623"/>
      <c r="D146" s="623"/>
      <c r="E146" s="624"/>
      <c r="F146" s="625"/>
      <c r="G146" s="626"/>
      <c r="H146" s="627"/>
      <c r="I146" s="634" t="str">
        <f t="shared" si="1"/>
        <v/>
      </c>
    </row>
    <row r="147" spans="1:9" ht="20.100000000000001" customHeight="1">
      <c r="A147" s="621"/>
      <c r="B147" s="622"/>
      <c r="C147" s="623"/>
      <c r="D147" s="623"/>
      <c r="E147" s="624"/>
      <c r="F147" s="625"/>
      <c r="G147" s="626"/>
      <c r="H147" s="627"/>
      <c r="I147" s="634" t="str">
        <f t="shared" si="1"/>
        <v/>
      </c>
    </row>
    <row r="148" spans="1:9" ht="20.100000000000001" customHeight="1">
      <c r="A148" s="621"/>
      <c r="B148" s="622"/>
      <c r="C148" s="623"/>
      <c r="D148" s="623"/>
      <c r="E148" s="624"/>
      <c r="F148" s="625"/>
      <c r="G148" s="626"/>
      <c r="H148" s="627"/>
      <c r="I148" s="634" t="str">
        <f t="shared" si="1"/>
        <v/>
      </c>
    </row>
    <row r="149" spans="1:9" ht="20.100000000000001" customHeight="1">
      <c r="A149" s="621"/>
      <c r="B149" s="622"/>
      <c r="C149" s="623"/>
      <c r="D149" s="623"/>
      <c r="E149" s="624"/>
      <c r="F149" s="625"/>
      <c r="G149" s="626"/>
      <c r="H149" s="627"/>
      <c r="I149" s="634" t="str">
        <f t="shared" si="1"/>
        <v/>
      </c>
    </row>
    <row r="150" spans="1:9" ht="20.100000000000001" customHeight="1">
      <c r="A150" s="621"/>
      <c r="B150" s="622"/>
      <c r="C150" s="623"/>
      <c r="D150" s="623"/>
      <c r="E150" s="624"/>
      <c r="F150" s="625"/>
      <c r="G150" s="626"/>
      <c r="H150" s="627"/>
      <c r="I150" s="634" t="str">
        <f t="shared" si="1"/>
        <v/>
      </c>
    </row>
    <row r="151" spans="1:9" ht="20.100000000000001" customHeight="1">
      <c r="A151" s="621"/>
      <c r="B151" s="622"/>
      <c r="C151" s="623"/>
      <c r="D151" s="623"/>
      <c r="E151" s="624"/>
      <c r="F151" s="625"/>
      <c r="G151" s="626"/>
      <c r="H151" s="627"/>
      <c r="I151" s="634" t="str">
        <f t="shared" si="1"/>
        <v/>
      </c>
    </row>
    <row r="152" spans="1:9" ht="20.100000000000001" customHeight="1">
      <c r="A152" s="621"/>
      <c r="B152" s="622"/>
      <c r="C152" s="623"/>
      <c r="D152" s="623"/>
      <c r="E152" s="624"/>
      <c r="F152" s="625"/>
      <c r="G152" s="626"/>
      <c r="H152" s="627"/>
      <c r="I152" s="634" t="str">
        <f t="shared" si="1"/>
        <v/>
      </c>
    </row>
    <row r="153" spans="1:9" ht="20.100000000000001" customHeight="1">
      <c r="A153" s="621"/>
      <c r="B153" s="622"/>
      <c r="C153" s="623"/>
      <c r="D153" s="623"/>
      <c r="E153" s="624"/>
      <c r="F153" s="625"/>
      <c r="G153" s="626"/>
      <c r="H153" s="627"/>
      <c r="I153" s="634" t="str">
        <f t="shared" si="1"/>
        <v/>
      </c>
    </row>
    <row r="154" spans="1:9" ht="20.100000000000001" customHeight="1">
      <c r="A154" s="621"/>
      <c r="B154" s="622"/>
      <c r="C154" s="623"/>
      <c r="D154" s="623"/>
      <c r="E154" s="624"/>
      <c r="F154" s="625"/>
      <c r="G154" s="626"/>
      <c r="H154" s="627"/>
      <c r="I154" s="634" t="str">
        <f t="shared" si="1"/>
        <v/>
      </c>
    </row>
    <row r="155" spans="1:9" ht="20.100000000000001" customHeight="1">
      <c r="A155" s="621"/>
      <c r="B155" s="622"/>
      <c r="C155" s="623"/>
      <c r="D155" s="623"/>
      <c r="E155" s="624"/>
      <c r="F155" s="625"/>
      <c r="G155" s="626"/>
      <c r="H155" s="627"/>
      <c r="I155" s="634" t="str">
        <f t="shared" si="1"/>
        <v/>
      </c>
    </row>
    <row r="156" spans="1:9" ht="20.100000000000001" customHeight="1">
      <c r="A156" s="621"/>
      <c r="B156" s="622"/>
      <c r="C156" s="623"/>
      <c r="D156" s="623"/>
      <c r="E156" s="624"/>
      <c r="F156" s="625"/>
      <c r="G156" s="626"/>
      <c r="H156" s="627"/>
      <c r="I156" s="634" t="str">
        <f t="shared" si="1"/>
        <v/>
      </c>
    </row>
    <row r="157" spans="1:9" ht="20.100000000000001" customHeight="1">
      <c r="A157" s="621"/>
      <c r="B157" s="622"/>
      <c r="C157" s="623"/>
      <c r="D157" s="623"/>
      <c r="E157" s="624"/>
      <c r="F157" s="625"/>
      <c r="G157" s="626"/>
      <c r="H157" s="627"/>
      <c r="I157" s="634" t="str">
        <f t="shared" si="1"/>
        <v/>
      </c>
    </row>
    <row r="158" spans="1:9" ht="20.100000000000001" customHeight="1">
      <c r="A158" s="621"/>
      <c r="B158" s="622"/>
      <c r="C158" s="623"/>
      <c r="D158" s="623"/>
      <c r="E158" s="624"/>
      <c r="F158" s="625"/>
      <c r="G158" s="626"/>
      <c r="H158" s="627"/>
      <c r="I158" s="634" t="str">
        <f t="shared" si="1"/>
        <v/>
      </c>
    </row>
    <row r="159" spans="1:9" ht="20.100000000000001" customHeight="1">
      <c r="A159" s="621"/>
      <c r="B159" s="622"/>
      <c r="C159" s="623"/>
      <c r="D159" s="623"/>
      <c r="E159" s="624"/>
      <c r="F159" s="625"/>
      <c r="G159" s="626"/>
      <c r="H159" s="627"/>
      <c r="I159" s="634" t="str">
        <f t="shared" si="1"/>
        <v/>
      </c>
    </row>
    <row r="160" spans="1:9" ht="20.100000000000001" customHeight="1">
      <c r="A160" s="621"/>
      <c r="B160" s="622"/>
      <c r="C160" s="623"/>
      <c r="D160" s="623"/>
      <c r="E160" s="624"/>
      <c r="F160" s="625"/>
      <c r="G160" s="626"/>
      <c r="H160" s="627"/>
      <c r="I160" s="634" t="str">
        <f t="shared" si="1"/>
        <v/>
      </c>
    </row>
    <row r="161" spans="1:9" ht="20.100000000000001" customHeight="1">
      <c r="A161" s="621"/>
      <c r="B161" s="622"/>
      <c r="C161" s="623"/>
      <c r="D161" s="623"/>
      <c r="E161" s="624"/>
      <c r="F161" s="625"/>
      <c r="G161" s="626"/>
      <c r="H161" s="627"/>
      <c r="I161" s="634" t="str">
        <f t="shared" si="1"/>
        <v/>
      </c>
    </row>
    <row r="162" spans="1:9" ht="20.100000000000001" customHeight="1">
      <c r="A162" s="621"/>
      <c r="B162" s="622"/>
      <c r="C162" s="623"/>
      <c r="D162" s="623"/>
      <c r="E162" s="624"/>
      <c r="F162" s="625"/>
      <c r="G162" s="626"/>
      <c r="H162" s="627"/>
      <c r="I162" s="634" t="str">
        <f t="shared" si="1"/>
        <v/>
      </c>
    </row>
    <row r="163" spans="1:9" ht="20.100000000000001" customHeight="1">
      <c r="A163" s="621"/>
      <c r="B163" s="622"/>
      <c r="C163" s="623"/>
      <c r="D163" s="623"/>
      <c r="E163" s="624"/>
      <c r="F163" s="625"/>
      <c r="G163" s="626"/>
      <c r="H163" s="627"/>
      <c r="I163" s="634" t="str">
        <f t="shared" si="1"/>
        <v/>
      </c>
    </row>
    <row r="164" spans="1:9" ht="20.100000000000001" customHeight="1">
      <c r="A164" s="621"/>
      <c r="B164" s="622"/>
      <c r="C164" s="623"/>
      <c r="D164" s="623"/>
      <c r="E164" s="624"/>
      <c r="F164" s="625"/>
      <c r="G164" s="626"/>
      <c r="H164" s="627"/>
      <c r="I164" s="634" t="str">
        <f t="shared" si="1"/>
        <v/>
      </c>
    </row>
    <row r="165" spans="1:9" ht="20.100000000000001" customHeight="1">
      <c r="A165" s="621"/>
      <c r="B165" s="622"/>
      <c r="C165" s="623"/>
      <c r="D165" s="623"/>
      <c r="E165" s="624"/>
      <c r="F165" s="625"/>
      <c r="G165" s="626"/>
      <c r="H165" s="627"/>
      <c r="I165" s="634" t="str">
        <f t="shared" si="1"/>
        <v/>
      </c>
    </row>
    <row r="166" spans="1:9" ht="20.100000000000001" customHeight="1">
      <c r="A166" s="621"/>
      <c r="B166" s="622"/>
      <c r="C166" s="623"/>
      <c r="D166" s="623"/>
      <c r="E166" s="624"/>
      <c r="F166" s="625"/>
      <c r="G166" s="626"/>
      <c r="H166" s="627"/>
      <c r="I166" s="634" t="str">
        <f t="shared" si="1"/>
        <v/>
      </c>
    </row>
    <row r="167" spans="1:9" ht="20.100000000000001" customHeight="1">
      <c r="A167" s="621"/>
      <c r="B167" s="622"/>
      <c r="C167" s="623"/>
      <c r="D167" s="623"/>
      <c r="E167" s="624"/>
      <c r="F167" s="625"/>
      <c r="G167" s="626"/>
      <c r="H167" s="627"/>
      <c r="I167" s="634" t="str">
        <f t="shared" si="1"/>
        <v/>
      </c>
    </row>
    <row r="168" spans="1:9" ht="20.100000000000001" customHeight="1">
      <c r="A168" s="621"/>
      <c r="B168" s="622"/>
      <c r="C168" s="623"/>
      <c r="D168" s="623"/>
      <c r="E168" s="624"/>
      <c r="F168" s="625"/>
      <c r="G168" s="626"/>
      <c r="H168" s="627"/>
      <c r="I168" s="634" t="str">
        <f t="shared" si="1"/>
        <v/>
      </c>
    </row>
    <row r="169" spans="1:9" ht="20.100000000000001" customHeight="1">
      <c r="A169" s="621"/>
      <c r="B169" s="622"/>
      <c r="C169" s="623"/>
      <c r="D169" s="623"/>
      <c r="E169" s="624"/>
      <c r="F169" s="625"/>
      <c r="G169" s="626"/>
      <c r="H169" s="627"/>
      <c r="I169" s="634" t="str">
        <f t="shared" si="1"/>
        <v/>
      </c>
    </row>
    <row r="170" spans="1:9" ht="20.100000000000001" customHeight="1">
      <c r="A170" s="621"/>
      <c r="B170" s="622"/>
      <c r="C170" s="623"/>
      <c r="D170" s="623"/>
      <c r="E170" s="624"/>
      <c r="F170" s="625"/>
      <c r="G170" s="626"/>
      <c r="H170" s="627"/>
      <c r="I170" s="634" t="str">
        <f t="shared" si="1"/>
        <v/>
      </c>
    </row>
    <row r="171" spans="1:9" ht="20.100000000000001" customHeight="1">
      <c r="A171" s="621"/>
      <c r="B171" s="622"/>
      <c r="C171" s="623"/>
      <c r="D171" s="623"/>
      <c r="E171" s="624"/>
      <c r="F171" s="625"/>
      <c r="G171" s="626"/>
      <c r="H171" s="627"/>
      <c r="I171" s="634" t="str">
        <f t="shared" si="1"/>
        <v/>
      </c>
    </row>
    <row r="172" spans="1:9" ht="20.100000000000001" customHeight="1">
      <c r="A172" s="621"/>
      <c r="B172" s="622"/>
      <c r="C172" s="623"/>
      <c r="D172" s="623"/>
      <c r="E172" s="624"/>
      <c r="F172" s="625"/>
      <c r="G172" s="626"/>
      <c r="H172" s="627"/>
      <c r="I172" s="634" t="str">
        <f t="shared" si="1"/>
        <v/>
      </c>
    </row>
    <row r="173" spans="1:9" ht="20.100000000000001" customHeight="1">
      <c r="A173" s="621"/>
      <c r="B173" s="622"/>
      <c r="C173" s="623"/>
      <c r="D173" s="623"/>
      <c r="E173" s="624"/>
      <c r="F173" s="625"/>
      <c r="G173" s="626"/>
      <c r="H173" s="627"/>
      <c r="I173" s="634" t="str">
        <f t="shared" si="1"/>
        <v/>
      </c>
    </row>
    <row r="174" spans="1:9" ht="20.100000000000001" customHeight="1">
      <c r="A174" s="621"/>
      <c r="B174" s="622"/>
      <c r="C174" s="623"/>
      <c r="D174" s="623"/>
      <c r="E174" s="624"/>
      <c r="F174" s="625"/>
      <c r="G174" s="626"/>
      <c r="H174" s="627"/>
      <c r="I174" s="634" t="str">
        <f t="shared" si="1"/>
        <v/>
      </c>
    </row>
    <row r="175" spans="1:9" ht="20.100000000000001" customHeight="1">
      <c r="A175" s="621"/>
      <c r="B175" s="622"/>
      <c r="C175" s="623"/>
      <c r="D175" s="623"/>
      <c r="E175" s="624"/>
      <c r="F175" s="625"/>
      <c r="G175" s="626"/>
      <c r="H175" s="627"/>
      <c r="I175" s="634" t="str">
        <f t="shared" si="1"/>
        <v/>
      </c>
    </row>
    <row r="176" spans="1:9" ht="20.100000000000001" customHeight="1">
      <c r="A176" s="621"/>
      <c r="B176" s="622"/>
      <c r="C176" s="623"/>
      <c r="D176" s="623"/>
      <c r="E176" s="624"/>
      <c r="F176" s="625"/>
      <c r="G176" s="626"/>
      <c r="H176" s="627"/>
      <c r="I176" s="634" t="str">
        <f t="shared" si="1"/>
        <v/>
      </c>
    </row>
    <row r="177" spans="1:9" ht="20.100000000000001" customHeight="1">
      <c r="A177" s="621"/>
      <c r="B177" s="622"/>
      <c r="C177" s="623"/>
      <c r="D177" s="623"/>
      <c r="E177" s="624"/>
      <c r="F177" s="625"/>
      <c r="G177" s="626"/>
      <c r="H177" s="627"/>
      <c r="I177" s="634" t="str">
        <f t="shared" si="1"/>
        <v/>
      </c>
    </row>
    <row r="178" spans="1:9" ht="20.100000000000001" customHeight="1">
      <c r="A178" s="621"/>
      <c r="B178" s="622"/>
      <c r="C178" s="623"/>
      <c r="D178" s="623"/>
      <c r="E178" s="624"/>
      <c r="F178" s="625"/>
      <c r="G178" s="626"/>
      <c r="H178" s="627"/>
      <c r="I178" s="634" t="str">
        <f t="shared" si="1"/>
        <v/>
      </c>
    </row>
    <row r="179" spans="1:9" ht="20.100000000000001" customHeight="1">
      <c r="A179" s="621"/>
      <c r="B179" s="622"/>
      <c r="C179" s="623"/>
      <c r="D179" s="623"/>
      <c r="E179" s="624"/>
      <c r="F179" s="625"/>
      <c r="G179" s="626"/>
      <c r="H179" s="627"/>
      <c r="I179" s="634" t="str">
        <f t="shared" si="1"/>
        <v/>
      </c>
    </row>
    <row r="180" spans="1:9" ht="20.100000000000001" customHeight="1">
      <c r="A180" s="621"/>
      <c r="B180" s="622"/>
      <c r="C180" s="623"/>
      <c r="D180" s="623"/>
      <c r="E180" s="624"/>
      <c r="F180" s="625"/>
      <c r="G180" s="626"/>
      <c r="H180" s="627"/>
      <c r="I180" s="634" t="str">
        <f t="shared" si="1"/>
        <v/>
      </c>
    </row>
    <row r="181" spans="1:9" ht="20.100000000000001" customHeight="1">
      <c r="A181" s="621"/>
      <c r="B181" s="622"/>
      <c r="C181" s="623"/>
      <c r="D181" s="623"/>
      <c r="E181" s="624"/>
      <c r="F181" s="625"/>
      <c r="G181" s="626"/>
      <c r="H181" s="627"/>
      <c r="I181" s="634" t="str">
        <f t="shared" si="1"/>
        <v/>
      </c>
    </row>
    <row r="182" spans="1:9" ht="20.100000000000001" customHeight="1">
      <c r="A182" s="621"/>
      <c r="B182" s="622"/>
      <c r="C182" s="623"/>
      <c r="D182" s="623"/>
      <c r="E182" s="624"/>
      <c r="F182" s="625"/>
      <c r="G182" s="626"/>
      <c r="H182" s="627"/>
      <c r="I182" s="634" t="str">
        <f t="shared" si="1"/>
        <v/>
      </c>
    </row>
    <row r="183" spans="1:9" ht="20.100000000000001" customHeight="1">
      <c r="A183" s="621"/>
      <c r="B183" s="622"/>
      <c r="C183" s="623"/>
      <c r="D183" s="623"/>
      <c r="E183" s="624"/>
      <c r="F183" s="625"/>
      <c r="G183" s="626"/>
      <c r="H183" s="627"/>
      <c r="I183" s="634" t="str">
        <f t="shared" si="1"/>
        <v/>
      </c>
    </row>
    <row r="184" spans="1:9" ht="20.100000000000001" customHeight="1">
      <c r="A184" s="621"/>
      <c r="B184" s="622"/>
      <c r="C184" s="623"/>
      <c r="D184" s="623"/>
      <c r="E184" s="624"/>
      <c r="F184" s="625"/>
      <c r="G184" s="626"/>
      <c r="H184" s="627"/>
      <c r="I184" s="634" t="str">
        <f t="shared" si="1"/>
        <v/>
      </c>
    </row>
    <row r="185" spans="1:9" ht="20.100000000000001" customHeight="1">
      <c r="A185" s="621"/>
      <c r="B185" s="622"/>
      <c r="C185" s="623"/>
      <c r="D185" s="623"/>
      <c r="E185" s="624"/>
      <c r="F185" s="625"/>
      <c r="G185" s="626"/>
      <c r="H185" s="627"/>
      <c r="I185" s="634" t="str">
        <f t="shared" si="1"/>
        <v/>
      </c>
    </row>
    <row r="186" spans="1:9" ht="20.100000000000001" customHeight="1">
      <c r="A186" s="621"/>
      <c r="B186" s="622"/>
      <c r="C186" s="623"/>
      <c r="D186" s="623"/>
      <c r="E186" s="624"/>
      <c r="F186" s="625"/>
      <c r="G186" s="626"/>
      <c r="H186" s="627"/>
      <c r="I186" s="634" t="str">
        <f t="shared" si="1"/>
        <v/>
      </c>
    </row>
    <row r="187" spans="1:9" ht="20.100000000000001" customHeight="1">
      <c r="A187" s="621"/>
      <c r="B187" s="622"/>
      <c r="C187" s="623"/>
      <c r="D187" s="623"/>
      <c r="E187" s="624"/>
      <c r="F187" s="625"/>
      <c r="G187" s="626"/>
      <c r="H187" s="627"/>
      <c r="I187" s="634" t="str">
        <f t="shared" si="1"/>
        <v/>
      </c>
    </row>
    <row r="188" spans="1:9" ht="20.100000000000001" customHeight="1">
      <c r="A188" s="621"/>
      <c r="B188" s="622"/>
      <c r="C188" s="623"/>
      <c r="D188" s="623"/>
      <c r="E188" s="624"/>
      <c r="F188" s="625"/>
      <c r="G188" s="626"/>
      <c r="H188" s="627"/>
      <c r="I188" s="634" t="str">
        <f t="shared" si="1"/>
        <v/>
      </c>
    </row>
    <row r="189" spans="1:9" ht="20.100000000000001" customHeight="1">
      <c r="A189" s="621"/>
      <c r="B189" s="622"/>
      <c r="C189" s="623"/>
      <c r="D189" s="623"/>
      <c r="E189" s="624"/>
      <c r="F189" s="625"/>
      <c r="G189" s="626"/>
      <c r="H189" s="627"/>
      <c r="I189" s="634" t="str">
        <f t="shared" ref="I189:I205" si="2">IF(OR(G189&lt;&gt;"",H189&lt;&gt;""),I188-G189+H189,"")</f>
        <v/>
      </c>
    </row>
    <row r="190" spans="1:9" ht="20.100000000000001" customHeight="1">
      <c r="A190" s="621"/>
      <c r="B190" s="622"/>
      <c r="C190" s="623"/>
      <c r="D190" s="623"/>
      <c r="E190" s="624"/>
      <c r="F190" s="625"/>
      <c r="G190" s="626"/>
      <c r="H190" s="627"/>
      <c r="I190" s="634" t="str">
        <f t="shared" si="2"/>
        <v/>
      </c>
    </row>
    <row r="191" spans="1:9" ht="20.100000000000001" customHeight="1">
      <c r="A191" s="621"/>
      <c r="B191" s="622"/>
      <c r="C191" s="623"/>
      <c r="D191" s="623"/>
      <c r="E191" s="624"/>
      <c r="F191" s="625"/>
      <c r="G191" s="626"/>
      <c r="H191" s="627"/>
      <c r="I191" s="634" t="str">
        <f t="shared" si="2"/>
        <v/>
      </c>
    </row>
    <row r="192" spans="1:9" ht="20.100000000000001" customHeight="1">
      <c r="A192" s="621"/>
      <c r="B192" s="622"/>
      <c r="C192" s="623"/>
      <c r="D192" s="623"/>
      <c r="E192" s="624"/>
      <c r="F192" s="625"/>
      <c r="G192" s="626"/>
      <c r="H192" s="627"/>
      <c r="I192" s="634" t="str">
        <f t="shared" si="2"/>
        <v/>
      </c>
    </row>
    <row r="193" spans="1:9" ht="20.100000000000001" customHeight="1">
      <c r="A193" s="621"/>
      <c r="B193" s="622"/>
      <c r="C193" s="623"/>
      <c r="D193" s="623"/>
      <c r="E193" s="624"/>
      <c r="F193" s="625"/>
      <c r="G193" s="626"/>
      <c r="H193" s="627"/>
      <c r="I193" s="634" t="str">
        <f t="shared" si="2"/>
        <v/>
      </c>
    </row>
    <row r="194" spans="1:9" ht="20.100000000000001" customHeight="1">
      <c r="A194" s="621"/>
      <c r="B194" s="622"/>
      <c r="C194" s="623"/>
      <c r="D194" s="623"/>
      <c r="E194" s="624"/>
      <c r="F194" s="625"/>
      <c r="G194" s="626"/>
      <c r="H194" s="627"/>
      <c r="I194" s="634" t="str">
        <f t="shared" si="2"/>
        <v/>
      </c>
    </row>
    <row r="195" spans="1:9" ht="20.100000000000001" customHeight="1">
      <c r="A195" s="621"/>
      <c r="B195" s="622"/>
      <c r="C195" s="623"/>
      <c r="D195" s="623"/>
      <c r="E195" s="624"/>
      <c r="F195" s="625"/>
      <c r="G195" s="626"/>
      <c r="H195" s="627"/>
      <c r="I195" s="634" t="str">
        <f t="shared" si="2"/>
        <v/>
      </c>
    </row>
    <row r="196" spans="1:9" ht="20.100000000000001" customHeight="1">
      <c r="A196" s="621"/>
      <c r="B196" s="622"/>
      <c r="C196" s="623"/>
      <c r="D196" s="623"/>
      <c r="E196" s="624"/>
      <c r="F196" s="625"/>
      <c r="G196" s="626"/>
      <c r="H196" s="627"/>
      <c r="I196" s="634" t="str">
        <f t="shared" si="2"/>
        <v/>
      </c>
    </row>
    <row r="197" spans="1:9" ht="20.100000000000001" customHeight="1">
      <c r="A197" s="621"/>
      <c r="B197" s="622"/>
      <c r="C197" s="623"/>
      <c r="D197" s="623"/>
      <c r="E197" s="624"/>
      <c r="F197" s="625"/>
      <c r="G197" s="626"/>
      <c r="H197" s="627"/>
      <c r="I197" s="634" t="str">
        <f t="shared" si="2"/>
        <v/>
      </c>
    </row>
    <row r="198" spans="1:9" ht="20.100000000000001" customHeight="1">
      <c r="A198" s="621"/>
      <c r="B198" s="622"/>
      <c r="C198" s="623"/>
      <c r="D198" s="623"/>
      <c r="E198" s="624"/>
      <c r="F198" s="625"/>
      <c r="G198" s="626"/>
      <c r="H198" s="627"/>
      <c r="I198" s="634" t="str">
        <f t="shared" si="2"/>
        <v/>
      </c>
    </row>
    <row r="199" spans="1:9" ht="20.100000000000001" customHeight="1">
      <c r="A199" s="621"/>
      <c r="B199" s="622"/>
      <c r="C199" s="623"/>
      <c r="D199" s="623"/>
      <c r="E199" s="624"/>
      <c r="F199" s="625"/>
      <c r="G199" s="626"/>
      <c r="H199" s="627"/>
      <c r="I199" s="634" t="str">
        <f t="shared" si="2"/>
        <v/>
      </c>
    </row>
    <row r="200" spans="1:9" ht="20.100000000000001" customHeight="1">
      <c r="A200" s="621"/>
      <c r="B200" s="622"/>
      <c r="C200" s="623"/>
      <c r="D200" s="623"/>
      <c r="E200" s="624"/>
      <c r="F200" s="625"/>
      <c r="G200" s="626"/>
      <c r="H200" s="627"/>
      <c r="I200" s="634" t="str">
        <f t="shared" si="2"/>
        <v/>
      </c>
    </row>
    <row r="201" spans="1:9" ht="20.100000000000001" customHeight="1">
      <c r="A201" s="621"/>
      <c r="B201" s="622"/>
      <c r="C201" s="623"/>
      <c r="D201" s="623"/>
      <c r="E201" s="624"/>
      <c r="F201" s="625"/>
      <c r="G201" s="626"/>
      <c r="H201" s="627"/>
      <c r="I201" s="634" t="str">
        <f t="shared" si="2"/>
        <v/>
      </c>
    </row>
    <row r="202" spans="1:9" ht="20.100000000000001" customHeight="1">
      <c r="A202" s="621"/>
      <c r="B202" s="622"/>
      <c r="C202" s="623"/>
      <c r="D202" s="623"/>
      <c r="E202" s="624"/>
      <c r="F202" s="625"/>
      <c r="G202" s="626"/>
      <c r="H202" s="627"/>
      <c r="I202" s="634" t="str">
        <f t="shared" si="2"/>
        <v/>
      </c>
    </row>
    <row r="203" spans="1:9" ht="20.100000000000001" customHeight="1">
      <c r="A203" s="621"/>
      <c r="B203" s="622"/>
      <c r="C203" s="623"/>
      <c r="D203" s="623"/>
      <c r="E203" s="624"/>
      <c r="F203" s="625"/>
      <c r="G203" s="626"/>
      <c r="H203" s="627"/>
      <c r="I203" s="634" t="str">
        <f t="shared" si="2"/>
        <v/>
      </c>
    </row>
    <row r="204" spans="1:9" ht="20.100000000000001" customHeight="1">
      <c r="A204" s="621"/>
      <c r="B204" s="622"/>
      <c r="C204" s="623"/>
      <c r="D204" s="623"/>
      <c r="E204" s="624"/>
      <c r="F204" s="625"/>
      <c r="G204" s="626"/>
      <c r="H204" s="627"/>
      <c r="I204" s="634" t="str">
        <f t="shared" si="2"/>
        <v/>
      </c>
    </row>
    <row r="205" spans="1:9" ht="20.100000000000001" customHeight="1">
      <c r="A205" s="621"/>
      <c r="B205" s="622"/>
      <c r="C205" s="623"/>
      <c r="D205" s="623"/>
      <c r="E205" s="624"/>
      <c r="F205" s="625"/>
      <c r="G205" s="650"/>
      <c r="H205" s="651"/>
      <c r="I205" s="791" t="str">
        <f t="shared" si="2"/>
        <v/>
      </c>
    </row>
    <row r="206" spans="1:9" ht="20.100000000000001" customHeight="1">
      <c r="A206" s="782"/>
      <c r="B206" s="1129" t="s">
        <v>396</v>
      </c>
      <c r="C206" s="1130"/>
      <c r="D206" s="1131"/>
      <c r="E206" s="783"/>
      <c r="F206" s="784"/>
      <c r="G206" s="682">
        <f>SUM(G4:G205)</f>
        <v>0</v>
      </c>
      <c r="H206" s="682">
        <f>SUM(H4:H205)</f>
        <v>0</v>
      </c>
      <c r="I206" s="680">
        <f>G206+H206</f>
        <v>0</v>
      </c>
    </row>
    <row r="207" spans="1:9" ht="20.100000000000001" customHeight="1" thickBot="1">
      <c r="A207" s="630"/>
      <c r="B207" s="1123" t="str">
        <f>IF(A205="","損益","次 項 繰 越")</f>
        <v>損益</v>
      </c>
      <c r="C207" s="1124"/>
      <c r="D207" s="1125"/>
      <c r="E207" s="642"/>
      <c r="F207" s="642"/>
      <c r="G207" s="643">
        <f>IF(I206&lt;0,"",ABS(I206))</f>
        <v>0</v>
      </c>
      <c r="H207" s="644">
        <f>IF(I206&gt;0,"",ABS(I206))</f>
        <v>0</v>
      </c>
      <c r="I207" s="637"/>
    </row>
    <row r="208" spans="1:9" ht="24.95" customHeight="1">
      <c r="B208" s="645"/>
      <c r="C208" s="646"/>
      <c r="D208" s="646"/>
      <c r="E208" s="647"/>
      <c r="F208" s="647"/>
      <c r="G208" s="648">
        <f>SUM(G206:G207)</f>
        <v>0</v>
      </c>
      <c r="H208" s="648">
        <f>SUM(H206:H207)</f>
        <v>0</v>
      </c>
      <c r="I208" s="638" t="str">
        <f>IF(G208=H208,"","【要確認】")</f>
        <v/>
      </c>
    </row>
  </sheetData>
  <sheetProtection sheet="1" objects="1" scenarios="1"/>
  <sortState ref="A5:H98">
    <sortCondition ref="A5:A98"/>
  </sortState>
  <mergeCells count="4">
    <mergeCell ref="B207:D207"/>
    <mergeCell ref="A1:I1"/>
    <mergeCell ref="B3:D3"/>
    <mergeCell ref="B206:D206"/>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8ECAA0"/>
  </sheetPr>
  <dimension ref="A1:I101"/>
  <sheetViews>
    <sheetView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203</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11</v>
      </c>
    </row>
    <row r="3" spans="1:9" s="618" customFormat="1" ht="30" customHeight="1" thickTop="1" thickBot="1">
      <c r="A3" s="659">
        <f>設定メニュー!$B$2</f>
        <v>42736</v>
      </c>
      <c r="B3" s="1139" t="s">
        <v>1</v>
      </c>
      <c r="C3" s="1140"/>
      <c r="D3" s="1141"/>
      <c r="E3" s="660" t="s">
        <v>28</v>
      </c>
      <c r="F3" s="661" t="s">
        <v>63</v>
      </c>
      <c r="G3" s="661" t="s">
        <v>4</v>
      </c>
      <c r="H3" s="662" t="s">
        <v>72</v>
      </c>
      <c r="I3" s="663"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36"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ref="I37:I73" si="1">IF(OR(G37&lt;&gt;"",H37&lt;&gt;""),I36-G37+H37,"")</f>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si="1"/>
        <v/>
      </c>
    </row>
    <row r="41" spans="1:9" ht="20.100000000000001" customHeight="1">
      <c r="A41" s="621"/>
      <c r="B41" s="622"/>
      <c r="C41" s="623"/>
      <c r="D41" s="623"/>
      <c r="E41" s="624"/>
      <c r="F41" s="625"/>
      <c r="G41" s="626"/>
      <c r="H41" s="627"/>
      <c r="I41" s="634" t="str">
        <f t="shared" si="1"/>
        <v/>
      </c>
    </row>
    <row r="42" spans="1:9" ht="20.100000000000001" customHeight="1">
      <c r="A42" s="621"/>
      <c r="B42" s="622"/>
      <c r="C42" s="623"/>
      <c r="D42" s="623"/>
      <c r="E42" s="624"/>
      <c r="F42" s="625"/>
      <c r="G42" s="626"/>
      <c r="H42" s="627"/>
      <c r="I42" s="634" t="str">
        <f t="shared" si="1"/>
        <v/>
      </c>
    </row>
    <row r="43" spans="1:9" ht="20.100000000000001" customHeight="1">
      <c r="A43" s="621"/>
      <c r="B43" s="622"/>
      <c r="C43" s="623"/>
      <c r="D43" s="623"/>
      <c r="E43" s="624"/>
      <c r="F43" s="625"/>
      <c r="G43" s="626"/>
      <c r="H43" s="627"/>
      <c r="I43" s="634" t="str">
        <f t="shared" si="1"/>
        <v/>
      </c>
    </row>
    <row r="44" spans="1:9" ht="20.100000000000001" customHeight="1">
      <c r="A44" s="621"/>
      <c r="B44" s="622"/>
      <c r="C44" s="623"/>
      <c r="D44" s="623"/>
      <c r="E44" s="624"/>
      <c r="F44" s="625"/>
      <c r="G44" s="626"/>
      <c r="H44" s="627"/>
      <c r="I44" s="634" t="str">
        <f t="shared" si="1"/>
        <v/>
      </c>
    </row>
    <row r="45" spans="1:9" ht="20.100000000000001" customHeight="1">
      <c r="A45" s="621"/>
      <c r="B45" s="622"/>
      <c r="C45" s="623"/>
      <c r="D45" s="623"/>
      <c r="E45" s="624"/>
      <c r="F45" s="625"/>
      <c r="G45" s="626"/>
      <c r="H45" s="627"/>
      <c r="I45" s="634" t="str">
        <f t="shared" si="1"/>
        <v/>
      </c>
    </row>
    <row r="46" spans="1:9" ht="20.100000000000001" customHeight="1">
      <c r="A46" s="621"/>
      <c r="B46" s="622"/>
      <c r="C46" s="623"/>
      <c r="D46" s="623"/>
      <c r="E46" s="624"/>
      <c r="F46" s="625"/>
      <c r="G46" s="626"/>
      <c r="H46" s="627"/>
      <c r="I46" s="634" t="str">
        <f t="shared" si="1"/>
        <v/>
      </c>
    </row>
    <row r="47" spans="1:9" ht="20.100000000000001" customHeight="1">
      <c r="A47" s="621"/>
      <c r="B47" s="622"/>
      <c r="C47" s="623"/>
      <c r="D47" s="623"/>
      <c r="E47" s="624"/>
      <c r="F47" s="625"/>
      <c r="G47" s="626"/>
      <c r="H47" s="627"/>
      <c r="I47" s="634" t="str">
        <f t="shared" si="1"/>
        <v/>
      </c>
    </row>
    <row r="48" spans="1:9" ht="20.100000000000001" customHeight="1">
      <c r="A48" s="621"/>
      <c r="B48" s="622"/>
      <c r="C48" s="623"/>
      <c r="D48" s="623"/>
      <c r="E48" s="624"/>
      <c r="F48" s="625"/>
      <c r="G48" s="626"/>
      <c r="H48" s="627"/>
      <c r="I48" s="634" t="str">
        <f t="shared" si="1"/>
        <v/>
      </c>
    </row>
    <row r="49" spans="1:9" ht="20.100000000000001" customHeight="1">
      <c r="A49" s="621"/>
      <c r="B49" s="622"/>
      <c r="C49" s="623"/>
      <c r="D49" s="623"/>
      <c r="E49" s="624"/>
      <c r="F49" s="625"/>
      <c r="G49" s="626"/>
      <c r="H49" s="627"/>
      <c r="I49" s="634" t="str">
        <f t="shared" si="1"/>
        <v/>
      </c>
    </row>
    <row r="50" spans="1:9" ht="20.100000000000001" customHeight="1">
      <c r="A50" s="621"/>
      <c r="B50" s="622"/>
      <c r="C50" s="623"/>
      <c r="D50" s="623"/>
      <c r="E50" s="624"/>
      <c r="F50" s="625"/>
      <c r="G50" s="626"/>
      <c r="H50" s="627"/>
      <c r="I50" s="634" t="str">
        <f t="shared" si="1"/>
        <v/>
      </c>
    </row>
    <row r="51" spans="1:9" ht="20.100000000000001" customHeight="1">
      <c r="A51" s="621"/>
      <c r="B51" s="622"/>
      <c r="C51" s="623"/>
      <c r="D51" s="623"/>
      <c r="E51" s="624"/>
      <c r="F51" s="625"/>
      <c r="G51" s="626"/>
      <c r="H51" s="627"/>
      <c r="I51" s="634" t="str">
        <f t="shared" si="1"/>
        <v/>
      </c>
    </row>
    <row r="52" spans="1:9" ht="20.100000000000001" customHeight="1">
      <c r="A52" s="621"/>
      <c r="B52" s="622"/>
      <c r="C52" s="623"/>
      <c r="D52" s="623"/>
      <c r="E52" s="624"/>
      <c r="F52" s="625"/>
      <c r="G52" s="626"/>
      <c r="H52" s="627"/>
      <c r="I52" s="634" t="str">
        <f t="shared" si="1"/>
        <v/>
      </c>
    </row>
    <row r="53" spans="1:9" ht="20.100000000000001" customHeight="1">
      <c r="A53" s="621"/>
      <c r="B53" s="622"/>
      <c r="C53" s="623"/>
      <c r="D53" s="623"/>
      <c r="E53" s="624"/>
      <c r="F53" s="625"/>
      <c r="G53" s="626"/>
      <c r="H53" s="627"/>
      <c r="I53" s="634" t="str">
        <f t="shared" si="1"/>
        <v/>
      </c>
    </row>
    <row r="54" spans="1:9" ht="20.100000000000001" customHeight="1">
      <c r="A54" s="621"/>
      <c r="B54" s="622"/>
      <c r="C54" s="623"/>
      <c r="D54" s="623"/>
      <c r="E54" s="624"/>
      <c r="F54" s="625"/>
      <c r="G54" s="626"/>
      <c r="H54" s="627"/>
      <c r="I54" s="634" t="str">
        <f t="shared" si="1"/>
        <v/>
      </c>
    </row>
    <row r="55" spans="1:9" ht="20.100000000000001" customHeight="1">
      <c r="A55" s="621"/>
      <c r="B55" s="622"/>
      <c r="C55" s="623"/>
      <c r="D55" s="623"/>
      <c r="E55" s="624"/>
      <c r="F55" s="625"/>
      <c r="G55" s="626"/>
      <c r="H55" s="627"/>
      <c r="I55" s="634" t="str">
        <f t="shared" si="1"/>
        <v/>
      </c>
    </row>
    <row r="56" spans="1:9" ht="20.100000000000001" customHeight="1">
      <c r="A56" s="621"/>
      <c r="B56" s="622"/>
      <c r="C56" s="623"/>
      <c r="D56" s="623"/>
      <c r="E56" s="624"/>
      <c r="F56" s="625"/>
      <c r="G56" s="626"/>
      <c r="H56" s="627"/>
      <c r="I56" s="634" t="str">
        <f t="shared" si="1"/>
        <v/>
      </c>
    </row>
    <row r="57" spans="1:9" ht="20.100000000000001" customHeight="1">
      <c r="A57" s="621"/>
      <c r="B57" s="622"/>
      <c r="C57" s="623"/>
      <c r="D57" s="623"/>
      <c r="E57" s="624"/>
      <c r="F57" s="625"/>
      <c r="G57" s="626"/>
      <c r="H57" s="627"/>
      <c r="I57" s="634" t="str">
        <f t="shared" si="1"/>
        <v/>
      </c>
    </row>
    <row r="58" spans="1:9" ht="20.100000000000001" customHeight="1">
      <c r="A58" s="621"/>
      <c r="B58" s="622"/>
      <c r="C58" s="623"/>
      <c r="D58" s="623"/>
      <c r="E58" s="624"/>
      <c r="F58" s="625"/>
      <c r="G58" s="626"/>
      <c r="H58" s="627"/>
      <c r="I58" s="634" t="str">
        <f t="shared" si="1"/>
        <v/>
      </c>
    </row>
    <row r="59" spans="1:9" ht="20.100000000000001" customHeight="1">
      <c r="A59" s="621"/>
      <c r="B59" s="622"/>
      <c r="C59" s="623"/>
      <c r="D59" s="623"/>
      <c r="E59" s="624"/>
      <c r="F59" s="625"/>
      <c r="G59" s="626"/>
      <c r="H59" s="627"/>
      <c r="I59" s="634" t="str">
        <f t="shared" si="1"/>
        <v/>
      </c>
    </row>
    <row r="60" spans="1:9" ht="20.100000000000001" customHeight="1">
      <c r="A60" s="621"/>
      <c r="B60" s="622"/>
      <c r="C60" s="623"/>
      <c r="D60" s="623"/>
      <c r="E60" s="624"/>
      <c r="F60" s="625"/>
      <c r="G60" s="626"/>
      <c r="H60" s="627"/>
      <c r="I60" s="634" t="str">
        <f t="shared" si="1"/>
        <v/>
      </c>
    </row>
    <row r="61" spans="1:9" ht="20.100000000000001" customHeight="1">
      <c r="A61" s="621"/>
      <c r="B61" s="622"/>
      <c r="C61" s="623"/>
      <c r="D61" s="623"/>
      <c r="E61" s="624"/>
      <c r="F61" s="625"/>
      <c r="G61" s="626"/>
      <c r="H61" s="627"/>
      <c r="I61" s="634" t="str">
        <f t="shared" si="1"/>
        <v/>
      </c>
    </row>
    <row r="62" spans="1:9" ht="20.100000000000001" customHeight="1">
      <c r="A62" s="621"/>
      <c r="B62" s="622"/>
      <c r="C62" s="623"/>
      <c r="D62" s="623"/>
      <c r="E62" s="624"/>
      <c r="F62" s="625"/>
      <c r="G62" s="626"/>
      <c r="H62" s="627"/>
      <c r="I62" s="634" t="str">
        <f t="shared" si="1"/>
        <v/>
      </c>
    </row>
    <row r="63" spans="1:9" ht="20.100000000000001" customHeight="1">
      <c r="A63" s="621"/>
      <c r="B63" s="622"/>
      <c r="C63" s="623"/>
      <c r="D63" s="623"/>
      <c r="E63" s="624"/>
      <c r="F63" s="625"/>
      <c r="G63" s="626"/>
      <c r="H63" s="627"/>
      <c r="I63" s="634" t="str">
        <f t="shared" si="1"/>
        <v/>
      </c>
    </row>
    <row r="64" spans="1:9" ht="20.100000000000001" customHeight="1">
      <c r="A64" s="621"/>
      <c r="B64" s="622"/>
      <c r="C64" s="623"/>
      <c r="D64" s="623"/>
      <c r="E64" s="624"/>
      <c r="F64" s="625"/>
      <c r="G64" s="626"/>
      <c r="H64" s="627"/>
      <c r="I64" s="634" t="str">
        <f t="shared" si="1"/>
        <v/>
      </c>
    </row>
    <row r="65" spans="1:9" ht="20.100000000000001" customHeight="1">
      <c r="A65" s="621"/>
      <c r="B65" s="622"/>
      <c r="C65" s="623"/>
      <c r="D65" s="623"/>
      <c r="E65" s="624"/>
      <c r="F65" s="625"/>
      <c r="G65" s="626"/>
      <c r="H65" s="627"/>
      <c r="I65" s="634" t="str">
        <f t="shared" si="1"/>
        <v/>
      </c>
    </row>
    <row r="66" spans="1:9" ht="20.100000000000001" customHeight="1">
      <c r="A66" s="621"/>
      <c r="B66" s="622"/>
      <c r="C66" s="623"/>
      <c r="D66" s="623"/>
      <c r="E66" s="624"/>
      <c r="F66" s="625"/>
      <c r="G66" s="626"/>
      <c r="H66" s="627"/>
      <c r="I66" s="634" t="str">
        <f t="shared" si="1"/>
        <v/>
      </c>
    </row>
    <row r="67" spans="1:9" ht="20.100000000000001" customHeight="1">
      <c r="A67" s="621"/>
      <c r="B67" s="622"/>
      <c r="C67" s="623"/>
      <c r="D67" s="623"/>
      <c r="E67" s="624"/>
      <c r="F67" s="625"/>
      <c r="G67" s="626"/>
      <c r="H67" s="627"/>
      <c r="I67" s="634" t="str">
        <f t="shared" si="1"/>
        <v/>
      </c>
    </row>
    <row r="68" spans="1:9" ht="20.100000000000001" customHeight="1">
      <c r="A68" s="621"/>
      <c r="B68" s="622"/>
      <c r="C68" s="623"/>
      <c r="D68" s="623"/>
      <c r="E68" s="624"/>
      <c r="F68" s="625"/>
      <c r="G68" s="626"/>
      <c r="H68" s="627"/>
      <c r="I68" s="634" t="str">
        <f t="shared" si="1"/>
        <v/>
      </c>
    </row>
    <row r="69" spans="1:9" ht="20.100000000000001" customHeight="1">
      <c r="A69" s="621"/>
      <c r="B69" s="622"/>
      <c r="C69" s="623"/>
      <c r="D69" s="623"/>
      <c r="E69" s="624"/>
      <c r="F69" s="625"/>
      <c r="G69" s="626"/>
      <c r="H69" s="627"/>
      <c r="I69" s="634" t="str">
        <f t="shared" si="1"/>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ref="I74:I98" si="2">IF(OR(G74&lt;&gt;"",H74&lt;&gt;""),I73-G74+H74,"")</f>
        <v/>
      </c>
    </row>
    <row r="75" spans="1:9" ht="20.100000000000001" customHeight="1">
      <c r="A75" s="621"/>
      <c r="B75" s="622"/>
      <c r="C75" s="623"/>
      <c r="D75" s="623"/>
      <c r="E75" s="624"/>
      <c r="F75" s="625"/>
      <c r="G75" s="626"/>
      <c r="H75" s="627"/>
      <c r="I75" s="634" t="str">
        <f t="shared" si="2"/>
        <v/>
      </c>
    </row>
    <row r="76" spans="1:9" ht="20.100000000000001" customHeight="1">
      <c r="A76" s="621"/>
      <c r="B76" s="622"/>
      <c r="C76" s="623"/>
      <c r="D76" s="623"/>
      <c r="E76" s="624"/>
      <c r="F76" s="625"/>
      <c r="G76" s="626"/>
      <c r="H76" s="627"/>
      <c r="I76" s="634" t="str">
        <f t="shared" si="2"/>
        <v/>
      </c>
    </row>
    <row r="77" spans="1:9" ht="20.100000000000001" customHeight="1">
      <c r="A77" s="621"/>
      <c r="B77" s="622"/>
      <c r="C77" s="623"/>
      <c r="D77" s="623"/>
      <c r="E77" s="624"/>
      <c r="F77" s="625"/>
      <c r="G77" s="626"/>
      <c r="H77" s="627"/>
      <c r="I77" s="634" t="str">
        <f t="shared" si="2"/>
        <v/>
      </c>
    </row>
    <row r="78" spans="1:9" ht="20.100000000000001" customHeight="1">
      <c r="A78" s="621"/>
      <c r="B78" s="622"/>
      <c r="C78" s="623"/>
      <c r="D78" s="623"/>
      <c r="E78" s="624"/>
      <c r="F78" s="625"/>
      <c r="G78" s="626"/>
      <c r="H78" s="627"/>
      <c r="I78" s="634" t="str">
        <f t="shared" si="2"/>
        <v/>
      </c>
    </row>
    <row r="79" spans="1:9" ht="20.100000000000001" customHeight="1">
      <c r="A79" s="621"/>
      <c r="B79" s="622"/>
      <c r="C79" s="623"/>
      <c r="D79" s="623"/>
      <c r="E79" s="624"/>
      <c r="F79" s="625"/>
      <c r="G79" s="626"/>
      <c r="H79" s="627"/>
      <c r="I79" s="634" t="str">
        <f t="shared" si="2"/>
        <v/>
      </c>
    </row>
    <row r="80" spans="1:9" ht="20.100000000000001" customHeight="1">
      <c r="A80" s="621"/>
      <c r="B80" s="622"/>
      <c r="C80" s="623"/>
      <c r="D80" s="623"/>
      <c r="E80" s="624"/>
      <c r="F80" s="625"/>
      <c r="G80" s="626"/>
      <c r="H80" s="627"/>
      <c r="I80" s="634" t="str">
        <f t="shared" si="2"/>
        <v/>
      </c>
    </row>
    <row r="81" spans="1:9" ht="20.100000000000001" customHeight="1">
      <c r="A81" s="621"/>
      <c r="B81" s="622"/>
      <c r="C81" s="623"/>
      <c r="D81" s="623"/>
      <c r="E81" s="624"/>
      <c r="F81" s="625"/>
      <c r="G81" s="626"/>
      <c r="H81" s="627"/>
      <c r="I81" s="634" t="str">
        <f t="shared" si="2"/>
        <v/>
      </c>
    </row>
    <row r="82" spans="1:9" ht="20.100000000000001" customHeight="1">
      <c r="A82" s="621"/>
      <c r="B82" s="622"/>
      <c r="C82" s="623"/>
      <c r="D82" s="623"/>
      <c r="E82" s="624"/>
      <c r="F82" s="625"/>
      <c r="G82" s="626"/>
      <c r="H82" s="627"/>
      <c r="I82" s="634" t="str">
        <f t="shared" si="2"/>
        <v/>
      </c>
    </row>
    <row r="83" spans="1:9" ht="20.100000000000001" customHeight="1">
      <c r="A83" s="621"/>
      <c r="B83" s="622"/>
      <c r="C83" s="623"/>
      <c r="D83" s="623"/>
      <c r="E83" s="624"/>
      <c r="F83" s="625"/>
      <c r="G83" s="626"/>
      <c r="H83" s="627"/>
      <c r="I83" s="634" t="str">
        <f t="shared" si="2"/>
        <v/>
      </c>
    </row>
    <row r="84" spans="1:9" ht="20.100000000000001" customHeight="1">
      <c r="A84" s="621"/>
      <c r="B84" s="622"/>
      <c r="C84" s="623"/>
      <c r="D84" s="623"/>
      <c r="E84" s="624"/>
      <c r="F84" s="625"/>
      <c r="G84" s="626"/>
      <c r="H84" s="627"/>
      <c r="I84" s="634" t="str">
        <f t="shared" si="2"/>
        <v/>
      </c>
    </row>
    <row r="85" spans="1:9" ht="20.100000000000001" customHeight="1">
      <c r="A85" s="621"/>
      <c r="B85" s="622"/>
      <c r="C85" s="623"/>
      <c r="D85" s="623"/>
      <c r="E85" s="624"/>
      <c r="F85" s="625"/>
      <c r="G85" s="626"/>
      <c r="H85" s="627"/>
      <c r="I85" s="634" t="str">
        <f t="shared" si="2"/>
        <v/>
      </c>
    </row>
    <row r="86" spans="1:9" ht="20.100000000000001" customHeight="1">
      <c r="A86" s="621"/>
      <c r="B86" s="622"/>
      <c r="C86" s="623"/>
      <c r="D86" s="623"/>
      <c r="E86" s="624"/>
      <c r="F86" s="625"/>
      <c r="G86" s="626"/>
      <c r="H86" s="627"/>
      <c r="I86" s="634" t="str">
        <f t="shared" si="2"/>
        <v/>
      </c>
    </row>
    <row r="87" spans="1:9" ht="20.100000000000001" customHeight="1">
      <c r="A87" s="621"/>
      <c r="B87" s="622"/>
      <c r="C87" s="623"/>
      <c r="D87" s="623"/>
      <c r="E87" s="624"/>
      <c r="F87" s="625"/>
      <c r="G87" s="626"/>
      <c r="H87" s="627"/>
      <c r="I87" s="634" t="str">
        <f t="shared" si="2"/>
        <v/>
      </c>
    </row>
    <row r="88" spans="1:9" ht="20.100000000000001" customHeight="1">
      <c r="A88" s="621"/>
      <c r="B88" s="622"/>
      <c r="C88" s="623"/>
      <c r="D88" s="623"/>
      <c r="E88" s="624"/>
      <c r="F88" s="625"/>
      <c r="G88" s="626"/>
      <c r="H88" s="627"/>
      <c r="I88" s="634" t="str">
        <f t="shared" si="2"/>
        <v/>
      </c>
    </row>
    <row r="89" spans="1:9" ht="20.100000000000001" customHeight="1">
      <c r="A89" s="621"/>
      <c r="B89" s="622"/>
      <c r="C89" s="623"/>
      <c r="D89" s="623"/>
      <c r="E89" s="624"/>
      <c r="F89" s="625"/>
      <c r="G89" s="626"/>
      <c r="H89" s="627"/>
      <c r="I89" s="634" t="str">
        <f t="shared" si="2"/>
        <v/>
      </c>
    </row>
    <row r="90" spans="1:9" ht="20.100000000000001" customHeight="1">
      <c r="A90" s="621"/>
      <c r="B90" s="622"/>
      <c r="C90" s="623"/>
      <c r="D90" s="623"/>
      <c r="E90" s="624"/>
      <c r="F90" s="625"/>
      <c r="G90" s="626"/>
      <c r="H90" s="627"/>
      <c r="I90" s="634" t="str">
        <f t="shared" si="2"/>
        <v/>
      </c>
    </row>
    <row r="91" spans="1:9" ht="20.100000000000001" customHeight="1">
      <c r="A91" s="621"/>
      <c r="B91" s="622"/>
      <c r="C91" s="623"/>
      <c r="D91" s="623"/>
      <c r="E91" s="624"/>
      <c r="F91" s="625"/>
      <c r="G91" s="626"/>
      <c r="H91" s="627"/>
      <c r="I91" s="634" t="str">
        <f t="shared" si="2"/>
        <v/>
      </c>
    </row>
    <row r="92" spans="1:9" ht="20.100000000000001" customHeight="1">
      <c r="A92" s="621"/>
      <c r="B92" s="622"/>
      <c r="C92" s="623"/>
      <c r="D92" s="623"/>
      <c r="E92" s="624"/>
      <c r="F92" s="625"/>
      <c r="G92" s="626"/>
      <c r="H92" s="627"/>
      <c r="I92" s="634" t="str">
        <f t="shared" si="2"/>
        <v/>
      </c>
    </row>
    <row r="93" spans="1:9" ht="20.100000000000001" customHeight="1">
      <c r="A93" s="621"/>
      <c r="B93" s="622"/>
      <c r="C93" s="623"/>
      <c r="D93" s="623"/>
      <c r="E93" s="624"/>
      <c r="F93" s="625"/>
      <c r="G93" s="626"/>
      <c r="H93" s="627"/>
      <c r="I93" s="634" t="str">
        <f t="shared" si="2"/>
        <v/>
      </c>
    </row>
    <row r="94" spans="1:9" ht="20.100000000000001" customHeight="1">
      <c r="A94" s="621"/>
      <c r="B94" s="622"/>
      <c r="C94" s="623"/>
      <c r="D94" s="623"/>
      <c r="E94" s="624"/>
      <c r="F94" s="625"/>
      <c r="G94" s="626"/>
      <c r="H94" s="627"/>
      <c r="I94" s="634" t="str">
        <f t="shared" si="2"/>
        <v/>
      </c>
    </row>
    <row r="95" spans="1:9" ht="20.100000000000001" customHeight="1">
      <c r="A95" s="621"/>
      <c r="B95" s="622"/>
      <c r="C95" s="623"/>
      <c r="D95" s="623"/>
      <c r="E95" s="624"/>
      <c r="F95" s="625"/>
      <c r="G95" s="626"/>
      <c r="H95" s="627"/>
      <c r="I95" s="634" t="str">
        <f t="shared" si="2"/>
        <v/>
      </c>
    </row>
    <row r="96" spans="1:9" ht="20.100000000000001" customHeight="1">
      <c r="A96" s="621"/>
      <c r="B96" s="622"/>
      <c r="C96" s="623"/>
      <c r="D96" s="623"/>
      <c r="E96" s="624"/>
      <c r="F96" s="625"/>
      <c r="G96" s="626"/>
      <c r="H96" s="627"/>
      <c r="I96" s="634" t="str">
        <f t="shared" si="2"/>
        <v/>
      </c>
    </row>
    <row r="97" spans="1:9" ht="20.100000000000001" customHeight="1">
      <c r="A97" s="621"/>
      <c r="B97" s="622"/>
      <c r="C97" s="623"/>
      <c r="D97" s="623"/>
      <c r="E97" s="624"/>
      <c r="F97" s="625"/>
      <c r="G97" s="626"/>
      <c r="H97" s="627"/>
      <c r="I97" s="634" t="str">
        <f t="shared" si="2"/>
        <v/>
      </c>
    </row>
    <row r="98" spans="1:9" ht="20.100000000000001" customHeight="1">
      <c r="A98" s="621"/>
      <c r="B98" s="622"/>
      <c r="C98" s="623"/>
      <c r="D98" s="623"/>
      <c r="E98" s="624"/>
      <c r="F98" s="625"/>
      <c r="G98" s="650"/>
      <c r="H98" s="651"/>
      <c r="I98" s="653" t="str">
        <f t="shared" si="2"/>
        <v/>
      </c>
    </row>
    <row r="99" spans="1:9" ht="20.100000000000001" customHeight="1">
      <c r="A99" s="782"/>
      <c r="B99" s="1129" t="s">
        <v>396</v>
      </c>
      <c r="C99" s="1130"/>
      <c r="D99" s="1131"/>
      <c r="E99" s="783"/>
      <c r="F99" s="784"/>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IF(I99&lt;0,"",ABS(I99))</f>
        <v>0</v>
      </c>
      <c r="H100" s="644">
        <f>IF(I99&gt;0,"",ABS(I99))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76</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21</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5"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7"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ref="I38:I74" si="2">IF(OR(G38&lt;&gt;"",H38&lt;&gt;""),I37+G38-H38,"")</f>
        <v/>
      </c>
    </row>
    <row r="39" spans="1:9" ht="20.100000000000001" customHeight="1">
      <c r="A39" s="621"/>
      <c r="B39" s="622"/>
      <c r="C39" s="623"/>
      <c r="D39" s="623"/>
      <c r="E39" s="624"/>
      <c r="F39" s="625"/>
      <c r="G39" s="626"/>
      <c r="H39" s="627"/>
      <c r="I39" s="634" t="str">
        <f t="shared" si="2"/>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782"/>
      <c r="B99" s="1129" t="s">
        <v>396</v>
      </c>
      <c r="C99" s="1130"/>
      <c r="D99" s="1131"/>
      <c r="E99" s="783"/>
      <c r="F99" s="784"/>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37</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22</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72"/>
      <c r="D4" s="673"/>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IF(OR(G6&lt;&gt;"",H6&lt;&gt;""),I5+G6-H6,"")</f>
        <v/>
      </c>
    </row>
    <row r="7" spans="1:9" ht="20.100000000000001" customHeight="1">
      <c r="A7" s="621"/>
      <c r="B7" s="622"/>
      <c r="C7" s="623"/>
      <c r="D7" s="623"/>
      <c r="E7" s="624"/>
      <c r="F7" s="625"/>
      <c r="G7" s="626"/>
      <c r="H7" s="627"/>
      <c r="I7" s="634" t="str">
        <f>IF(OR(G7&lt;&gt;"",H7&lt;&gt;""),I6+G7-H7,"")</f>
        <v/>
      </c>
    </row>
    <row r="8" spans="1:9" ht="20.100000000000001" customHeight="1">
      <c r="A8" s="621"/>
      <c r="B8" s="622"/>
      <c r="C8" s="623"/>
      <c r="D8" s="623"/>
      <c r="E8" s="624"/>
      <c r="F8" s="625"/>
      <c r="G8" s="626"/>
      <c r="H8" s="627"/>
      <c r="I8" s="634" t="str">
        <f>IF(OR(G8&lt;&gt;"",H8&lt;&gt;""),I7+G8-H8,"")</f>
        <v/>
      </c>
    </row>
    <row r="9" spans="1:9" ht="20.100000000000001" customHeight="1">
      <c r="A9" s="621"/>
      <c r="B9" s="622"/>
      <c r="C9" s="623"/>
      <c r="D9" s="623"/>
      <c r="E9" s="624"/>
      <c r="F9" s="625"/>
      <c r="G9" s="626"/>
      <c r="H9" s="627"/>
      <c r="I9" s="634" t="str">
        <f t="shared" ref="I9:I15" si="0">IF(OR(G9&lt;&gt;"",H9&lt;&gt;""),I8+G9-H9,"")</f>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7"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ref="I38:I73" si="2">IF(OR(G38&lt;&gt;"",H38&lt;&gt;""),I37+G38-H38,"")</f>
        <v/>
      </c>
    </row>
    <row r="39" spans="1:9" ht="20.100000000000001" customHeight="1">
      <c r="A39" s="621"/>
      <c r="B39" s="622"/>
      <c r="C39" s="623"/>
      <c r="D39" s="623"/>
      <c r="E39" s="624"/>
      <c r="F39" s="625"/>
      <c r="G39" s="626"/>
      <c r="H39" s="627"/>
      <c r="I39" s="634" t="str">
        <f t="shared" si="2"/>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ref="I74:I98" si="3">IF(OR(G74&lt;&gt;"",H74&lt;&gt;""),I73+G74-H74,"")</f>
        <v/>
      </c>
    </row>
    <row r="75" spans="1:9" ht="20.100000000000001" customHeight="1">
      <c r="A75" s="621"/>
      <c r="B75" s="622"/>
      <c r="C75" s="623"/>
      <c r="D75" s="623"/>
      <c r="E75" s="624"/>
      <c r="F75" s="625"/>
      <c r="G75" s="626"/>
      <c r="H75" s="627"/>
      <c r="I75" s="634" t="str">
        <f t="shared" si="3"/>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782"/>
      <c r="B99" s="1129" t="s">
        <v>517</v>
      </c>
      <c r="C99" s="1130"/>
      <c r="D99" s="1131"/>
      <c r="E99" s="783"/>
      <c r="F99" s="784"/>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78</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23</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5"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8"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ref="I39:I73" si="2">IF(OR(G39&lt;&gt;"",H39&lt;&gt;""),I38+G39-H39,"")</f>
        <v/>
      </c>
    </row>
    <row r="40" spans="1:9" ht="20.100000000000001" customHeight="1">
      <c r="A40" s="621"/>
      <c r="B40" s="622"/>
      <c r="C40" s="623"/>
      <c r="D40" s="623"/>
      <c r="E40" s="624"/>
      <c r="F40" s="625"/>
      <c r="G40" s="626"/>
      <c r="H40" s="627"/>
      <c r="I40" s="634" t="str">
        <f t="shared" si="2"/>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ref="I74:I98" si="3">IF(OR(G74&lt;&gt;"",H74&lt;&gt;""),I73+G74-H74,"")</f>
        <v/>
      </c>
    </row>
    <row r="75" spans="1:9" ht="20.100000000000001" customHeight="1">
      <c r="A75" s="621"/>
      <c r="B75" s="622"/>
      <c r="C75" s="623"/>
      <c r="D75" s="623"/>
      <c r="E75" s="624"/>
      <c r="F75" s="625"/>
      <c r="G75" s="626"/>
      <c r="H75" s="627"/>
      <c r="I75" s="634" t="str">
        <f t="shared" si="3"/>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74</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24</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5"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9"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ref="I40:I74" si="2">IF(OR(G40&lt;&gt;"",H40&lt;&gt;""),I39+G40-H40,"")</f>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782"/>
      <c r="B99" s="1129" t="s">
        <v>517</v>
      </c>
      <c r="C99" s="1130"/>
      <c r="D99" s="1131"/>
      <c r="E99" s="783"/>
      <c r="F99" s="784"/>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100</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25</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5"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9"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ref="I40:I74" si="2">IF(OR(G40&lt;&gt;"",H40&lt;&gt;""),I39+G40-H40,"")</f>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621"/>
      <c r="B99" s="1133" t="s">
        <v>517</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48</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26</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 t="shared" ref="I5:I15"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9"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ref="I40:I74" si="2">IF(OR(G40&lt;&gt;"",H40&lt;&gt;""),I39+G40-H40,"")</f>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621"/>
      <c r="B99" s="1133" t="s">
        <v>517</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54</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27</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15"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ref="I16:I39" si="1">IF(OR(G16&lt;&gt;"",H16&lt;&gt;""),I15+G16-H16,"")</f>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ref="I40:I74" si="2">IF(OR(G40&lt;&gt;"",H40&lt;&gt;""),I39+G40-H40,"")</f>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75</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28</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73"/>
      <c r="E4" s="786"/>
      <c r="F4" s="786"/>
      <c r="G4" s="788"/>
      <c r="H4" s="788"/>
      <c r="I4" s="820">
        <f>IF(G4="",H4,G4)</f>
        <v>0</v>
      </c>
    </row>
    <row r="5" spans="1:9" ht="20.100000000000001" customHeight="1">
      <c r="A5" s="621"/>
      <c r="B5" s="678"/>
      <c r="C5" s="623"/>
      <c r="D5" s="679"/>
      <c r="E5" s="624"/>
      <c r="F5" s="624"/>
      <c r="G5" s="626"/>
      <c r="H5" s="626"/>
      <c r="I5" s="790" t="str">
        <f>IF(OR(G5&lt;&gt;"",H5&lt;&gt;""),I4+G5-H5,"")</f>
        <v/>
      </c>
    </row>
    <row r="6" spans="1:9" ht="20.100000000000001" customHeight="1">
      <c r="A6" s="621"/>
      <c r="B6" s="678"/>
      <c r="C6" s="623"/>
      <c r="D6" s="679"/>
      <c r="E6" s="624"/>
      <c r="F6" s="624"/>
      <c r="G6" s="626"/>
      <c r="H6" s="626"/>
      <c r="I6" s="790" t="str">
        <f t="shared" ref="I6:I15" si="0">IF(OR(G6&lt;&gt;"",H6&lt;&gt;""),I5+G6-H6,"")</f>
        <v/>
      </c>
    </row>
    <row r="7" spans="1:9" ht="20.100000000000001" customHeight="1">
      <c r="A7" s="621"/>
      <c r="B7" s="678"/>
      <c r="C7" s="623"/>
      <c r="D7" s="679"/>
      <c r="E7" s="624"/>
      <c r="F7" s="624"/>
      <c r="G7" s="626"/>
      <c r="H7" s="626"/>
      <c r="I7" s="790" t="str">
        <f t="shared" si="0"/>
        <v/>
      </c>
    </row>
    <row r="8" spans="1:9" ht="20.100000000000001" customHeight="1">
      <c r="A8" s="621"/>
      <c r="B8" s="678"/>
      <c r="C8" s="623"/>
      <c r="D8" s="679"/>
      <c r="E8" s="624"/>
      <c r="F8" s="624"/>
      <c r="G8" s="626"/>
      <c r="H8" s="626"/>
      <c r="I8" s="790" t="str">
        <f t="shared" si="0"/>
        <v/>
      </c>
    </row>
    <row r="9" spans="1:9" ht="20.100000000000001" customHeight="1">
      <c r="A9" s="621"/>
      <c r="B9" s="678"/>
      <c r="C9" s="623"/>
      <c r="D9" s="679"/>
      <c r="E9" s="624"/>
      <c r="F9" s="624"/>
      <c r="G9" s="626"/>
      <c r="H9" s="626"/>
      <c r="I9" s="790" t="str">
        <f t="shared" si="0"/>
        <v/>
      </c>
    </row>
    <row r="10" spans="1:9" ht="20.100000000000001" customHeight="1">
      <c r="A10" s="621"/>
      <c r="B10" s="678"/>
      <c r="C10" s="623"/>
      <c r="D10" s="679"/>
      <c r="E10" s="624"/>
      <c r="F10" s="624"/>
      <c r="G10" s="626"/>
      <c r="H10" s="626"/>
      <c r="I10" s="790" t="str">
        <f t="shared" si="0"/>
        <v/>
      </c>
    </row>
    <row r="11" spans="1:9" ht="20.100000000000001" customHeight="1">
      <c r="A11" s="621"/>
      <c r="B11" s="678"/>
      <c r="C11" s="623"/>
      <c r="D11" s="679"/>
      <c r="E11" s="624"/>
      <c r="F11" s="624"/>
      <c r="G11" s="626"/>
      <c r="H11" s="626"/>
      <c r="I11" s="790" t="str">
        <f t="shared" si="0"/>
        <v/>
      </c>
    </row>
    <row r="12" spans="1:9" ht="20.100000000000001" customHeight="1">
      <c r="A12" s="621"/>
      <c r="B12" s="678"/>
      <c r="C12" s="623"/>
      <c r="D12" s="679"/>
      <c r="E12" s="624"/>
      <c r="F12" s="624"/>
      <c r="G12" s="626"/>
      <c r="H12" s="626"/>
      <c r="I12" s="790" t="str">
        <f t="shared" si="0"/>
        <v/>
      </c>
    </row>
    <row r="13" spans="1:9" ht="20.100000000000001" customHeight="1">
      <c r="A13" s="621"/>
      <c r="B13" s="678"/>
      <c r="C13" s="623"/>
      <c r="D13" s="679"/>
      <c r="E13" s="624"/>
      <c r="F13" s="624"/>
      <c r="G13" s="626"/>
      <c r="H13" s="626"/>
      <c r="I13" s="790" t="str">
        <f t="shared" si="0"/>
        <v/>
      </c>
    </row>
    <row r="14" spans="1:9" ht="20.100000000000001" customHeight="1">
      <c r="A14" s="621"/>
      <c r="B14" s="678"/>
      <c r="C14" s="623"/>
      <c r="D14" s="679"/>
      <c r="E14" s="624"/>
      <c r="F14" s="624"/>
      <c r="G14" s="626"/>
      <c r="H14" s="626"/>
      <c r="I14" s="790" t="str">
        <f t="shared" si="0"/>
        <v/>
      </c>
    </row>
    <row r="15" spans="1:9" ht="20.100000000000001" customHeight="1">
      <c r="A15" s="621"/>
      <c r="B15" s="678"/>
      <c r="C15" s="623"/>
      <c r="D15" s="679"/>
      <c r="E15" s="624"/>
      <c r="F15" s="624"/>
      <c r="G15" s="626"/>
      <c r="H15" s="626"/>
      <c r="I15" s="790" t="str">
        <f t="shared" si="0"/>
        <v/>
      </c>
    </row>
    <row r="16" spans="1:9" ht="20.100000000000001" customHeight="1">
      <c r="A16" s="621"/>
      <c r="B16" s="678"/>
      <c r="C16" s="623"/>
      <c r="D16" s="679"/>
      <c r="E16" s="624"/>
      <c r="F16" s="624"/>
      <c r="G16" s="626"/>
      <c r="H16" s="626"/>
      <c r="I16" s="790" t="str">
        <f t="shared" ref="I16:I39" si="1">IF(OR(G16&lt;&gt;"",H16&lt;&gt;""),I15+G16-H16,"")</f>
        <v/>
      </c>
    </row>
    <row r="17" spans="1:9" ht="20.100000000000001" customHeight="1">
      <c r="A17" s="621"/>
      <c r="B17" s="678"/>
      <c r="C17" s="623"/>
      <c r="D17" s="679"/>
      <c r="E17" s="624"/>
      <c r="F17" s="624"/>
      <c r="G17" s="626"/>
      <c r="H17" s="626"/>
      <c r="I17" s="790" t="str">
        <f t="shared" si="1"/>
        <v/>
      </c>
    </row>
    <row r="18" spans="1:9" ht="20.100000000000001" customHeight="1">
      <c r="A18" s="621"/>
      <c r="B18" s="678"/>
      <c r="C18" s="623"/>
      <c r="D18" s="679"/>
      <c r="E18" s="624"/>
      <c r="F18" s="624"/>
      <c r="G18" s="626"/>
      <c r="H18" s="626"/>
      <c r="I18" s="790" t="str">
        <f t="shared" si="1"/>
        <v/>
      </c>
    </row>
    <row r="19" spans="1:9" ht="20.100000000000001" customHeight="1">
      <c r="A19" s="621"/>
      <c r="B19" s="678"/>
      <c r="C19" s="623"/>
      <c r="D19" s="679"/>
      <c r="E19" s="624"/>
      <c r="F19" s="624"/>
      <c r="G19" s="626"/>
      <c r="H19" s="626"/>
      <c r="I19" s="790" t="str">
        <f t="shared" si="1"/>
        <v/>
      </c>
    </row>
    <row r="20" spans="1:9" ht="20.100000000000001" customHeight="1">
      <c r="A20" s="621"/>
      <c r="B20" s="678"/>
      <c r="C20" s="623"/>
      <c r="D20" s="679"/>
      <c r="E20" s="624"/>
      <c r="F20" s="624"/>
      <c r="G20" s="626"/>
      <c r="H20" s="626"/>
      <c r="I20" s="790" t="str">
        <f t="shared" si="1"/>
        <v/>
      </c>
    </row>
    <row r="21" spans="1:9" ht="20.100000000000001" customHeight="1">
      <c r="A21" s="621"/>
      <c r="B21" s="678"/>
      <c r="C21" s="623"/>
      <c r="D21" s="679"/>
      <c r="E21" s="624"/>
      <c r="F21" s="624"/>
      <c r="G21" s="626"/>
      <c r="H21" s="626"/>
      <c r="I21" s="790" t="str">
        <f t="shared" si="1"/>
        <v/>
      </c>
    </row>
    <row r="22" spans="1:9" ht="20.100000000000001" customHeight="1">
      <c r="A22" s="621"/>
      <c r="B22" s="678"/>
      <c r="C22" s="623"/>
      <c r="D22" s="679"/>
      <c r="E22" s="624"/>
      <c r="F22" s="624"/>
      <c r="G22" s="626"/>
      <c r="H22" s="626"/>
      <c r="I22" s="790" t="str">
        <f t="shared" si="1"/>
        <v/>
      </c>
    </row>
    <row r="23" spans="1:9" ht="20.100000000000001" customHeight="1">
      <c r="A23" s="621"/>
      <c r="B23" s="678"/>
      <c r="C23" s="623"/>
      <c r="D23" s="679"/>
      <c r="E23" s="624"/>
      <c r="F23" s="624"/>
      <c r="G23" s="626"/>
      <c r="H23" s="626"/>
      <c r="I23" s="790" t="str">
        <f t="shared" si="1"/>
        <v/>
      </c>
    </row>
    <row r="24" spans="1:9" ht="20.100000000000001" customHeight="1">
      <c r="A24" s="621"/>
      <c r="B24" s="678"/>
      <c r="C24" s="623"/>
      <c r="D24" s="679"/>
      <c r="E24" s="624"/>
      <c r="F24" s="624"/>
      <c r="G24" s="626"/>
      <c r="H24" s="626"/>
      <c r="I24" s="790" t="str">
        <f t="shared" si="1"/>
        <v/>
      </c>
    </row>
    <row r="25" spans="1:9" ht="20.100000000000001" customHeight="1">
      <c r="A25" s="621"/>
      <c r="B25" s="678"/>
      <c r="C25" s="623"/>
      <c r="D25" s="679"/>
      <c r="E25" s="624"/>
      <c r="F25" s="624"/>
      <c r="G25" s="626"/>
      <c r="H25" s="626"/>
      <c r="I25" s="790" t="str">
        <f t="shared" si="1"/>
        <v/>
      </c>
    </row>
    <row r="26" spans="1:9" ht="20.100000000000001" customHeight="1">
      <c r="A26" s="621"/>
      <c r="B26" s="678"/>
      <c r="C26" s="623"/>
      <c r="D26" s="679"/>
      <c r="E26" s="624"/>
      <c r="F26" s="624"/>
      <c r="G26" s="626"/>
      <c r="H26" s="626"/>
      <c r="I26" s="790" t="str">
        <f t="shared" si="1"/>
        <v/>
      </c>
    </row>
    <row r="27" spans="1:9" ht="20.100000000000001" customHeight="1">
      <c r="A27" s="621"/>
      <c r="B27" s="678"/>
      <c r="C27" s="623"/>
      <c r="D27" s="679"/>
      <c r="E27" s="624"/>
      <c r="F27" s="624"/>
      <c r="G27" s="626"/>
      <c r="H27" s="626"/>
      <c r="I27" s="790" t="str">
        <f t="shared" si="1"/>
        <v/>
      </c>
    </row>
    <row r="28" spans="1:9" ht="20.100000000000001" customHeight="1">
      <c r="A28" s="621"/>
      <c r="B28" s="678"/>
      <c r="C28" s="623"/>
      <c r="D28" s="679"/>
      <c r="E28" s="624"/>
      <c r="F28" s="624"/>
      <c r="G28" s="626"/>
      <c r="H28" s="626"/>
      <c r="I28" s="790" t="str">
        <f t="shared" si="1"/>
        <v/>
      </c>
    </row>
    <row r="29" spans="1:9" ht="20.100000000000001" customHeight="1">
      <c r="A29" s="621"/>
      <c r="B29" s="678"/>
      <c r="C29" s="623"/>
      <c r="D29" s="679"/>
      <c r="E29" s="624"/>
      <c r="F29" s="624"/>
      <c r="G29" s="626"/>
      <c r="H29" s="626"/>
      <c r="I29" s="790" t="str">
        <f t="shared" si="1"/>
        <v/>
      </c>
    </row>
    <row r="30" spans="1:9" ht="20.100000000000001" customHeight="1">
      <c r="A30" s="621"/>
      <c r="B30" s="678"/>
      <c r="C30" s="623"/>
      <c r="D30" s="679"/>
      <c r="E30" s="624"/>
      <c r="F30" s="624"/>
      <c r="G30" s="626"/>
      <c r="H30" s="626"/>
      <c r="I30" s="790" t="str">
        <f t="shared" si="1"/>
        <v/>
      </c>
    </row>
    <row r="31" spans="1:9" ht="20.100000000000001" customHeight="1">
      <c r="A31" s="621"/>
      <c r="B31" s="678"/>
      <c r="C31" s="623"/>
      <c r="D31" s="679"/>
      <c r="E31" s="624"/>
      <c r="F31" s="624"/>
      <c r="G31" s="626"/>
      <c r="H31" s="626"/>
      <c r="I31" s="790" t="str">
        <f t="shared" si="1"/>
        <v/>
      </c>
    </row>
    <row r="32" spans="1:9" ht="20.100000000000001" customHeight="1">
      <c r="A32" s="621"/>
      <c r="B32" s="678"/>
      <c r="C32" s="623"/>
      <c r="D32" s="679"/>
      <c r="E32" s="624"/>
      <c r="F32" s="624"/>
      <c r="G32" s="626"/>
      <c r="H32" s="626"/>
      <c r="I32" s="790" t="str">
        <f t="shared" si="1"/>
        <v/>
      </c>
    </row>
    <row r="33" spans="1:9" ht="20.100000000000001" customHeight="1">
      <c r="A33" s="621"/>
      <c r="B33" s="678"/>
      <c r="C33" s="623"/>
      <c r="D33" s="679"/>
      <c r="E33" s="624"/>
      <c r="F33" s="624"/>
      <c r="G33" s="626"/>
      <c r="H33" s="626"/>
      <c r="I33" s="790" t="str">
        <f t="shared" si="1"/>
        <v/>
      </c>
    </row>
    <row r="34" spans="1:9" ht="20.100000000000001" customHeight="1">
      <c r="A34" s="621"/>
      <c r="B34" s="678"/>
      <c r="C34" s="623"/>
      <c r="D34" s="679"/>
      <c r="E34" s="624"/>
      <c r="F34" s="624"/>
      <c r="G34" s="626"/>
      <c r="H34" s="626"/>
      <c r="I34" s="790" t="str">
        <f t="shared" si="1"/>
        <v/>
      </c>
    </row>
    <row r="35" spans="1:9" ht="20.100000000000001" customHeight="1">
      <c r="A35" s="621"/>
      <c r="B35" s="678"/>
      <c r="C35" s="623"/>
      <c r="D35" s="679"/>
      <c r="E35" s="624"/>
      <c r="F35" s="624"/>
      <c r="G35" s="626"/>
      <c r="H35" s="626"/>
      <c r="I35" s="790" t="str">
        <f t="shared" si="1"/>
        <v/>
      </c>
    </row>
    <row r="36" spans="1:9" ht="20.100000000000001" customHeight="1">
      <c r="A36" s="621"/>
      <c r="B36" s="678"/>
      <c r="C36" s="623"/>
      <c r="D36" s="679"/>
      <c r="E36" s="624"/>
      <c r="F36" s="624"/>
      <c r="G36" s="626"/>
      <c r="H36" s="626"/>
      <c r="I36" s="790" t="str">
        <f t="shared" si="1"/>
        <v/>
      </c>
    </row>
    <row r="37" spans="1:9" ht="20.100000000000001" customHeight="1">
      <c r="A37" s="621"/>
      <c r="B37" s="678"/>
      <c r="C37" s="623"/>
      <c r="D37" s="679"/>
      <c r="E37" s="624"/>
      <c r="F37" s="624"/>
      <c r="G37" s="626"/>
      <c r="H37" s="626"/>
      <c r="I37" s="790" t="str">
        <f t="shared" si="1"/>
        <v/>
      </c>
    </row>
    <row r="38" spans="1:9" ht="20.100000000000001" customHeight="1">
      <c r="A38" s="621"/>
      <c r="B38" s="678"/>
      <c r="C38" s="623"/>
      <c r="D38" s="679"/>
      <c r="E38" s="624"/>
      <c r="F38" s="624"/>
      <c r="G38" s="626"/>
      <c r="H38" s="626"/>
      <c r="I38" s="790" t="str">
        <f t="shared" si="1"/>
        <v/>
      </c>
    </row>
    <row r="39" spans="1:9" ht="20.100000000000001" customHeight="1">
      <c r="A39" s="621"/>
      <c r="B39" s="678"/>
      <c r="C39" s="623"/>
      <c r="D39" s="679"/>
      <c r="E39" s="624"/>
      <c r="F39" s="624"/>
      <c r="G39" s="626"/>
      <c r="H39" s="626"/>
      <c r="I39" s="790" t="str">
        <f t="shared" si="1"/>
        <v/>
      </c>
    </row>
    <row r="40" spans="1:9" ht="20.100000000000001" customHeight="1">
      <c r="A40" s="621"/>
      <c r="B40" s="678"/>
      <c r="C40" s="623"/>
      <c r="D40" s="679"/>
      <c r="E40" s="624"/>
      <c r="F40" s="624"/>
      <c r="G40" s="626"/>
      <c r="H40" s="626"/>
      <c r="I40" s="790" t="str">
        <f t="shared" ref="I40:I74" si="2">IF(OR(G40&lt;&gt;"",H40&lt;&gt;""),I39+G40-H40,"")</f>
        <v/>
      </c>
    </row>
    <row r="41" spans="1:9" ht="20.100000000000001" customHeight="1">
      <c r="A41" s="621"/>
      <c r="B41" s="678"/>
      <c r="C41" s="623"/>
      <c r="D41" s="679"/>
      <c r="E41" s="624"/>
      <c r="F41" s="624"/>
      <c r="G41" s="626"/>
      <c r="H41" s="626"/>
      <c r="I41" s="790" t="str">
        <f t="shared" si="2"/>
        <v/>
      </c>
    </row>
    <row r="42" spans="1:9" ht="20.100000000000001" customHeight="1">
      <c r="A42" s="621"/>
      <c r="B42" s="678"/>
      <c r="C42" s="623"/>
      <c r="D42" s="679"/>
      <c r="E42" s="624"/>
      <c r="F42" s="624"/>
      <c r="G42" s="626"/>
      <c r="H42" s="626"/>
      <c r="I42" s="790" t="str">
        <f t="shared" si="2"/>
        <v/>
      </c>
    </row>
    <row r="43" spans="1:9" ht="20.100000000000001" customHeight="1">
      <c r="A43" s="621"/>
      <c r="B43" s="678"/>
      <c r="C43" s="623"/>
      <c r="D43" s="679"/>
      <c r="E43" s="624"/>
      <c r="F43" s="624"/>
      <c r="G43" s="626"/>
      <c r="H43" s="626"/>
      <c r="I43" s="790" t="str">
        <f t="shared" si="2"/>
        <v/>
      </c>
    </row>
    <row r="44" spans="1:9" ht="20.100000000000001" customHeight="1">
      <c r="A44" s="621"/>
      <c r="B44" s="678"/>
      <c r="C44" s="623"/>
      <c r="D44" s="679"/>
      <c r="E44" s="624"/>
      <c r="F44" s="624"/>
      <c r="G44" s="626"/>
      <c r="H44" s="626"/>
      <c r="I44" s="790" t="str">
        <f t="shared" si="2"/>
        <v/>
      </c>
    </row>
    <row r="45" spans="1:9" ht="20.100000000000001" customHeight="1">
      <c r="A45" s="621"/>
      <c r="B45" s="678"/>
      <c r="C45" s="623"/>
      <c r="D45" s="679"/>
      <c r="E45" s="624"/>
      <c r="F45" s="624"/>
      <c r="G45" s="626"/>
      <c r="H45" s="626"/>
      <c r="I45" s="790" t="str">
        <f t="shared" si="2"/>
        <v/>
      </c>
    </row>
    <row r="46" spans="1:9" ht="20.100000000000001" customHeight="1">
      <c r="A46" s="621"/>
      <c r="B46" s="678"/>
      <c r="C46" s="623"/>
      <c r="D46" s="679"/>
      <c r="E46" s="624"/>
      <c r="F46" s="624"/>
      <c r="G46" s="626"/>
      <c r="H46" s="626"/>
      <c r="I46" s="790" t="str">
        <f t="shared" si="2"/>
        <v/>
      </c>
    </row>
    <row r="47" spans="1:9" ht="20.100000000000001" customHeight="1">
      <c r="A47" s="621"/>
      <c r="B47" s="678"/>
      <c r="C47" s="623"/>
      <c r="D47" s="679"/>
      <c r="E47" s="624"/>
      <c r="F47" s="624"/>
      <c r="G47" s="626"/>
      <c r="H47" s="626"/>
      <c r="I47" s="790" t="str">
        <f t="shared" si="2"/>
        <v/>
      </c>
    </row>
    <row r="48" spans="1:9" ht="20.100000000000001" customHeight="1">
      <c r="A48" s="621"/>
      <c r="B48" s="678"/>
      <c r="C48" s="623"/>
      <c r="D48" s="679"/>
      <c r="E48" s="624"/>
      <c r="F48" s="624"/>
      <c r="G48" s="626"/>
      <c r="H48" s="626"/>
      <c r="I48" s="790" t="str">
        <f t="shared" si="2"/>
        <v/>
      </c>
    </row>
    <row r="49" spans="1:9" ht="20.100000000000001" customHeight="1">
      <c r="A49" s="621"/>
      <c r="B49" s="678"/>
      <c r="C49" s="623"/>
      <c r="D49" s="679"/>
      <c r="E49" s="624"/>
      <c r="F49" s="624"/>
      <c r="G49" s="626"/>
      <c r="H49" s="626"/>
      <c r="I49" s="790" t="str">
        <f t="shared" si="2"/>
        <v/>
      </c>
    </row>
    <row r="50" spans="1:9" ht="20.100000000000001" customHeight="1">
      <c r="A50" s="621"/>
      <c r="B50" s="678"/>
      <c r="C50" s="623"/>
      <c r="D50" s="679"/>
      <c r="E50" s="624"/>
      <c r="F50" s="624"/>
      <c r="G50" s="626"/>
      <c r="H50" s="626"/>
      <c r="I50" s="790" t="str">
        <f t="shared" si="2"/>
        <v/>
      </c>
    </row>
    <row r="51" spans="1:9" ht="20.100000000000001" customHeight="1">
      <c r="A51" s="621"/>
      <c r="B51" s="678"/>
      <c r="C51" s="623"/>
      <c r="D51" s="679"/>
      <c r="E51" s="624"/>
      <c r="F51" s="624"/>
      <c r="G51" s="626"/>
      <c r="H51" s="626"/>
      <c r="I51" s="790" t="str">
        <f t="shared" si="2"/>
        <v/>
      </c>
    </row>
    <row r="52" spans="1:9" ht="20.100000000000001" customHeight="1">
      <c r="A52" s="621"/>
      <c r="B52" s="678"/>
      <c r="C52" s="623"/>
      <c r="D52" s="679"/>
      <c r="E52" s="624"/>
      <c r="F52" s="624"/>
      <c r="G52" s="626"/>
      <c r="H52" s="626"/>
      <c r="I52" s="790" t="str">
        <f t="shared" si="2"/>
        <v/>
      </c>
    </row>
    <row r="53" spans="1:9" ht="20.100000000000001" customHeight="1">
      <c r="A53" s="621"/>
      <c r="B53" s="678"/>
      <c r="C53" s="623"/>
      <c r="D53" s="679"/>
      <c r="E53" s="624"/>
      <c r="F53" s="624"/>
      <c r="G53" s="626"/>
      <c r="H53" s="626"/>
      <c r="I53" s="790" t="str">
        <f t="shared" si="2"/>
        <v/>
      </c>
    </row>
    <row r="54" spans="1:9" ht="20.100000000000001" customHeight="1">
      <c r="A54" s="621"/>
      <c r="B54" s="678"/>
      <c r="C54" s="623"/>
      <c r="D54" s="679"/>
      <c r="E54" s="624"/>
      <c r="F54" s="624"/>
      <c r="G54" s="626"/>
      <c r="H54" s="626"/>
      <c r="I54" s="790" t="str">
        <f t="shared" si="2"/>
        <v/>
      </c>
    </row>
    <row r="55" spans="1:9" ht="20.100000000000001" customHeight="1">
      <c r="A55" s="621"/>
      <c r="B55" s="678"/>
      <c r="C55" s="623"/>
      <c r="D55" s="679"/>
      <c r="E55" s="624"/>
      <c r="F55" s="624"/>
      <c r="G55" s="626"/>
      <c r="H55" s="626"/>
      <c r="I55" s="790" t="str">
        <f t="shared" si="2"/>
        <v/>
      </c>
    </row>
    <row r="56" spans="1:9" ht="20.100000000000001" customHeight="1">
      <c r="A56" s="621"/>
      <c r="B56" s="678"/>
      <c r="C56" s="623"/>
      <c r="D56" s="679"/>
      <c r="E56" s="624"/>
      <c r="F56" s="624"/>
      <c r="G56" s="626"/>
      <c r="H56" s="626"/>
      <c r="I56" s="790" t="str">
        <f t="shared" si="2"/>
        <v/>
      </c>
    </row>
    <row r="57" spans="1:9" ht="20.100000000000001" customHeight="1">
      <c r="A57" s="621"/>
      <c r="B57" s="678"/>
      <c r="C57" s="623"/>
      <c r="D57" s="679"/>
      <c r="E57" s="624"/>
      <c r="F57" s="624"/>
      <c r="G57" s="626"/>
      <c r="H57" s="626"/>
      <c r="I57" s="790" t="str">
        <f t="shared" si="2"/>
        <v/>
      </c>
    </row>
    <row r="58" spans="1:9" ht="20.100000000000001" customHeight="1">
      <c r="A58" s="621"/>
      <c r="B58" s="678"/>
      <c r="C58" s="623"/>
      <c r="D58" s="679"/>
      <c r="E58" s="624"/>
      <c r="F58" s="624"/>
      <c r="G58" s="626"/>
      <c r="H58" s="626"/>
      <c r="I58" s="790" t="str">
        <f t="shared" si="2"/>
        <v/>
      </c>
    </row>
    <row r="59" spans="1:9" ht="20.100000000000001" customHeight="1">
      <c r="A59" s="621"/>
      <c r="B59" s="678"/>
      <c r="C59" s="623"/>
      <c r="D59" s="679"/>
      <c r="E59" s="624"/>
      <c r="F59" s="624"/>
      <c r="G59" s="626"/>
      <c r="H59" s="626"/>
      <c r="I59" s="790" t="str">
        <f t="shared" si="2"/>
        <v/>
      </c>
    </row>
    <row r="60" spans="1:9" ht="20.100000000000001" customHeight="1">
      <c r="A60" s="621"/>
      <c r="B60" s="678"/>
      <c r="C60" s="623"/>
      <c r="D60" s="679"/>
      <c r="E60" s="624"/>
      <c r="F60" s="624"/>
      <c r="G60" s="626"/>
      <c r="H60" s="626"/>
      <c r="I60" s="790" t="str">
        <f t="shared" si="2"/>
        <v/>
      </c>
    </row>
    <row r="61" spans="1:9" ht="20.100000000000001" customHeight="1">
      <c r="A61" s="621"/>
      <c r="B61" s="678"/>
      <c r="C61" s="623"/>
      <c r="D61" s="679"/>
      <c r="E61" s="624"/>
      <c r="F61" s="624"/>
      <c r="G61" s="626"/>
      <c r="H61" s="626"/>
      <c r="I61" s="790" t="str">
        <f t="shared" si="2"/>
        <v/>
      </c>
    </row>
    <row r="62" spans="1:9" ht="20.100000000000001" customHeight="1">
      <c r="A62" s="621"/>
      <c r="B62" s="678"/>
      <c r="C62" s="623"/>
      <c r="D62" s="679"/>
      <c r="E62" s="624"/>
      <c r="F62" s="624"/>
      <c r="G62" s="626"/>
      <c r="H62" s="626"/>
      <c r="I62" s="790" t="str">
        <f t="shared" si="2"/>
        <v/>
      </c>
    </row>
    <row r="63" spans="1:9" ht="20.100000000000001" customHeight="1">
      <c r="A63" s="621"/>
      <c r="B63" s="678"/>
      <c r="C63" s="623"/>
      <c r="D63" s="679"/>
      <c r="E63" s="624"/>
      <c r="F63" s="624"/>
      <c r="G63" s="626"/>
      <c r="H63" s="626"/>
      <c r="I63" s="790" t="str">
        <f t="shared" si="2"/>
        <v/>
      </c>
    </row>
    <row r="64" spans="1:9" ht="20.100000000000001" customHeight="1">
      <c r="A64" s="621"/>
      <c r="B64" s="678"/>
      <c r="C64" s="623"/>
      <c r="D64" s="679"/>
      <c r="E64" s="624"/>
      <c r="F64" s="624"/>
      <c r="G64" s="626"/>
      <c r="H64" s="626"/>
      <c r="I64" s="790" t="str">
        <f t="shared" si="2"/>
        <v/>
      </c>
    </row>
    <row r="65" spans="1:9" ht="20.100000000000001" customHeight="1">
      <c r="A65" s="621"/>
      <c r="B65" s="678"/>
      <c r="C65" s="623"/>
      <c r="D65" s="679"/>
      <c r="E65" s="624"/>
      <c r="F65" s="624"/>
      <c r="G65" s="626"/>
      <c r="H65" s="626"/>
      <c r="I65" s="790" t="str">
        <f t="shared" si="2"/>
        <v/>
      </c>
    </row>
    <row r="66" spans="1:9" ht="20.100000000000001" customHeight="1">
      <c r="A66" s="621"/>
      <c r="B66" s="678"/>
      <c r="C66" s="623"/>
      <c r="D66" s="679"/>
      <c r="E66" s="624"/>
      <c r="F66" s="624"/>
      <c r="G66" s="626"/>
      <c r="H66" s="626"/>
      <c r="I66" s="790" t="str">
        <f t="shared" si="2"/>
        <v/>
      </c>
    </row>
    <row r="67" spans="1:9" ht="20.100000000000001" customHeight="1">
      <c r="A67" s="621"/>
      <c r="B67" s="678"/>
      <c r="C67" s="623"/>
      <c r="D67" s="679"/>
      <c r="E67" s="624"/>
      <c r="F67" s="624"/>
      <c r="G67" s="626"/>
      <c r="H67" s="626"/>
      <c r="I67" s="790" t="str">
        <f t="shared" si="2"/>
        <v/>
      </c>
    </row>
    <row r="68" spans="1:9" ht="20.100000000000001" customHeight="1">
      <c r="A68" s="621"/>
      <c r="B68" s="678"/>
      <c r="C68" s="623"/>
      <c r="D68" s="679"/>
      <c r="E68" s="624"/>
      <c r="F68" s="624"/>
      <c r="G68" s="626"/>
      <c r="H68" s="626"/>
      <c r="I68" s="790" t="str">
        <f t="shared" si="2"/>
        <v/>
      </c>
    </row>
    <row r="69" spans="1:9" ht="20.100000000000001" customHeight="1">
      <c r="A69" s="621"/>
      <c r="B69" s="678"/>
      <c r="C69" s="623"/>
      <c r="D69" s="679"/>
      <c r="E69" s="624"/>
      <c r="F69" s="624"/>
      <c r="G69" s="626"/>
      <c r="H69" s="626"/>
      <c r="I69" s="790" t="str">
        <f t="shared" si="2"/>
        <v/>
      </c>
    </row>
    <row r="70" spans="1:9" ht="20.100000000000001" customHeight="1">
      <c r="A70" s="621"/>
      <c r="B70" s="678"/>
      <c r="C70" s="623"/>
      <c r="D70" s="679"/>
      <c r="E70" s="624"/>
      <c r="F70" s="624"/>
      <c r="G70" s="626"/>
      <c r="H70" s="626"/>
      <c r="I70" s="790" t="str">
        <f t="shared" si="2"/>
        <v/>
      </c>
    </row>
    <row r="71" spans="1:9" ht="20.100000000000001" customHeight="1">
      <c r="A71" s="621"/>
      <c r="B71" s="678"/>
      <c r="C71" s="623"/>
      <c r="D71" s="679"/>
      <c r="E71" s="624"/>
      <c r="F71" s="624"/>
      <c r="G71" s="626"/>
      <c r="H71" s="626"/>
      <c r="I71" s="790" t="str">
        <f t="shared" si="2"/>
        <v/>
      </c>
    </row>
    <row r="72" spans="1:9" ht="20.100000000000001" customHeight="1">
      <c r="A72" s="621"/>
      <c r="B72" s="678"/>
      <c r="C72" s="623"/>
      <c r="D72" s="679"/>
      <c r="E72" s="624"/>
      <c r="F72" s="624"/>
      <c r="G72" s="626"/>
      <c r="H72" s="626"/>
      <c r="I72" s="790" t="str">
        <f t="shared" si="2"/>
        <v/>
      </c>
    </row>
    <row r="73" spans="1:9" ht="20.100000000000001" customHeight="1">
      <c r="A73" s="621"/>
      <c r="B73" s="678"/>
      <c r="C73" s="623"/>
      <c r="D73" s="679"/>
      <c r="E73" s="624"/>
      <c r="F73" s="624"/>
      <c r="G73" s="626"/>
      <c r="H73" s="626"/>
      <c r="I73" s="790" t="str">
        <f t="shared" si="2"/>
        <v/>
      </c>
    </row>
    <row r="74" spans="1:9" ht="20.100000000000001" customHeight="1">
      <c r="A74" s="621"/>
      <c r="B74" s="678"/>
      <c r="C74" s="623"/>
      <c r="D74" s="679"/>
      <c r="E74" s="624"/>
      <c r="F74" s="624"/>
      <c r="G74" s="626"/>
      <c r="H74" s="626"/>
      <c r="I74" s="790" t="str">
        <f t="shared" si="2"/>
        <v/>
      </c>
    </row>
    <row r="75" spans="1:9" ht="20.100000000000001" customHeight="1">
      <c r="A75" s="621"/>
      <c r="B75" s="678"/>
      <c r="C75" s="623"/>
      <c r="D75" s="679"/>
      <c r="E75" s="624"/>
      <c r="F75" s="624"/>
      <c r="G75" s="626"/>
      <c r="H75" s="626"/>
      <c r="I75" s="790" t="str">
        <f t="shared" ref="I75:I98" si="3">IF(OR(G75&lt;&gt;"",H75&lt;&gt;""),I74+G75-H75,"")</f>
        <v/>
      </c>
    </row>
    <row r="76" spans="1:9" ht="20.100000000000001" customHeight="1">
      <c r="A76" s="621"/>
      <c r="B76" s="678"/>
      <c r="C76" s="623"/>
      <c r="D76" s="679"/>
      <c r="E76" s="624"/>
      <c r="F76" s="624"/>
      <c r="G76" s="626"/>
      <c r="H76" s="626"/>
      <c r="I76" s="790" t="str">
        <f t="shared" si="3"/>
        <v/>
      </c>
    </row>
    <row r="77" spans="1:9" ht="20.100000000000001" customHeight="1">
      <c r="A77" s="621"/>
      <c r="B77" s="678"/>
      <c r="C77" s="623"/>
      <c r="D77" s="679"/>
      <c r="E77" s="624"/>
      <c r="F77" s="624"/>
      <c r="G77" s="626"/>
      <c r="H77" s="626"/>
      <c r="I77" s="790" t="str">
        <f t="shared" si="3"/>
        <v/>
      </c>
    </row>
    <row r="78" spans="1:9" ht="20.100000000000001" customHeight="1">
      <c r="A78" s="621"/>
      <c r="B78" s="678"/>
      <c r="C78" s="623"/>
      <c r="D78" s="679"/>
      <c r="E78" s="624"/>
      <c r="F78" s="624"/>
      <c r="G78" s="626"/>
      <c r="H78" s="626"/>
      <c r="I78" s="790" t="str">
        <f t="shared" si="3"/>
        <v/>
      </c>
    </row>
    <row r="79" spans="1:9" ht="20.100000000000001" customHeight="1">
      <c r="A79" s="621"/>
      <c r="B79" s="678"/>
      <c r="C79" s="623"/>
      <c r="D79" s="679"/>
      <c r="E79" s="624"/>
      <c r="F79" s="624"/>
      <c r="G79" s="626"/>
      <c r="H79" s="626"/>
      <c r="I79" s="790" t="str">
        <f t="shared" si="3"/>
        <v/>
      </c>
    </row>
    <row r="80" spans="1:9" ht="20.100000000000001" customHeight="1">
      <c r="A80" s="621"/>
      <c r="B80" s="678"/>
      <c r="C80" s="623"/>
      <c r="D80" s="679"/>
      <c r="E80" s="624"/>
      <c r="F80" s="624"/>
      <c r="G80" s="626"/>
      <c r="H80" s="626"/>
      <c r="I80" s="790" t="str">
        <f t="shared" si="3"/>
        <v/>
      </c>
    </row>
    <row r="81" spans="1:9" ht="20.100000000000001" customHeight="1">
      <c r="A81" s="621"/>
      <c r="B81" s="678"/>
      <c r="C81" s="623"/>
      <c r="D81" s="679"/>
      <c r="E81" s="624"/>
      <c r="F81" s="624"/>
      <c r="G81" s="626"/>
      <c r="H81" s="626"/>
      <c r="I81" s="790" t="str">
        <f t="shared" si="3"/>
        <v/>
      </c>
    </row>
    <row r="82" spans="1:9" ht="20.100000000000001" customHeight="1">
      <c r="A82" s="621"/>
      <c r="B82" s="678"/>
      <c r="C82" s="623"/>
      <c r="D82" s="679"/>
      <c r="E82" s="624"/>
      <c r="F82" s="624"/>
      <c r="G82" s="626"/>
      <c r="H82" s="626"/>
      <c r="I82" s="790" t="str">
        <f t="shared" si="3"/>
        <v/>
      </c>
    </row>
    <row r="83" spans="1:9" ht="20.100000000000001" customHeight="1">
      <c r="A83" s="621"/>
      <c r="B83" s="678"/>
      <c r="C83" s="623"/>
      <c r="D83" s="679"/>
      <c r="E83" s="624"/>
      <c r="F83" s="624"/>
      <c r="G83" s="626"/>
      <c r="H83" s="626"/>
      <c r="I83" s="790" t="str">
        <f t="shared" si="3"/>
        <v/>
      </c>
    </row>
    <row r="84" spans="1:9" ht="20.100000000000001" customHeight="1">
      <c r="A84" s="621"/>
      <c r="B84" s="678"/>
      <c r="C84" s="623"/>
      <c r="D84" s="679"/>
      <c r="E84" s="624"/>
      <c r="F84" s="624"/>
      <c r="G84" s="626"/>
      <c r="H84" s="626"/>
      <c r="I84" s="790" t="str">
        <f t="shared" si="3"/>
        <v/>
      </c>
    </row>
    <row r="85" spans="1:9" ht="20.100000000000001" customHeight="1">
      <c r="A85" s="621"/>
      <c r="B85" s="678"/>
      <c r="C85" s="623"/>
      <c r="D85" s="679"/>
      <c r="E85" s="624"/>
      <c r="F85" s="624"/>
      <c r="G85" s="626"/>
      <c r="H85" s="626"/>
      <c r="I85" s="790" t="str">
        <f t="shared" si="3"/>
        <v/>
      </c>
    </row>
    <row r="86" spans="1:9" ht="20.100000000000001" customHeight="1">
      <c r="A86" s="621"/>
      <c r="B86" s="678"/>
      <c r="C86" s="623"/>
      <c r="D86" s="679"/>
      <c r="E86" s="624"/>
      <c r="F86" s="624"/>
      <c r="G86" s="626"/>
      <c r="H86" s="626"/>
      <c r="I86" s="790" t="str">
        <f t="shared" si="3"/>
        <v/>
      </c>
    </row>
    <row r="87" spans="1:9" ht="20.100000000000001" customHeight="1">
      <c r="A87" s="621"/>
      <c r="B87" s="678"/>
      <c r="C87" s="623"/>
      <c r="D87" s="679"/>
      <c r="E87" s="624"/>
      <c r="F87" s="624"/>
      <c r="G87" s="626"/>
      <c r="H87" s="626"/>
      <c r="I87" s="790" t="str">
        <f t="shared" si="3"/>
        <v/>
      </c>
    </row>
    <row r="88" spans="1:9" ht="20.100000000000001" customHeight="1">
      <c r="A88" s="621"/>
      <c r="B88" s="678"/>
      <c r="C88" s="623"/>
      <c r="D88" s="679"/>
      <c r="E88" s="624"/>
      <c r="F88" s="624"/>
      <c r="G88" s="626"/>
      <c r="H88" s="626"/>
      <c r="I88" s="790" t="str">
        <f t="shared" si="3"/>
        <v/>
      </c>
    </row>
    <row r="89" spans="1:9" ht="20.100000000000001" customHeight="1">
      <c r="A89" s="621"/>
      <c r="B89" s="678"/>
      <c r="C89" s="623"/>
      <c r="D89" s="679"/>
      <c r="E89" s="624"/>
      <c r="F89" s="624"/>
      <c r="G89" s="626"/>
      <c r="H89" s="626"/>
      <c r="I89" s="790" t="str">
        <f t="shared" si="3"/>
        <v/>
      </c>
    </row>
    <row r="90" spans="1:9" ht="20.100000000000001" customHeight="1">
      <c r="A90" s="621"/>
      <c r="B90" s="678"/>
      <c r="C90" s="623"/>
      <c r="D90" s="679"/>
      <c r="E90" s="624"/>
      <c r="F90" s="624"/>
      <c r="G90" s="626"/>
      <c r="H90" s="626"/>
      <c r="I90" s="790" t="str">
        <f t="shared" si="3"/>
        <v/>
      </c>
    </row>
    <row r="91" spans="1:9" ht="20.100000000000001" customHeight="1">
      <c r="A91" s="621"/>
      <c r="B91" s="678"/>
      <c r="C91" s="623"/>
      <c r="D91" s="679"/>
      <c r="E91" s="624"/>
      <c r="F91" s="624"/>
      <c r="G91" s="626"/>
      <c r="H91" s="626"/>
      <c r="I91" s="790" t="str">
        <f t="shared" si="3"/>
        <v/>
      </c>
    </row>
    <row r="92" spans="1:9" ht="20.100000000000001" customHeight="1">
      <c r="A92" s="621"/>
      <c r="B92" s="678"/>
      <c r="C92" s="623"/>
      <c r="D92" s="679"/>
      <c r="E92" s="624"/>
      <c r="F92" s="624"/>
      <c r="G92" s="626"/>
      <c r="H92" s="626"/>
      <c r="I92" s="790" t="str">
        <f t="shared" si="3"/>
        <v/>
      </c>
    </row>
    <row r="93" spans="1:9" ht="20.100000000000001" customHeight="1">
      <c r="A93" s="621"/>
      <c r="B93" s="678"/>
      <c r="C93" s="623"/>
      <c r="D93" s="679"/>
      <c r="E93" s="624"/>
      <c r="F93" s="624"/>
      <c r="G93" s="626"/>
      <c r="H93" s="626"/>
      <c r="I93" s="790" t="str">
        <f t="shared" si="3"/>
        <v/>
      </c>
    </row>
    <row r="94" spans="1:9" ht="20.100000000000001" customHeight="1">
      <c r="A94" s="621"/>
      <c r="B94" s="678"/>
      <c r="C94" s="623"/>
      <c r="D94" s="679"/>
      <c r="E94" s="624"/>
      <c r="F94" s="624"/>
      <c r="G94" s="626"/>
      <c r="H94" s="626"/>
      <c r="I94" s="790" t="str">
        <f t="shared" si="3"/>
        <v/>
      </c>
    </row>
    <row r="95" spans="1:9" ht="20.100000000000001" customHeight="1">
      <c r="A95" s="621"/>
      <c r="B95" s="678"/>
      <c r="C95" s="623"/>
      <c r="D95" s="679"/>
      <c r="E95" s="624"/>
      <c r="F95" s="624"/>
      <c r="G95" s="626"/>
      <c r="H95" s="626"/>
      <c r="I95" s="790" t="str">
        <f t="shared" si="3"/>
        <v/>
      </c>
    </row>
    <row r="96" spans="1:9" ht="20.100000000000001" customHeight="1">
      <c r="A96" s="621"/>
      <c r="B96" s="678"/>
      <c r="C96" s="623"/>
      <c r="D96" s="679"/>
      <c r="E96" s="624"/>
      <c r="F96" s="624"/>
      <c r="G96" s="626"/>
      <c r="H96" s="626"/>
      <c r="I96" s="790" t="str">
        <f t="shared" si="3"/>
        <v/>
      </c>
    </row>
    <row r="97" spans="1:9" ht="20.100000000000001" customHeight="1">
      <c r="A97" s="621"/>
      <c r="B97" s="678"/>
      <c r="C97" s="623"/>
      <c r="D97" s="679"/>
      <c r="E97" s="624"/>
      <c r="F97" s="624"/>
      <c r="G97" s="626"/>
      <c r="H97" s="626"/>
      <c r="I97" s="790" t="str">
        <f t="shared" si="3"/>
        <v/>
      </c>
    </row>
    <row r="98" spans="1:9" ht="20.100000000000001" customHeight="1">
      <c r="A98" s="621"/>
      <c r="B98" s="678"/>
      <c r="C98" s="623"/>
      <c r="D98" s="679"/>
      <c r="E98" s="624"/>
      <c r="F98" s="624"/>
      <c r="G98" s="650"/>
      <c r="H98" s="650"/>
      <c r="I98" s="791" t="str">
        <f t="shared" si="3"/>
        <v/>
      </c>
    </row>
    <row r="99" spans="1:9" ht="20.100000000000001" customHeight="1">
      <c r="A99" s="621"/>
      <c r="B99" s="1145" t="s">
        <v>396</v>
      </c>
      <c r="C99" s="1145"/>
      <c r="D99" s="1145"/>
      <c r="E99" s="639"/>
      <c r="F99" s="639"/>
      <c r="G99" s="682">
        <f>SUM(G4:G98)</f>
        <v>0</v>
      </c>
      <c r="H99" s="682">
        <f>SUM(H4:H98)</f>
        <v>0</v>
      </c>
      <c r="I99" s="821">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77</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29</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73"/>
      <c r="E4" s="786"/>
      <c r="F4" s="786"/>
      <c r="G4" s="788"/>
      <c r="H4" s="788"/>
      <c r="I4" s="820">
        <f>IF(G4="",H4,G4)</f>
        <v>0</v>
      </c>
    </row>
    <row r="5" spans="1:9" ht="20.100000000000001" customHeight="1">
      <c r="A5" s="621"/>
      <c r="B5" s="678"/>
      <c r="C5" s="623"/>
      <c r="D5" s="679"/>
      <c r="E5" s="624"/>
      <c r="F5" s="624"/>
      <c r="G5" s="626"/>
      <c r="H5" s="626"/>
      <c r="I5" s="790" t="str">
        <f>IF(OR(G5&lt;&gt;"",H5&lt;&gt;""),I4+G5-H5,"")</f>
        <v/>
      </c>
    </row>
    <row r="6" spans="1:9" ht="20.100000000000001" customHeight="1">
      <c r="A6" s="621"/>
      <c r="B6" s="678"/>
      <c r="C6" s="623"/>
      <c r="D6" s="679"/>
      <c r="E6" s="624"/>
      <c r="F6" s="624"/>
      <c r="G6" s="626"/>
      <c r="H6" s="626"/>
      <c r="I6" s="790" t="str">
        <f t="shared" ref="I6:I15" si="0">IF(OR(G6&lt;&gt;"",H6&lt;&gt;""),I5+G6-H6,"")</f>
        <v/>
      </c>
    </row>
    <row r="7" spans="1:9" ht="20.100000000000001" customHeight="1">
      <c r="A7" s="621"/>
      <c r="B7" s="678"/>
      <c r="C7" s="623"/>
      <c r="D7" s="679"/>
      <c r="E7" s="624"/>
      <c r="F7" s="624"/>
      <c r="G7" s="626"/>
      <c r="H7" s="626"/>
      <c r="I7" s="790" t="str">
        <f t="shared" si="0"/>
        <v/>
      </c>
    </row>
    <row r="8" spans="1:9" ht="20.100000000000001" customHeight="1">
      <c r="A8" s="621"/>
      <c r="B8" s="678"/>
      <c r="C8" s="623"/>
      <c r="D8" s="679"/>
      <c r="E8" s="624"/>
      <c r="F8" s="624"/>
      <c r="G8" s="626"/>
      <c r="H8" s="626"/>
      <c r="I8" s="790" t="str">
        <f t="shared" si="0"/>
        <v/>
      </c>
    </row>
    <row r="9" spans="1:9" ht="20.100000000000001" customHeight="1">
      <c r="A9" s="621"/>
      <c r="B9" s="678"/>
      <c r="C9" s="623"/>
      <c r="D9" s="679"/>
      <c r="E9" s="624"/>
      <c r="F9" s="624"/>
      <c r="G9" s="626"/>
      <c r="H9" s="626"/>
      <c r="I9" s="790" t="str">
        <f t="shared" si="0"/>
        <v/>
      </c>
    </row>
    <row r="10" spans="1:9" ht="20.100000000000001" customHeight="1">
      <c r="A10" s="621"/>
      <c r="B10" s="678"/>
      <c r="C10" s="623"/>
      <c r="D10" s="679"/>
      <c r="E10" s="624"/>
      <c r="F10" s="624"/>
      <c r="G10" s="626"/>
      <c r="H10" s="626"/>
      <c r="I10" s="790" t="str">
        <f t="shared" si="0"/>
        <v/>
      </c>
    </row>
    <row r="11" spans="1:9" ht="20.100000000000001" customHeight="1">
      <c r="A11" s="621"/>
      <c r="B11" s="678"/>
      <c r="C11" s="623"/>
      <c r="D11" s="679"/>
      <c r="E11" s="624"/>
      <c r="F11" s="624"/>
      <c r="G11" s="626"/>
      <c r="H11" s="626"/>
      <c r="I11" s="790" t="str">
        <f t="shared" si="0"/>
        <v/>
      </c>
    </row>
    <row r="12" spans="1:9" ht="20.100000000000001" customHeight="1">
      <c r="A12" s="621"/>
      <c r="B12" s="678"/>
      <c r="C12" s="623"/>
      <c r="D12" s="679"/>
      <c r="E12" s="624"/>
      <c r="F12" s="624"/>
      <c r="G12" s="626"/>
      <c r="H12" s="626"/>
      <c r="I12" s="790" t="str">
        <f t="shared" si="0"/>
        <v/>
      </c>
    </row>
    <row r="13" spans="1:9" ht="20.100000000000001" customHeight="1">
      <c r="A13" s="621"/>
      <c r="B13" s="678"/>
      <c r="C13" s="623"/>
      <c r="D13" s="679"/>
      <c r="E13" s="624"/>
      <c r="F13" s="624"/>
      <c r="G13" s="626"/>
      <c r="H13" s="626"/>
      <c r="I13" s="790" t="str">
        <f t="shared" si="0"/>
        <v/>
      </c>
    </row>
    <row r="14" spans="1:9" ht="20.100000000000001" customHeight="1">
      <c r="A14" s="621"/>
      <c r="B14" s="678"/>
      <c r="C14" s="623"/>
      <c r="D14" s="679"/>
      <c r="E14" s="624"/>
      <c r="F14" s="624"/>
      <c r="G14" s="626"/>
      <c r="H14" s="626"/>
      <c r="I14" s="790" t="str">
        <f t="shared" si="0"/>
        <v/>
      </c>
    </row>
    <row r="15" spans="1:9" ht="20.100000000000001" customHeight="1">
      <c r="A15" s="621"/>
      <c r="B15" s="678"/>
      <c r="C15" s="623"/>
      <c r="D15" s="679"/>
      <c r="E15" s="624"/>
      <c r="F15" s="624"/>
      <c r="G15" s="626"/>
      <c r="H15" s="626"/>
      <c r="I15" s="790" t="str">
        <f t="shared" si="0"/>
        <v/>
      </c>
    </row>
    <row r="16" spans="1:9" ht="20.100000000000001" customHeight="1">
      <c r="A16" s="621"/>
      <c r="B16" s="678"/>
      <c r="C16" s="623"/>
      <c r="D16" s="679"/>
      <c r="E16" s="624"/>
      <c r="F16" s="624"/>
      <c r="G16" s="626"/>
      <c r="H16" s="626"/>
      <c r="I16" s="790" t="str">
        <f t="shared" ref="I16:I39" si="1">IF(OR(G16&lt;&gt;"",H16&lt;&gt;""),I15+G16-H16,"")</f>
        <v/>
      </c>
    </row>
    <row r="17" spans="1:9" ht="20.100000000000001" customHeight="1">
      <c r="A17" s="621"/>
      <c r="B17" s="678"/>
      <c r="C17" s="623"/>
      <c r="D17" s="679"/>
      <c r="E17" s="624"/>
      <c r="F17" s="624"/>
      <c r="G17" s="626"/>
      <c r="H17" s="626"/>
      <c r="I17" s="790" t="str">
        <f t="shared" si="1"/>
        <v/>
      </c>
    </row>
    <row r="18" spans="1:9" ht="20.100000000000001" customHeight="1">
      <c r="A18" s="621"/>
      <c r="B18" s="678"/>
      <c r="C18" s="623"/>
      <c r="D18" s="679"/>
      <c r="E18" s="624"/>
      <c r="F18" s="624"/>
      <c r="G18" s="626"/>
      <c r="H18" s="626"/>
      <c r="I18" s="790" t="str">
        <f t="shared" si="1"/>
        <v/>
      </c>
    </row>
    <row r="19" spans="1:9" ht="20.100000000000001" customHeight="1">
      <c r="A19" s="621"/>
      <c r="B19" s="678"/>
      <c r="C19" s="623"/>
      <c r="D19" s="679"/>
      <c r="E19" s="624"/>
      <c r="F19" s="624"/>
      <c r="G19" s="626"/>
      <c r="H19" s="626"/>
      <c r="I19" s="790" t="str">
        <f t="shared" si="1"/>
        <v/>
      </c>
    </row>
    <row r="20" spans="1:9" ht="20.100000000000001" customHeight="1">
      <c r="A20" s="621"/>
      <c r="B20" s="678"/>
      <c r="C20" s="623"/>
      <c r="D20" s="679"/>
      <c r="E20" s="624"/>
      <c r="F20" s="624"/>
      <c r="G20" s="626"/>
      <c r="H20" s="626"/>
      <c r="I20" s="790" t="str">
        <f t="shared" si="1"/>
        <v/>
      </c>
    </row>
    <row r="21" spans="1:9" ht="20.100000000000001" customHeight="1">
      <c r="A21" s="621"/>
      <c r="B21" s="678"/>
      <c r="C21" s="623"/>
      <c r="D21" s="679"/>
      <c r="E21" s="624"/>
      <c r="F21" s="624"/>
      <c r="G21" s="626"/>
      <c r="H21" s="626"/>
      <c r="I21" s="790" t="str">
        <f t="shared" si="1"/>
        <v/>
      </c>
    </row>
    <row r="22" spans="1:9" ht="20.100000000000001" customHeight="1">
      <c r="A22" s="621"/>
      <c r="B22" s="678"/>
      <c r="C22" s="623"/>
      <c r="D22" s="679"/>
      <c r="E22" s="624"/>
      <c r="F22" s="624"/>
      <c r="G22" s="626"/>
      <c r="H22" s="626"/>
      <c r="I22" s="790" t="str">
        <f t="shared" si="1"/>
        <v/>
      </c>
    </row>
    <row r="23" spans="1:9" ht="20.100000000000001" customHeight="1">
      <c r="A23" s="621"/>
      <c r="B23" s="678"/>
      <c r="C23" s="623"/>
      <c r="D23" s="679"/>
      <c r="E23" s="624"/>
      <c r="F23" s="624"/>
      <c r="G23" s="626"/>
      <c r="H23" s="626"/>
      <c r="I23" s="790" t="str">
        <f t="shared" si="1"/>
        <v/>
      </c>
    </row>
    <row r="24" spans="1:9" ht="20.100000000000001" customHeight="1">
      <c r="A24" s="621"/>
      <c r="B24" s="678"/>
      <c r="C24" s="623"/>
      <c r="D24" s="679"/>
      <c r="E24" s="624"/>
      <c r="F24" s="624"/>
      <c r="G24" s="626"/>
      <c r="H24" s="626"/>
      <c r="I24" s="790" t="str">
        <f t="shared" si="1"/>
        <v/>
      </c>
    </row>
    <row r="25" spans="1:9" ht="20.100000000000001" customHeight="1">
      <c r="A25" s="621"/>
      <c r="B25" s="678"/>
      <c r="C25" s="623"/>
      <c r="D25" s="679"/>
      <c r="E25" s="624"/>
      <c r="F25" s="624"/>
      <c r="G25" s="626"/>
      <c r="H25" s="626"/>
      <c r="I25" s="790" t="str">
        <f t="shared" si="1"/>
        <v/>
      </c>
    </row>
    <row r="26" spans="1:9" ht="20.100000000000001" customHeight="1">
      <c r="A26" s="621"/>
      <c r="B26" s="678"/>
      <c r="C26" s="623"/>
      <c r="D26" s="679"/>
      <c r="E26" s="624"/>
      <c r="F26" s="624"/>
      <c r="G26" s="626"/>
      <c r="H26" s="626"/>
      <c r="I26" s="790" t="str">
        <f t="shared" si="1"/>
        <v/>
      </c>
    </row>
    <row r="27" spans="1:9" ht="20.100000000000001" customHeight="1">
      <c r="A27" s="621"/>
      <c r="B27" s="678"/>
      <c r="C27" s="623"/>
      <c r="D27" s="679"/>
      <c r="E27" s="624"/>
      <c r="F27" s="624"/>
      <c r="G27" s="626"/>
      <c r="H27" s="626"/>
      <c r="I27" s="790" t="str">
        <f t="shared" si="1"/>
        <v/>
      </c>
    </row>
    <row r="28" spans="1:9" ht="20.100000000000001" customHeight="1">
      <c r="A28" s="621"/>
      <c r="B28" s="678"/>
      <c r="C28" s="623"/>
      <c r="D28" s="679"/>
      <c r="E28" s="624"/>
      <c r="F28" s="624"/>
      <c r="G28" s="626"/>
      <c r="H28" s="626"/>
      <c r="I28" s="790" t="str">
        <f t="shared" si="1"/>
        <v/>
      </c>
    </row>
    <row r="29" spans="1:9" ht="20.100000000000001" customHeight="1">
      <c r="A29" s="621"/>
      <c r="B29" s="678"/>
      <c r="C29" s="623"/>
      <c r="D29" s="679"/>
      <c r="E29" s="624"/>
      <c r="F29" s="624"/>
      <c r="G29" s="626"/>
      <c r="H29" s="626"/>
      <c r="I29" s="790" t="str">
        <f t="shared" si="1"/>
        <v/>
      </c>
    </row>
    <row r="30" spans="1:9" ht="20.100000000000001" customHeight="1">
      <c r="A30" s="621"/>
      <c r="B30" s="678"/>
      <c r="C30" s="623"/>
      <c r="D30" s="679"/>
      <c r="E30" s="624"/>
      <c r="F30" s="624"/>
      <c r="G30" s="626"/>
      <c r="H30" s="626"/>
      <c r="I30" s="790" t="str">
        <f t="shared" si="1"/>
        <v/>
      </c>
    </row>
    <row r="31" spans="1:9" ht="20.100000000000001" customHeight="1">
      <c r="A31" s="621"/>
      <c r="B31" s="678"/>
      <c r="C31" s="623"/>
      <c r="D31" s="679"/>
      <c r="E31" s="624"/>
      <c r="F31" s="624"/>
      <c r="G31" s="626"/>
      <c r="H31" s="626"/>
      <c r="I31" s="790" t="str">
        <f t="shared" si="1"/>
        <v/>
      </c>
    </row>
    <row r="32" spans="1:9" ht="20.100000000000001" customHeight="1">
      <c r="A32" s="621"/>
      <c r="B32" s="678"/>
      <c r="C32" s="623"/>
      <c r="D32" s="679"/>
      <c r="E32" s="624"/>
      <c r="F32" s="624"/>
      <c r="G32" s="626"/>
      <c r="H32" s="626"/>
      <c r="I32" s="790" t="str">
        <f t="shared" si="1"/>
        <v/>
      </c>
    </row>
    <row r="33" spans="1:9" ht="20.100000000000001" customHeight="1">
      <c r="A33" s="621"/>
      <c r="B33" s="678"/>
      <c r="C33" s="623"/>
      <c r="D33" s="679"/>
      <c r="E33" s="624"/>
      <c r="F33" s="624"/>
      <c r="G33" s="626"/>
      <c r="H33" s="626"/>
      <c r="I33" s="790" t="str">
        <f t="shared" si="1"/>
        <v/>
      </c>
    </row>
    <row r="34" spans="1:9" ht="20.100000000000001" customHeight="1">
      <c r="A34" s="621"/>
      <c r="B34" s="678"/>
      <c r="C34" s="623"/>
      <c r="D34" s="679"/>
      <c r="E34" s="624"/>
      <c r="F34" s="624"/>
      <c r="G34" s="626"/>
      <c r="H34" s="626"/>
      <c r="I34" s="790" t="str">
        <f t="shared" si="1"/>
        <v/>
      </c>
    </row>
    <row r="35" spans="1:9" ht="20.100000000000001" customHeight="1">
      <c r="A35" s="621"/>
      <c r="B35" s="678"/>
      <c r="C35" s="623"/>
      <c r="D35" s="679"/>
      <c r="E35" s="624"/>
      <c r="F35" s="624"/>
      <c r="G35" s="626"/>
      <c r="H35" s="626"/>
      <c r="I35" s="790" t="str">
        <f t="shared" si="1"/>
        <v/>
      </c>
    </row>
    <row r="36" spans="1:9" ht="20.100000000000001" customHeight="1">
      <c r="A36" s="621"/>
      <c r="B36" s="678"/>
      <c r="C36" s="623"/>
      <c r="D36" s="679"/>
      <c r="E36" s="624"/>
      <c r="F36" s="624"/>
      <c r="G36" s="626"/>
      <c r="H36" s="626"/>
      <c r="I36" s="790" t="str">
        <f t="shared" si="1"/>
        <v/>
      </c>
    </row>
    <row r="37" spans="1:9" ht="20.100000000000001" customHeight="1">
      <c r="A37" s="621"/>
      <c r="B37" s="678"/>
      <c r="C37" s="623"/>
      <c r="D37" s="679"/>
      <c r="E37" s="624"/>
      <c r="F37" s="624"/>
      <c r="G37" s="626"/>
      <c r="H37" s="626"/>
      <c r="I37" s="790" t="str">
        <f t="shared" si="1"/>
        <v/>
      </c>
    </row>
    <row r="38" spans="1:9" ht="20.100000000000001" customHeight="1">
      <c r="A38" s="621"/>
      <c r="B38" s="678"/>
      <c r="C38" s="623"/>
      <c r="D38" s="679"/>
      <c r="E38" s="624"/>
      <c r="F38" s="624"/>
      <c r="G38" s="626"/>
      <c r="H38" s="626"/>
      <c r="I38" s="790" t="str">
        <f t="shared" si="1"/>
        <v/>
      </c>
    </row>
    <row r="39" spans="1:9" ht="20.100000000000001" customHeight="1">
      <c r="A39" s="621"/>
      <c r="B39" s="678"/>
      <c r="C39" s="623"/>
      <c r="D39" s="679"/>
      <c r="E39" s="624"/>
      <c r="F39" s="624"/>
      <c r="G39" s="626"/>
      <c r="H39" s="626"/>
      <c r="I39" s="790" t="str">
        <f t="shared" si="1"/>
        <v/>
      </c>
    </row>
    <row r="40" spans="1:9" ht="20.100000000000001" customHeight="1">
      <c r="A40" s="621"/>
      <c r="B40" s="678"/>
      <c r="C40" s="623"/>
      <c r="D40" s="679"/>
      <c r="E40" s="624"/>
      <c r="F40" s="624"/>
      <c r="G40" s="626"/>
      <c r="H40" s="626"/>
      <c r="I40" s="790" t="str">
        <f t="shared" ref="I40:I74" si="2">IF(OR(G40&lt;&gt;"",H40&lt;&gt;""),I39+G40-H40,"")</f>
        <v/>
      </c>
    </row>
    <row r="41" spans="1:9" ht="20.100000000000001" customHeight="1">
      <c r="A41" s="621"/>
      <c r="B41" s="678"/>
      <c r="C41" s="623"/>
      <c r="D41" s="679"/>
      <c r="E41" s="624"/>
      <c r="F41" s="624"/>
      <c r="G41" s="626"/>
      <c r="H41" s="626"/>
      <c r="I41" s="790" t="str">
        <f t="shared" si="2"/>
        <v/>
      </c>
    </row>
    <row r="42" spans="1:9" ht="20.100000000000001" customHeight="1">
      <c r="A42" s="621"/>
      <c r="B42" s="678"/>
      <c r="C42" s="623"/>
      <c r="D42" s="679"/>
      <c r="E42" s="624"/>
      <c r="F42" s="624"/>
      <c r="G42" s="626"/>
      <c r="H42" s="626"/>
      <c r="I42" s="790" t="str">
        <f t="shared" si="2"/>
        <v/>
      </c>
    </row>
    <row r="43" spans="1:9" ht="20.100000000000001" customHeight="1">
      <c r="A43" s="621"/>
      <c r="B43" s="678"/>
      <c r="C43" s="623"/>
      <c r="D43" s="679"/>
      <c r="E43" s="624"/>
      <c r="F43" s="624"/>
      <c r="G43" s="626"/>
      <c r="H43" s="626"/>
      <c r="I43" s="790" t="str">
        <f t="shared" si="2"/>
        <v/>
      </c>
    </row>
    <row r="44" spans="1:9" ht="20.100000000000001" customHeight="1">
      <c r="A44" s="621"/>
      <c r="B44" s="678"/>
      <c r="C44" s="623"/>
      <c r="D44" s="679"/>
      <c r="E44" s="624"/>
      <c r="F44" s="624"/>
      <c r="G44" s="626"/>
      <c r="H44" s="626"/>
      <c r="I44" s="790" t="str">
        <f t="shared" si="2"/>
        <v/>
      </c>
    </row>
    <row r="45" spans="1:9" ht="20.100000000000001" customHeight="1">
      <c r="A45" s="621"/>
      <c r="B45" s="678"/>
      <c r="C45" s="623"/>
      <c r="D45" s="679"/>
      <c r="E45" s="624"/>
      <c r="F45" s="624"/>
      <c r="G45" s="626"/>
      <c r="H45" s="626"/>
      <c r="I45" s="790" t="str">
        <f t="shared" si="2"/>
        <v/>
      </c>
    </row>
    <row r="46" spans="1:9" ht="20.100000000000001" customHeight="1">
      <c r="A46" s="621"/>
      <c r="B46" s="678"/>
      <c r="C46" s="623"/>
      <c r="D46" s="679"/>
      <c r="E46" s="624"/>
      <c r="F46" s="624"/>
      <c r="G46" s="626"/>
      <c r="H46" s="626"/>
      <c r="I46" s="790" t="str">
        <f t="shared" si="2"/>
        <v/>
      </c>
    </row>
    <row r="47" spans="1:9" ht="20.100000000000001" customHeight="1">
      <c r="A47" s="621"/>
      <c r="B47" s="678"/>
      <c r="C47" s="623"/>
      <c r="D47" s="679"/>
      <c r="E47" s="624"/>
      <c r="F47" s="624"/>
      <c r="G47" s="626"/>
      <c r="H47" s="626"/>
      <c r="I47" s="790" t="str">
        <f t="shared" si="2"/>
        <v/>
      </c>
    </row>
    <row r="48" spans="1:9" ht="20.100000000000001" customHeight="1">
      <c r="A48" s="621"/>
      <c r="B48" s="678"/>
      <c r="C48" s="623"/>
      <c r="D48" s="679"/>
      <c r="E48" s="624"/>
      <c r="F48" s="624"/>
      <c r="G48" s="626"/>
      <c r="H48" s="626"/>
      <c r="I48" s="790" t="str">
        <f t="shared" si="2"/>
        <v/>
      </c>
    </row>
    <row r="49" spans="1:9" ht="20.100000000000001" customHeight="1">
      <c r="A49" s="621"/>
      <c r="B49" s="678"/>
      <c r="C49" s="623"/>
      <c r="D49" s="679"/>
      <c r="E49" s="624"/>
      <c r="F49" s="624"/>
      <c r="G49" s="626"/>
      <c r="H49" s="626"/>
      <c r="I49" s="790" t="str">
        <f t="shared" si="2"/>
        <v/>
      </c>
    </row>
    <row r="50" spans="1:9" ht="20.100000000000001" customHeight="1">
      <c r="A50" s="621"/>
      <c r="B50" s="678"/>
      <c r="C50" s="623"/>
      <c r="D50" s="679"/>
      <c r="E50" s="624"/>
      <c r="F50" s="624"/>
      <c r="G50" s="626"/>
      <c r="H50" s="626"/>
      <c r="I50" s="790" t="str">
        <f t="shared" si="2"/>
        <v/>
      </c>
    </row>
    <row r="51" spans="1:9" ht="20.100000000000001" customHeight="1">
      <c r="A51" s="621"/>
      <c r="B51" s="678"/>
      <c r="C51" s="623"/>
      <c r="D51" s="679"/>
      <c r="E51" s="624"/>
      <c r="F51" s="624"/>
      <c r="G51" s="626"/>
      <c r="H51" s="626"/>
      <c r="I51" s="790" t="str">
        <f t="shared" si="2"/>
        <v/>
      </c>
    </row>
    <row r="52" spans="1:9" ht="20.100000000000001" customHeight="1">
      <c r="A52" s="621"/>
      <c r="B52" s="678"/>
      <c r="C52" s="623"/>
      <c r="D52" s="679"/>
      <c r="E52" s="624"/>
      <c r="F52" s="624"/>
      <c r="G52" s="626"/>
      <c r="H52" s="626"/>
      <c r="I52" s="790" t="str">
        <f t="shared" si="2"/>
        <v/>
      </c>
    </row>
    <row r="53" spans="1:9" ht="20.100000000000001" customHeight="1">
      <c r="A53" s="621"/>
      <c r="B53" s="678"/>
      <c r="C53" s="623"/>
      <c r="D53" s="679"/>
      <c r="E53" s="624"/>
      <c r="F53" s="624"/>
      <c r="G53" s="626"/>
      <c r="H53" s="626"/>
      <c r="I53" s="790" t="str">
        <f t="shared" si="2"/>
        <v/>
      </c>
    </row>
    <row r="54" spans="1:9" ht="20.100000000000001" customHeight="1">
      <c r="A54" s="621"/>
      <c r="B54" s="678"/>
      <c r="C54" s="623"/>
      <c r="D54" s="679"/>
      <c r="E54" s="624"/>
      <c r="F54" s="624"/>
      <c r="G54" s="626"/>
      <c r="H54" s="626"/>
      <c r="I54" s="790" t="str">
        <f t="shared" si="2"/>
        <v/>
      </c>
    </row>
    <row r="55" spans="1:9" ht="20.100000000000001" customHeight="1">
      <c r="A55" s="621"/>
      <c r="B55" s="678"/>
      <c r="C55" s="623"/>
      <c r="D55" s="679"/>
      <c r="E55" s="624"/>
      <c r="F55" s="624"/>
      <c r="G55" s="626"/>
      <c r="H55" s="626"/>
      <c r="I55" s="790" t="str">
        <f t="shared" si="2"/>
        <v/>
      </c>
    </row>
    <row r="56" spans="1:9" ht="20.100000000000001" customHeight="1">
      <c r="A56" s="621"/>
      <c r="B56" s="678"/>
      <c r="C56" s="623"/>
      <c r="D56" s="679"/>
      <c r="E56" s="624"/>
      <c r="F56" s="624"/>
      <c r="G56" s="626"/>
      <c r="H56" s="626"/>
      <c r="I56" s="790" t="str">
        <f t="shared" si="2"/>
        <v/>
      </c>
    </row>
    <row r="57" spans="1:9" ht="20.100000000000001" customHeight="1">
      <c r="A57" s="621"/>
      <c r="B57" s="678"/>
      <c r="C57" s="623"/>
      <c r="D57" s="679"/>
      <c r="E57" s="624"/>
      <c r="F57" s="624"/>
      <c r="G57" s="626"/>
      <c r="H57" s="626"/>
      <c r="I57" s="790" t="str">
        <f t="shared" si="2"/>
        <v/>
      </c>
    </row>
    <row r="58" spans="1:9" ht="20.100000000000001" customHeight="1">
      <c r="A58" s="621"/>
      <c r="B58" s="678"/>
      <c r="C58" s="623"/>
      <c r="D58" s="679"/>
      <c r="E58" s="624"/>
      <c r="F58" s="624"/>
      <c r="G58" s="626"/>
      <c r="H58" s="626"/>
      <c r="I58" s="790" t="str">
        <f t="shared" si="2"/>
        <v/>
      </c>
    </row>
    <row r="59" spans="1:9" ht="20.100000000000001" customHeight="1">
      <c r="A59" s="621"/>
      <c r="B59" s="678"/>
      <c r="C59" s="623"/>
      <c r="D59" s="679"/>
      <c r="E59" s="624"/>
      <c r="F59" s="624"/>
      <c r="G59" s="626"/>
      <c r="H59" s="626"/>
      <c r="I59" s="790" t="str">
        <f t="shared" si="2"/>
        <v/>
      </c>
    </row>
    <row r="60" spans="1:9" ht="20.100000000000001" customHeight="1">
      <c r="A60" s="621"/>
      <c r="B60" s="678"/>
      <c r="C60" s="623"/>
      <c r="D60" s="679"/>
      <c r="E60" s="624"/>
      <c r="F60" s="624"/>
      <c r="G60" s="626"/>
      <c r="H60" s="626"/>
      <c r="I60" s="790" t="str">
        <f t="shared" si="2"/>
        <v/>
      </c>
    </row>
    <row r="61" spans="1:9" ht="20.100000000000001" customHeight="1">
      <c r="A61" s="621"/>
      <c r="B61" s="678"/>
      <c r="C61" s="623"/>
      <c r="D61" s="679"/>
      <c r="E61" s="624"/>
      <c r="F61" s="624"/>
      <c r="G61" s="626"/>
      <c r="H61" s="626"/>
      <c r="I61" s="790" t="str">
        <f t="shared" si="2"/>
        <v/>
      </c>
    </row>
    <row r="62" spans="1:9" ht="20.100000000000001" customHeight="1">
      <c r="A62" s="621"/>
      <c r="B62" s="678"/>
      <c r="C62" s="623"/>
      <c r="D62" s="679"/>
      <c r="E62" s="624"/>
      <c r="F62" s="624"/>
      <c r="G62" s="626"/>
      <c r="H62" s="626"/>
      <c r="I62" s="790" t="str">
        <f t="shared" si="2"/>
        <v/>
      </c>
    </row>
    <row r="63" spans="1:9" ht="20.100000000000001" customHeight="1">
      <c r="A63" s="621"/>
      <c r="B63" s="678"/>
      <c r="C63" s="623"/>
      <c r="D63" s="679"/>
      <c r="E63" s="624"/>
      <c r="F63" s="624"/>
      <c r="G63" s="626"/>
      <c r="H63" s="626"/>
      <c r="I63" s="790" t="str">
        <f t="shared" si="2"/>
        <v/>
      </c>
    </row>
    <row r="64" spans="1:9" ht="20.100000000000001" customHeight="1">
      <c r="A64" s="621"/>
      <c r="B64" s="678"/>
      <c r="C64" s="623"/>
      <c r="D64" s="679"/>
      <c r="E64" s="624"/>
      <c r="F64" s="624"/>
      <c r="G64" s="626"/>
      <c r="H64" s="626"/>
      <c r="I64" s="790" t="str">
        <f t="shared" si="2"/>
        <v/>
      </c>
    </row>
    <row r="65" spans="1:9" ht="20.100000000000001" customHeight="1">
      <c r="A65" s="621"/>
      <c r="B65" s="678"/>
      <c r="C65" s="623"/>
      <c r="D65" s="679"/>
      <c r="E65" s="624"/>
      <c r="F65" s="624"/>
      <c r="G65" s="626"/>
      <c r="H65" s="626"/>
      <c r="I65" s="790" t="str">
        <f t="shared" si="2"/>
        <v/>
      </c>
    </row>
    <row r="66" spans="1:9" ht="20.100000000000001" customHeight="1">
      <c r="A66" s="621"/>
      <c r="B66" s="678"/>
      <c r="C66" s="623"/>
      <c r="D66" s="679"/>
      <c r="E66" s="624"/>
      <c r="F66" s="624"/>
      <c r="G66" s="626"/>
      <c r="H66" s="626"/>
      <c r="I66" s="790" t="str">
        <f t="shared" si="2"/>
        <v/>
      </c>
    </row>
    <row r="67" spans="1:9" ht="20.100000000000001" customHeight="1">
      <c r="A67" s="621"/>
      <c r="B67" s="678"/>
      <c r="C67" s="623"/>
      <c r="D67" s="679"/>
      <c r="E67" s="624"/>
      <c r="F67" s="624"/>
      <c r="G67" s="626"/>
      <c r="H67" s="626"/>
      <c r="I67" s="790" t="str">
        <f t="shared" si="2"/>
        <v/>
      </c>
    </row>
    <row r="68" spans="1:9" ht="20.100000000000001" customHeight="1">
      <c r="A68" s="621"/>
      <c r="B68" s="678"/>
      <c r="C68" s="623"/>
      <c r="D68" s="679"/>
      <c r="E68" s="624"/>
      <c r="F68" s="624"/>
      <c r="G68" s="626"/>
      <c r="H68" s="626"/>
      <c r="I68" s="790" t="str">
        <f t="shared" si="2"/>
        <v/>
      </c>
    </row>
    <row r="69" spans="1:9" ht="20.100000000000001" customHeight="1">
      <c r="A69" s="621"/>
      <c r="B69" s="678"/>
      <c r="C69" s="623"/>
      <c r="D69" s="679"/>
      <c r="E69" s="624"/>
      <c r="F69" s="624"/>
      <c r="G69" s="626"/>
      <c r="H69" s="626"/>
      <c r="I69" s="790" t="str">
        <f t="shared" si="2"/>
        <v/>
      </c>
    </row>
    <row r="70" spans="1:9" ht="20.100000000000001" customHeight="1">
      <c r="A70" s="621"/>
      <c r="B70" s="678"/>
      <c r="C70" s="623"/>
      <c r="D70" s="679"/>
      <c r="E70" s="624"/>
      <c r="F70" s="624"/>
      <c r="G70" s="626"/>
      <c r="H70" s="626"/>
      <c r="I70" s="790" t="str">
        <f t="shared" si="2"/>
        <v/>
      </c>
    </row>
    <row r="71" spans="1:9" ht="20.100000000000001" customHeight="1">
      <c r="A71" s="621"/>
      <c r="B71" s="678"/>
      <c r="C71" s="623"/>
      <c r="D71" s="679"/>
      <c r="E71" s="624"/>
      <c r="F71" s="624"/>
      <c r="G71" s="626"/>
      <c r="H71" s="626"/>
      <c r="I71" s="790" t="str">
        <f t="shared" si="2"/>
        <v/>
      </c>
    </row>
    <row r="72" spans="1:9" ht="20.100000000000001" customHeight="1">
      <c r="A72" s="621"/>
      <c r="B72" s="678"/>
      <c r="C72" s="623"/>
      <c r="D72" s="679"/>
      <c r="E72" s="624"/>
      <c r="F72" s="624"/>
      <c r="G72" s="626"/>
      <c r="H72" s="626"/>
      <c r="I72" s="790" t="str">
        <f t="shared" si="2"/>
        <v/>
      </c>
    </row>
    <row r="73" spans="1:9" ht="20.100000000000001" customHeight="1">
      <c r="A73" s="621"/>
      <c r="B73" s="678"/>
      <c r="C73" s="623"/>
      <c r="D73" s="679"/>
      <c r="E73" s="624"/>
      <c r="F73" s="624"/>
      <c r="G73" s="626"/>
      <c r="H73" s="626"/>
      <c r="I73" s="790" t="str">
        <f t="shared" si="2"/>
        <v/>
      </c>
    </row>
    <row r="74" spans="1:9" ht="20.100000000000001" customHeight="1">
      <c r="A74" s="621"/>
      <c r="B74" s="678"/>
      <c r="C74" s="623"/>
      <c r="D74" s="679"/>
      <c r="E74" s="624"/>
      <c r="F74" s="624"/>
      <c r="G74" s="626"/>
      <c r="H74" s="626"/>
      <c r="I74" s="790" t="str">
        <f t="shared" si="2"/>
        <v/>
      </c>
    </row>
    <row r="75" spans="1:9" ht="20.100000000000001" customHeight="1">
      <c r="A75" s="621"/>
      <c r="B75" s="678"/>
      <c r="C75" s="623"/>
      <c r="D75" s="679"/>
      <c r="E75" s="624"/>
      <c r="F75" s="624"/>
      <c r="G75" s="626"/>
      <c r="H75" s="626"/>
      <c r="I75" s="790" t="str">
        <f t="shared" ref="I75:I98" si="3">IF(OR(G75&lt;&gt;"",H75&lt;&gt;""),I74+G75-H75,"")</f>
        <v/>
      </c>
    </row>
    <row r="76" spans="1:9" ht="20.100000000000001" customHeight="1">
      <c r="A76" s="621"/>
      <c r="B76" s="678"/>
      <c r="C76" s="623"/>
      <c r="D76" s="679"/>
      <c r="E76" s="624"/>
      <c r="F76" s="624"/>
      <c r="G76" s="626"/>
      <c r="H76" s="626"/>
      <c r="I76" s="790" t="str">
        <f t="shared" si="3"/>
        <v/>
      </c>
    </row>
    <row r="77" spans="1:9" ht="20.100000000000001" customHeight="1">
      <c r="A77" s="621"/>
      <c r="B77" s="678"/>
      <c r="C77" s="623"/>
      <c r="D77" s="679"/>
      <c r="E77" s="624"/>
      <c r="F77" s="624"/>
      <c r="G77" s="626"/>
      <c r="H77" s="626"/>
      <c r="I77" s="790" t="str">
        <f t="shared" si="3"/>
        <v/>
      </c>
    </row>
    <row r="78" spans="1:9" ht="20.100000000000001" customHeight="1">
      <c r="A78" s="621"/>
      <c r="B78" s="678"/>
      <c r="C78" s="623"/>
      <c r="D78" s="679"/>
      <c r="E78" s="624"/>
      <c r="F78" s="624"/>
      <c r="G78" s="626"/>
      <c r="H78" s="626"/>
      <c r="I78" s="790" t="str">
        <f t="shared" si="3"/>
        <v/>
      </c>
    </row>
    <row r="79" spans="1:9" ht="20.100000000000001" customHeight="1">
      <c r="A79" s="621"/>
      <c r="B79" s="678"/>
      <c r="C79" s="623"/>
      <c r="D79" s="679"/>
      <c r="E79" s="624"/>
      <c r="F79" s="624"/>
      <c r="G79" s="626"/>
      <c r="H79" s="626"/>
      <c r="I79" s="790" t="str">
        <f t="shared" si="3"/>
        <v/>
      </c>
    </row>
    <row r="80" spans="1:9" ht="20.100000000000001" customHeight="1">
      <c r="A80" s="621"/>
      <c r="B80" s="678"/>
      <c r="C80" s="623"/>
      <c r="D80" s="679"/>
      <c r="E80" s="624"/>
      <c r="F80" s="624"/>
      <c r="G80" s="626"/>
      <c r="H80" s="626"/>
      <c r="I80" s="790" t="str">
        <f t="shared" si="3"/>
        <v/>
      </c>
    </row>
    <row r="81" spans="1:9" ht="20.100000000000001" customHeight="1">
      <c r="A81" s="621"/>
      <c r="B81" s="678"/>
      <c r="C81" s="623"/>
      <c r="D81" s="679"/>
      <c r="E81" s="624"/>
      <c r="F81" s="624"/>
      <c r="G81" s="626"/>
      <c r="H81" s="626"/>
      <c r="I81" s="790" t="str">
        <f t="shared" si="3"/>
        <v/>
      </c>
    </row>
    <row r="82" spans="1:9" ht="20.100000000000001" customHeight="1">
      <c r="A82" s="621"/>
      <c r="B82" s="678"/>
      <c r="C82" s="623"/>
      <c r="D82" s="679"/>
      <c r="E82" s="624"/>
      <c r="F82" s="624"/>
      <c r="G82" s="626"/>
      <c r="H82" s="626"/>
      <c r="I82" s="790" t="str">
        <f t="shared" si="3"/>
        <v/>
      </c>
    </row>
    <row r="83" spans="1:9" ht="20.100000000000001" customHeight="1">
      <c r="A83" s="621"/>
      <c r="B83" s="678"/>
      <c r="C83" s="623"/>
      <c r="D83" s="679"/>
      <c r="E83" s="624"/>
      <c r="F83" s="624"/>
      <c r="G83" s="626"/>
      <c r="H83" s="626"/>
      <c r="I83" s="790" t="str">
        <f t="shared" si="3"/>
        <v/>
      </c>
    </row>
    <row r="84" spans="1:9" ht="20.100000000000001" customHeight="1">
      <c r="A84" s="621"/>
      <c r="B84" s="678"/>
      <c r="C84" s="623"/>
      <c r="D84" s="679"/>
      <c r="E84" s="624"/>
      <c r="F84" s="624"/>
      <c r="G84" s="626"/>
      <c r="H84" s="626"/>
      <c r="I84" s="790" t="str">
        <f t="shared" si="3"/>
        <v/>
      </c>
    </row>
    <row r="85" spans="1:9" ht="20.100000000000001" customHeight="1">
      <c r="A85" s="621"/>
      <c r="B85" s="678"/>
      <c r="C85" s="623"/>
      <c r="D85" s="679"/>
      <c r="E85" s="624"/>
      <c r="F85" s="624"/>
      <c r="G85" s="626"/>
      <c r="H85" s="626"/>
      <c r="I85" s="790" t="str">
        <f t="shared" si="3"/>
        <v/>
      </c>
    </row>
    <row r="86" spans="1:9" ht="20.100000000000001" customHeight="1">
      <c r="A86" s="621"/>
      <c r="B86" s="678"/>
      <c r="C86" s="623"/>
      <c r="D86" s="679"/>
      <c r="E86" s="624"/>
      <c r="F86" s="624"/>
      <c r="G86" s="626"/>
      <c r="H86" s="626"/>
      <c r="I86" s="790" t="str">
        <f t="shared" si="3"/>
        <v/>
      </c>
    </row>
    <row r="87" spans="1:9" ht="20.100000000000001" customHeight="1">
      <c r="A87" s="621"/>
      <c r="B87" s="678"/>
      <c r="C87" s="623"/>
      <c r="D87" s="679"/>
      <c r="E87" s="624"/>
      <c r="F87" s="624"/>
      <c r="G87" s="626"/>
      <c r="H87" s="626"/>
      <c r="I87" s="790" t="str">
        <f t="shared" si="3"/>
        <v/>
      </c>
    </row>
    <row r="88" spans="1:9" ht="20.100000000000001" customHeight="1">
      <c r="A88" s="621"/>
      <c r="B88" s="678"/>
      <c r="C88" s="623"/>
      <c r="D88" s="679"/>
      <c r="E88" s="624"/>
      <c r="F88" s="624"/>
      <c r="G88" s="626"/>
      <c r="H88" s="626"/>
      <c r="I88" s="790" t="str">
        <f t="shared" si="3"/>
        <v/>
      </c>
    </row>
    <row r="89" spans="1:9" ht="20.100000000000001" customHeight="1">
      <c r="A89" s="621"/>
      <c r="B89" s="678"/>
      <c r="C89" s="623"/>
      <c r="D89" s="679"/>
      <c r="E89" s="624"/>
      <c r="F89" s="624"/>
      <c r="G89" s="626"/>
      <c r="H89" s="626"/>
      <c r="I89" s="790" t="str">
        <f t="shared" si="3"/>
        <v/>
      </c>
    </row>
    <row r="90" spans="1:9" ht="20.100000000000001" customHeight="1">
      <c r="A90" s="621"/>
      <c r="B90" s="678"/>
      <c r="C90" s="623"/>
      <c r="D90" s="679"/>
      <c r="E90" s="624"/>
      <c r="F90" s="624"/>
      <c r="G90" s="626"/>
      <c r="H90" s="626"/>
      <c r="I90" s="790" t="str">
        <f t="shared" si="3"/>
        <v/>
      </c>
    </row>
    <row r="91" spans="1:9" ht="20.100000000000001" customHeight="1">
      <c r="A91" s="621"/>
      <c r="B91" s="678"/>
      <c r="C91" s="623"/>
      <c r="D91" s="679"/>
      <c r="E91" s="624"/>
      <c r="F91" s="624"/>
      <c r="G91" s="626"/>
      <c r="H91" s="626"/>
      <c r="I91" s="790" t="str">
        <f t="shared" si="3"/>
        <v/>
      </c>
    </row>
    <row r="92" spans="1:9" ht="20.100000000000001" customHeight="1">
      <c r="A92" s="621"/>
      <c r="B92" s="678"/>
      <c r="C92" s="623"/>
      <c r="D92" s="679"/>
      <c r="E92" s="624"/>
      <c r="F92" s="624"/>
      <c r="G92" s="626"/>
      <c r="H92" s="626"/>
      <c r="I92" s="790" t="str">
        <f t="shared" si="3"/>
        <v/>
      </c>
    </row>
    <row r="93" spans="1:9" ht="20.100000000000001" customHeight="1">
      <c r="A93" s="621"/>
      <c r="B93" s="678"/>
      <c r="C93" s="623"/>
      <c r="D93" s="679"/>
      <c r="E93" s="624"/>
      <c r="F93" s="624"/>
      <c r="G93" s="626"/>
      <c r="H93" s="626"/>
      <c r="I93" s="790" t="str">
        <f t="shared" si="3"/>
        <v/>
      </c>
    </row>
    <row r="94" spans="1:9" ht="20.100000000000001" customHeight="1">
      <c r="A94" s="621"/>
      <c r="B94" s="678"/>
      <c r="C94" s="623"/>
      <c r="D94" s="679"/>
      <c r="E94" s="624"/>
      <c r="F94" s="624"/>
      <c r="G94" s="626"/>
      <c r="H94" s="626"/>
      <c r="I94" s="790" t="str">
        <f t="shared" si="3"/>
        <v/>
      </c>
    </row>
    <row r="95" spans="1:9" ht="20.100000000000001" customHeight="1">
      <c r="A95" s="621"/>
      <c r="B95" s="678"/>
      <c r="C95" s="623"/>
      <c r="D95" s="679"/>
      <c r="E95" s="624"/>
      <c r="F95" s="624"/>
      <c r="G95" s="626"/>
      <c r="H95" s="626"/>
      <c r="I95" s="790" t="str">
        <f t="shared" si="3"/>
        <v/>
      </c>
    </row>
    <row r="96" spans="1:9" ht="20.100000000000001" customHeight="1">
      <c r="A96" s="621"/>
      <c r="B96" s="678"/>
      <c r="C96" s="623"/>
      <c r="D96" s="679"/>
      <c r="E96" s="624"/>
      <c r="F96" s="624"/>
      <c r="G96" s="626"/>
      <c r="H96" s="626"/>
      <c r="I96" s="790" t="str">
        <f t="shared" si="3"/>
        <v/>
      </c>
    </row>
    <row r="97" spans="1:9" ht="20.100000000000001" customHeight="1">
      <c r="A97" s="621"/>
      <c r="B97" s="678"/>
      <c r="C97" s="623"/>
      <c r="D97" s="679"/>
      <c r="E97" s="624"/>
      <c r="F97" s="624"/>
      <c r="G97" s="626"/>
      <c r="H97" s="626"/>
      <c r="I97" s="790" t="str">
        <f t="shared" si="3"/>
        <v/>
      </c>
    </row>
    <row r="98" spans="1:9" ht="20.100000000000001" customHeight="1">
      <c r="A98" s="621"/>
      <c r="B98" s="678"/>
      <c r="C98" s="623"/>
      <c r="D98" s="679"/>
      <c r="E98" s="624"/>
      <c r="F98" s="624"/>
      <c r="G98" s="650"/>
      <c r="H98" s="650"/>
      <c r="I98" s="791" t="str">
        <f t="shared" si="3"/>
        <v/>
      </c>
    </row>
    <row r="99" spans="1:9" ht="20.100000000000001" customHeight="1">
      <c r="A99" s="621"/>
      <c r="B99" s="1145" t="s">
        <v>396</v>
      </c>
      <c r="C99" s="1145"/>
      <c r="D99" s="1145"/>
      <c r="E99" s="639"/>
      <c r="F99" s="639"/>
      <c r="G99" s="682">
        <f>SUM(G4:G98)</f>
        <v>0</v>
      </c>
      <c r="H99" s="682">
        <f>SUM(H4:H98)</f>
        <v>0</v>
      </c>
      <c r="I99" s="821">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91</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30</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IF(OR(G5&lt;&gt;"",H5&lt;&gt;""),I4+G5-H5,"")</f>
        <v/>
      </c>
    </row>
    <row r="6" spans="1:9" ht="20.100000000000001" customHeight="1">
      <c r="A6" s="621"/>
      <c r="B6" s="622"/>
      <c r="C6" s="623"/>
      <c r="D6" s="623"/>
      <c r="E6" s="624"/>
      <c r="F6" s="625"/>
      <c r="G6" s="626"/>
      <c r="H6" s="627"/>
      <c r="I6" s="634" t="str">
        <f t="shared" ref="I6:I39" si="0">IF(OR(G6&lt;&gt;"",H6&lt;&gt;""),I5+G6-H6,"")</f>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si="0"/>
        <v/>
      </c>
    </row>
    <row r="38" spans="1:9" ht="20.100000000000001" customHeight="1">
      <c r="A38" s="621"/>
      <c r="B38" s="622"/>
      <c r="C38" s="623"/>
      <c r="D38" s="623"/>
      <c r="E38" s="624"/>
      <c r="F38" s="625"/>
      <c r="G38" s="626"/>
      <c r="H38" s="627"/>
      <c r="I38" s="634" t="str">
        <f t="shared" si="0"/>
        <v/>
      </c>
    </row>
    <row r="39" spans="1:9" ht="20.100000000000001" customHeight="1">
      <c r="A39" s="621"/>
      <c r="B39" s="622"/>
      <c r="C39" s="623"/>
      <c r="D39" s="623"/>
      <c r="E39" s="624"/>
      <c r="F39" s="625"/>
      <c r="G39" s="626"/>
      <c r="H39" s="627"/>
      <c r="I39" s="634" t="str">
        <f t="shared" si="0"/>
        <v/>
      </c>
    </row>
    <row r="40" spans="1:9" ht="20.100000000000001" customHeight="1">
      <c r="A40" s="621"/>
      <c r="B40" s="622"/>
      <c r="C40" s="623"/>
      <c r="D40" s="623"/>
      <c r="E40" s="624"/>
      <c r="F40" s="625"/>
      <c r="G40" s="626"/>
      <c r="H40" s="627"/>
      <c r="I40" s="634" t="str">
        <f t="shared" ref="I40:I74" si="1">IF(OR(G40&lt;&gt;"",H40&lt;&gt;""),I39+G40-H40,"")</f>
        <v/>
      </c>
    </row>
    <row r="41" spans="1:9" ht="20.100000000000001" customHeight="1">
      <c r="A41" s="621"/>
      <c r="B41" s="622"/>
      <c r="C41" s="623"/>
      <c r="D41" s="623"/>
      <c r="E41" s="624"/>
      <c r="F41" s="625"/>
      <c r="G41" s="626"/>
      <c r="H41" s="627"/>
      <c r="I41" s="634" t="str">
        <f t="shared" si="1"/>
        <v/>
      </c>
    </row>
    <row r="42" spans="1:9" ht="20.100000000000001" customHeight="1">
      <c r="A42" s="621"/>
      <c r="B42" s="622"/>
      <c r="C42" s="623"/>
      <c r="D42" s="623"/>
      <c r="E42" s="624"/>
      <c r="F42" s="625"/>
      <c r="G42" s="626"/>
      <c r="H42" s="627"/>
      <c r="I42" s="634" t="str">
        <f t="shared" si="1"/>
        <v/>
      </c>
    </row>
    <row r="43" spans="1:9" ht="20.100000000000001" customHeight="1">
      <c r="A43" s="621"/>
      <c r="B43" s="622"/>
      <c r="C43" s="623"/>
      <c r="D43" s="623"/>
      <c r="E43" s="624"/>
      <c r="F43" s="625"/>
      <c r="G43" s="626"/>
      <c r="H43" s="627"/>
      <c r="I43" s="634" t="str">
        <f t="shared" si="1"/>
        <v/>
      </c>
    </row>
    <row r="44" spans="1:9" ht="20.100000000000001" customHeight="1">
      <c r="A44" s="621"/>
      <c r="B44" s="622"/>
      <c r="C44" s="623"/>
      <c r="D44" s="623"/>
      <c r="E44" s="624"/>
      <c r="F44" s="625"/>
      <c r="G44" s="626"/>
      <c r="H44" s="627"/>
      <c r="I44" s="634" t="str">
        <f t="shared" si="1"/>
        <v/>
      </c>
    </row>
    <row r="45" spans="1:9" ht="20.100000000000001" customHeight="1">
      <c r="A45" s="621"/>
      <c r="B45" s="622"/>
      <c r="C45" s="623"/>
      <c r="D45" s="623"/>
      <c r="E45" s="624"/>
      <c r="F45" s="625"/>
      <c r="G45" s="626"/>
      <c r="H45" s="627"/>
      <c r="I45" s="634" t="str">
        <f t="shared" si="1"/>
        <v/>
      </c>
    </row>
    <row r="46" spans="1:9" ht="20.100000000000001" customHeight="1">
      <c r="A46" s="621"/>
      <c r="B46" s="622"/>
      <c r="C46" s="623"/>
      <c r="D46" s="623"/>
      <c r="E46" s="624"/>
      <c r="F46" s="625"/>
      <c r="G46" s="626"/>
      <c r="H46" s="627"/>
      <c r="I46" s="634" t="str">
        <f t="shared" si="1"/>
        <v/>
      </c>
    </row>
    <row r="47" spans="1:9" ht="20.100000000000001" customHeight="1">
      <c r="A47" s="621"/>
      <c r="B47" s="622"/>
      <c r="C47" s="623"/>
      <c r="D47" s="623"/>
      <c r="E47" s="624"/>
      <c r="F47" s="625"/>
      <c r="G47" s="626"/>
      <c r="H47" s="627"/>
      <c r="I47" s="634" t="str">
        <f t="shared" si="1"/>
        <v/>
      </c>
    </row>
    <row r="48" spans="1:9" ht="20.100000000000001" customHeight="1">
      <c r="A48" s="621"/>
      <c r="B48" s="622"/>
      <c r="C48" s="623"/>
      <c r="D48" s="623"/>
      <c r="E48" s="624"/>
      <c r="F48" s="625"/>
      <c r="G48" s="626"/>
      <c r="H48" s="627"/>
      <c r="I48" s="634" t="str">
        <f t="shared" si="1"/>
        <v/>
      </c>
    </row>
    <row r="49" spans="1:9" ht="20.100000000000001" customHeight="1">
      <c r="A49" s="621"/>
      <c r="B49" s="622"/>
      <c r="C49" s="623"/>
      <c r="D49" s="623"/>
      <c r="E49" s="624"/>
      <c r="F49" s="625"/>
      <c r="G49" s="626"/>
      <c r="H49" s="627"/>
      <c r="I49" s="634" t="str">
        <f t="shared" si="1"/>
        <v/>
      </c>
    </row>
    <row r="50" spans="1:9" ht="20.100000000000001" customHeight="1">
      <c r="A50" s="621"/>
      <c r="B50" s="622"/>
      <c r="C50" s="623"/>
      <c r="D50" s="623"/>
      <c r="E50" s="624"/>
      <c r="F50" s="625"/>
      <c r="G50" s="626"/>
      <c r="H50" s="627"/>
      <c r="I50" s="634" t="str">
        <f t="shared" si="1"/>
        <v/>
      </c>
    </row>
    <row r="51" spans="1:9" ht="20.100000000000001" customHeight="1">
      <c r="A51" s="621"/>
      <c r="B51" s="622"/>
      <c r="C51" s="623"/>
      <c r="D51" s="623"/>
      <c r="E51" s="624"/>
      <c r="F51" s="625"/>
      <c r="G51" s="626"/>
      <c r="H51" s="627"/>
      <c r="I51" s="634" t="str">
        <f t="shared" si="1"/>
        <v/>
      </c>
    </row>
    <row r="52" spans="1:9" ht="20.100000000000001" customHeight="1">
      <c r="A52" s="621"/>
      <c r="B52" s="622"/>
      <c r="C52" s="623"/>
      <c r="D52" s="623"/>
      <c r="E52" s="624"/>
      <c r="F52" s="625"/>
      <c r="G52" s="626"/>
      <c r="H52" s="627"/>
      <c r="I52" s="634" t="str">
        <f t="shared" si="1"/>
        <v/>
      </c>
    </row>
    <row r="53" spans="1:9" ht="20.100000000000001" customHeight="1">
      <c r="A53" s="621"/>
      <c r="B53" s="622"/>
      <c r="C53" s="623"/>
      <c r="D53" s="623"/>
      <c r="E53" s="624"/>
      <c r="F53" s="625"/>
      <c r="G53" s="626"/>
      <c r="H53" s="627"/>
      <c r="I53" s="634" t="str">
        <f t="shared" si="1"/>
        <v/>
      </c>
    </row>
    <row r="54" spans="1:9" ht="20.100000000000001" customHeight="1">
      <c r="A54" s="621"/>
      <c r="B54" s="622"/>
      <c r="C54" s="623"/>
      <c r="D54" s="623"/>
      <c r="E54" s="624"/>
      <c r="F54" s="625"/>
      <c r="G54" s="626"/>
      <c r="H54" s="627"/>
      <c r="I54" s="634" t="str">
        <f t="shared" si="1"/>
        <v/>
      </c>
    </row>
    <row r="55" spans="1:9" ht="20.100000000000001" customHeight="1">
      <c r="A55" s="621"/>
      <c r="B55" s="622"/>
      <c r="C55" s="623"/>
      <c r="D55" s="623"/>
      <c r="E55" s="624"/>
      <c r="F55" s="625"/>
      <c r="G55" s="626"/>
      <c r="H55" s="627"/>
      <c r="I55" s="634" t="str">
        <f t="shared" si="1"/>
        <v/>
      </c>
    </row>
    <row r="56" spans="1:9" ht="20.100000000000001" customHeight="1">
      <c r="A56" s="621"/>
      <c r="B56" s="622"/>
      <c r="C56" s="623"/>
      <c r="D56" s="623"/>
      <c r="E56" s="624"/>
      <c r="F56" s="625"/>
      <c r="G56" s="626"/>
      <c r="H56" s="627"/>
      <c r="I56" s="634" t="str">
        <f t="shared" si="1"/>
        <v/>
      </c>
    </row>
    <row r="57" spans="1:9" ht="20.100000000000001" customHeight="1">
      <c r="A57" s="621"/>
      <c r="B57" s="622"/>
      <c r="C57" s="623"/>
      <c r="D57" s="623"/>
      <c r="E57" s="624"/>
      <c r="F57" s="625"/>
      <c r="G57" s="626"/>
      <c r="H57" s="627"/>
      <c r="I57" s="634" t="str">
        <f t="shared" si="1"/>
        <v/>
      </c>
    </row>
    <row r="58" spans="1:9" ht="20.100000000000001" customHeight="1">
      <c r="A58" s="621"/>
      <c r="B58" s="622"/>
      <c r="C58" s="623"/>
      <c r="D58" s="623"/>
      <c r="E58" s="624"/>
      <c r="F58" s="625"/>
      <c r="G58" s="626"/>
      <c r="H58" s="627"/>
      <c r="I58" s="634" t="str">
        <f t="shared" si="1"/>
        <v/>
      </c>
    </row>
    <row r="59" spans="1:9" ht="20.100000000000001" customHeight="1">
      <c r="A59" s="621"/>
      <c r="B59" s="622"/>
      <c r="C59" s="623"/>
      <c r="D59" s="623"/>
      <c r="E59" s="624"/>
      <c r="F59" s="625"/>
      <c r="G59" s="626"/>
      <c r="H59" s="627"/>
      <c r="I59" s="634" t="str">
        <f t="shared" si="1"/>
        <v/>
      </c>
    </row>
    <row r="60" spans="1:9" ht="20.100000000000001" customHeight="1">
      <c r="A60" s="621"/>
      <c r="B60" s="622"/>
      <c r="C60" s="623"/>
      <c r="D60" s="623"/>
      <c r="E60" s="624"/>
      <c r="F60" s="625"/>
      <c r="G60" s="626"/>
      <c r="H60" s="627"/>
      <c r="I60" s="634" t="str">
        <f t="shared" si="1"/>
        <v/>
      </c>
    </row>
    <row r="61" spans="1:9" ht="20.100000000000001" customHeight="1">
      <c r="A61" s="621"/>
      <c r="B61" s="622"/>
      <c r="C61" s="623"/>
      <c r="D61" s="623"/>
      <c r="E61" s="624"/>
      <c r="F61" s="625"/>
      <c r="G61" s="626"/>
      <c r="H61" s="627"/>
      <c r="I61" s="634" t="str">
        <f t="shared" si="1"/>
        <v/>
      </c>
    </row>
    <row r="62" spans="1:9" ht="20.100000000000001" customHeight="1">
      <c r="A62" s="621"/>
      <c r="B62" s="622"/>
      <c r="C62" s="623"/>
      <c r="D62" s="623"/>
      <c r="E62" s="624"/>
      <c r="F62" s="625"/>
      <c r="G62" s="626"/>
      <c r="H62" s="627"/>
      <c r="I62" s="634" t="str">
        <f t="shared" si="1"/>
        <v/>
      </c>
    </row>
    <row r="63" spans="1:9" ht="20.100000000000001" customHeight="1">
      <c r="A63" s="621"/>
      <c r="B63" s="622"/>
      <c r="C63" s="623"/>
      <c r="D63" s="623"/>
      <c r="E63" s="624"/>
      <c r="F63" s="625"/>
      <c r="G63" s="626"/>
      <c r="H63" s="627"/>
      <c r="I63" s="634" t="str">
        <f t="shared" si="1"/>
        <v/>
      </c>
    </row>
    <row r="64" spans="1:9" ht="20.100000000000001" customHeight="1">
      <c r="A64" s="621"/>
      <c r="B64" s="622"/>
      <c r="C64" s="623"/>
      <c r="D64" s="623"/>
      <c r="E64" s="624"/>
      <c r="F64" s="625"/>
      <c r="G64" s="626"/>
      <c r="H64" s="627"/>
      <c r="I64" s="634" t="str">
        <f t="shared" si="1"/>
        <v/>
      </c>
    </row>
    <row r="65" spans="1:9" ht="20.100000000000001" customHeight="1">
      <c r="A65" s="621"/>
      <c r="B65" s="622"/>
      <c r="C65" s="623"/>
      <c r="D65" s="623"/>
      <c r="E65" s="624"/>
      <c r="F65" s="625"/>
      <c r="G65" s="626"/>
      <c r="H65" s="627"/>
      <c r="I65" s="634" t="str">
        <f t="shared" si="1"/>
        <v/>
      </c>
    </row>
    <row r="66" spans="1:9" ht="20.100000000000001" customHeight="1">
      <c r="A66" s="621"/>
      <c r="B66" s="622"/>
      <c r="C66" s="623"/>
      <c r="D66" s="623"/>
      <c r="E66" s="624"/>
      <c r="F66" s="625"/>
      <c r="G66" s="626"/>
      <c r="H66" s="627"/>
      <c r="I66" s="634" t="str">
        <f t="shared" si="1"/>
        <v/>
      </c>
    </row>
    <row r="67" spans="1:9" ht="20.100000000000001" customHeight="1">
      <c r="A67" s="621"/>
      <c r="B67" s="622"/>
      <c r="C67" s="623"/>
      <c r="D67" s="623"/>
      <c r="E67" s="624"/>
      <c r="F67" s="625"/>
      <c r="G67" s="626"/>
      <c r="H67" s="627"/>
      <c r="I67" s="634" t="str">
        <f t="shared" si="1"/>
        <v/>
      </c>
    </row>
    <row r="68" spans="1:9" ht="20.100000000000001" customHeight="1">
      <c r="A68" s="621"/>
      <c r="B68" s="622"/>
      <c r="C68" s="623"/>
      <c r="D68" s="623"/>
      <c r="E68" s="624"/>
      <c r="F68" s="625"/>
      <c r="G68" s="626"/>
      <c r="H68" s="627"/>
      <c r="I68" s="634" t="str">
        <f t="shared" si="1"/>
        <v/>
      </c>
    </row>
    <row r="69" spans="1:9" ht="20.100000000000001" customHeight="1">
      <c r="A69" s="621"/>
      <c r="B69" s="622"/>
      <c r="C69" s="623"/>
      <c r="D69" s="623"/>
      <c r="E69" s="624"/>
      <c r="F69" s="625"/>
      <c r="G69" s="626"/>
      <c r="H69" s="627"/>
      <c r="I69" s="634" t="str">
        <f t="shared" si="1"/>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si="1"/>
        <v/>
      </c>
    </row>
    <row r="75" spans="1:9" ht="20.100000000000001" customHeight="1">
      <c r="A75" s="621"/>
      <c r="B75" s="622"/>
      <c r="C75" s="623"/>
      <c r="D75" s="623"/>
      <c r="E75" s="624"/>
      <c r="F75" s="625"/>
      <c r="G75" s="626"/>
      <c r="H75" s="627"/>
      <c r="I75" s="634" t="str">
        <f t="shared" ref="I75:I98" si="2">IF(OR(G75&lt;&gt;"",H75&lt;&gt;""),I74+G75-H75,"")</f>
        <v/>
      </c>
    </row>
    <row r="76" spans="1:9" ht="20.100000000000001" customHeight="1">
      <c r="A76" s="621"/>
      <c r="B76" s="622"/>
      <c r="C76" s="623"/>
      <c r="D76" s="623"/>
      <c r="E76" s="624"/>
      <c r="F76" s="625"/>
      <c r="G76" s="626"/>
      <c r="H76" s="627"/>
      <c r="I76" s="634" t="str">
        <f t="shared" si="2"/>
        <v/>
      </c>
    </row>
    <row r="77" spans="1:9" ht="20.100000000000001" customHeight="1">
      <c r="A77" s="621"/>
      <c r="B77" s="622"/>
      <c r="C77" s="623"/>
      <c r="D77" s="623"/>
      <c r="E77" s="624"/>
      <c r="F77" s="625"/>
      <c r="G77" s="626"/>
      <c r="H77" s="627"/>
      <c r="I77" s="634" t="str">
        <f t="shared" si="2"/>
        <v/>
      </c>
    </row>
    <row r="78" spans="1:9" ht="20.100000000000001" customHeight="1">
      <c r="A78" s="621"/>
      <c r="B78" s="622"/>
      <c r="C78" s="623"/>
      <c r="D78" s="623"/>
      <c r="E78" s="624"/>
      <c r="F78" s="625"/>
      <c r="G78" s="626"/>
      <c r="H78" s="627"/>
      <c r="I78" s="634" t="str">
        <f t="shared" si="2"/>
        <v/>
      </c>
    </row>
    <row r="79" spans="1:9" ht="20.100000000000001" customHeight="1">
      <c r="A79" s="621"/>
      <c r="B79" s="622"/>
      <c r="C79" s="623"/>
      <c r="D79" s="623"/>
      <c r="E79" s="624"/>
      <c r="F79" s="625"/>
      <c r="G79" s="626"/>
      <c r="H79" s="627"/>
      <c r="I79" s="634" t="str">
        <f t="shared" si="2"/>
        <v/>
      </c>
    </row>
    <row r="80" spans="1:9" ht="20.100000000000001" customHeight="1">
      <c r="A80" s="621"/>
      <c r="B80" s="622"/>
      <c r="C80" s="623"/>
      <c r="D80" s="623"/>
      <c r="E80" s="624"/>
      <c r="F80" s="625"/>
      <c r="G80" s="626"/>
      <c r="H80" s="627"/>
      <c r="I80" s="634" t="str">
        <f t="shared" si="2"/>
        <v/>
      </c>
    </row>
    <row r="81" spans="1:9" ht="20.100000000000001" customHeight="1">
      <c r="A81" s="621"/>
      <c r="B81" s="622"/>
      <c r="C81" s="623"/>
      <c r="D81" s="623"/>
      <c r="E81" s="624"/>
      <c r="F81" s="625"/>
      <c r="G81" s="626"/>
      <c r="H81" s="627"/>
      <c r="I81" s="634" t="str">
        <f t="shared" si="2"/>
        <v/>
      </c>
    </row>
    <row r="82" spans="1:9" ht="20.100000000000001" customHeight="1">
      <c r="A82" s="621"/>
      <c r="B82" s="622"/>
      <c r="C82" s="623"/>
      <c r="D82" s="623"/>
      <c r="E82" s="624"/>
      <c r="F82" s="625"/>
      <c r="G82" s="626"/>
      <c r="H82" s="627"/>
      <c r="I82" s="634" t="str">
        <f t="shared" si="2"/>
        <v/>
      </c>
    </row>
    <row r="83" spans="1:9" ht="20.100000000000001" customHeight="1">
      <c r="A83" s="621"/>
      <c r="B83" s="622"/>
      <c r="C83" s="623"/>
      <c r="D83" s="623"/>
      <c r="E83" s="624"/>
      <c r="F83" s="625"/>
      <c r="G83" s="626"/>
      <c r="H83" s="627"/>
      <c r="I83" s="634" t="str">
        <f t="shared" si="2"/>
        <v/>
      </c>
    </row>
    <row r="84" spans="1:9" ht="20.100000000000001" customHeight="1">
      <c r="A84" s="621"/>
      <c r="B84" s="622"/>
      <c r="C84" s="623"/>
      <c r="D84" s="623"/>
      <c r="E84" s="624"/>
      <c r="F84" s="625"/>
      <c r="G84" s="626"/>
      <c r="H84" s="627"/>
      <c r="I84" s="634" t="str">
        <f t="shared" si="2"/>
        <v/>
      </c>
    </row>
    <row r="85" spans="1:9" ht="20.100000000000001" customHeight="1">
      <c r="A85" s="621"/>
      <c r="B85" s="622"/>
      <c r="C85" s="623"/>
      <c r="D85" s="623"/>
      <c r="E85" s="624"/>
      <c r="F85" s="625"/>
      <c r="G85" s="626"/>
      <c r="H85" s="627"/>
      <c r="I85" s="634" t="str">
        <f t="shared" si="2"/>
        <v/>
      </c>
    </row>
    <row r="86" spans="1:9" ht="20.100000000000001" customHeight="1">
      <c r="A86" s="621"/>
      <c r="B86" s="622"/>
      <c r="C86" s="623"/>
      <c r="D86" s="623"/>
      <c r="E86" s="624"/>
      <c r="F86" s="625"/>
      <c r="G86" s="626"/>
      <c r="H86" s="627"/>
      <c r="I86" s="634" t="str">
        <f t="shared" si="2"/>
        <v/>
      </c>
    </row>
    <row r="87" spans="1:9" ht="20.100000000000001" customHeight="1">
      <c r="A87" s="621"/>
      <c r="B87" s="622"/>
      <c r="C87" s="623"/>
      <c r="D87" s="623"/>
      <c r="E87" s="624"/>
      <c r="F87" s="625"/>
      <c r="G87" s="626"/>
      <c r="H87" s="627"/>
      <c r="I87" s="634" t="str">
        <f t="shared" si="2"/>
        <v/>
      </c>
    </row>
    <row r="88" spans="1:9" ht="20.100000000000001" customHeight="1">
      <c r="A88" s="621"/>
      <c r="B88" s="622"/>
      <c r="C88" s="623"/>
      <c r="D88" s="623"/>
      <c r="E88" s="624"/>
      <c r="F88" s="625"/>
      <c r="G88" s="626"/>
      <c r="H88" s="627"/>
      <c r="I88" s="634" t="str">
        <f t="shared" si="2"/>
        <v/>
      </c>
    </row>
    <row r="89" spans="1:9" ht="20.100000000000001" customHeight="1">
      <c r="A89" s="621"/>
      <c r="B89" s="622"/>
      <c r="C89" s="623"/>
      <c r="D89" s="623"/>
      <c r="E89" s="624"/>
      <c r="F89" s="625"/>
      <c r="G89" s="626"/>
      <c r="H89" s="627"/>
      <c r="I89" s="634" t="str">
        <f t="shared" si="2"/>
        <v/>
      </c>
    </row>
    <row r="90" spans="1:9" ht="20.100000000000001" customHeight="1">
      <c r="A90" s="621"/>
      <c r="B90" s="622"/>
      <c r="C90" s="623"/>
      <c r="D90" s="623"/>
      <c r="E90" s="624"/>
      <c r="F90" s="625"/>
      <c r="G90" s="626"/>
      <c r="H90" s="627"/>
      <c r="I90" s="634" t="str">
        <f t="shared" si="2"/>
        <v/>
      </c>
    </row>
    <row r="91" spans="1:9" ht="20.100000000000001" customHeight="1">
      <c r="A91" s="621"/>
      <c r="B91" s="622"/>
      <c r="C91" s="623"/>
      <c r="D91" s="623"/>
      <c r="E91" s="624"/>
      <c r="F91" s="625"/>
      <c r="G91" s="626"/>
      <c r="H91" s="627"/>
      <c r="I91" s="634" t="str">
        <f t="shared" si="2"/>
        <v/>
      </c>
    </row>
    <row r="92" spans="1:9" ht="20.100000000000001" customHeight="1">
      <c r="A92" s="621"/>
      <c r="B92" s="622"/>
      <c r="C92" s="623"/>
      <c r="D92" s="623"/>
      <c r="E92" s="624"/>
      <c r="F92" s="625"/>
      <c r="G92" s="626"/>
      <c r="H92" s="627"/>
      <c r="I92" s="634" t="str">
        <f t="shared" si="2"/>
        <v/>
      </c>
    </row>
    <row r="93" spans="1:9" ht="20.100000000000001" customHeight="1">
      <c r="A93" s="621"/>
      <c r="B93" s="622"/>
      <c r="C93" s="623"/>
      <c r="D93" s="623"/>
      <c r="E93" s="624"/>
      <c r="F93" s="625"/>
      <c r="G93" s="626"/>
      <c r="H93" s="627"/>
      <c r="I93" s="634" t="str">
        <f t="shared" si="2"/>
        <v/>
      </c>
    </row>
    <row r="94" spans="1:9" ht="20.100000000000001" customHeight="1">
      <c r="A94" s="621"/>
      <c r="B94" s="622"/>
      <c r="C94" s="623"/>
      <c r="D94" s="623"/>
      <c r="E94" s="624"/>
      <c r="F94" s="625"/>
      <c r="G94" s="626"/>
      <c r="H94" s="627"/>
      <c r="I94" s="634" t="str">
        <f t="shared" si="2"/>
        <v/>
      </c>
    </row>
    <row r="95" spans="1:9" ht="20.100000000000001" customHeight="1">
      <c r="A95" s="621"/>
      <c r="B95" s="622"/>
      <c r="C95" s="623"/>
      <c r="D95" s="623"/>
      <c r="E95" s="624"/>
      <c r="F95" s="625"/>
      <c r="G95" s="626"/>
      <c r="H95" s="627"/>
      <c r="I95" s="634" t="str">
        <f t="shared" si="2"/>
        <v/>
      </c>
    </row>
    <row r="96" spans="1:9" ht="20.100000000000001" customHeight="1">
      <c r="A96" s="621"/>
      <c r="B96" s="622"/>
      <c r="C96" s="623"/>
      <c r="D96" s="623"/>
      <c r="E96" s="624"/>
      <c r="F96" s="625"/>
      <c r="G96" s="626"/>
      <c r="H96" s="627"/>
      <c r="I96" s="634" t="str">
        <f t="shared" si="2"/>
        <v/>
      </c>
    </row>
    <row r="97" spans="1:9" ht="20.100000000000001" customHeight="1">
      <c r="A97" s="621"/>
      <c r="B97" s="622"/>
      <c r="C97" s="623"/>
      <c r="D97" s="623"/>
      <c r="E97" s="624"/>
      <c r="F97" s="625"/>
      <c r="G97" s="626"/>
      <c r="H97" s="627"/>
      <c r="I97" s="634" t="str">
        <f t="shared" si="2"/>
        <v/>
      </c>
    </row>
    <row r="98" spans="1:9" ht="20.100000000000001" customHeight="1">
      <c r="A98" s="621"/>
      <c r="B98" s="622"/>
      <c r="C98" s="623"/>
      <c r="D98" s="623"/>
      <c r="E98" s="624"/>
      <c r="F98" s="625"/>
      <c r="G98" s="650"/>
      <c r="H98" s="651"/>
      <c r="I98" s="653" t="str">
        <f t="shared" si="2"/>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215</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31</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 t="shared" ref="I5:I12"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ref="I13:I39" si="1">IF(OR(G13&lt;&gt;"",H13&lt;&gt;""),I12+G13-H13,"")</f>
        <v/>
      </c>
    </row>
    <row r="14" spans="1:9" ht="20.100000000000001" customHeight="1">
      <c r="A14" s="621"/>
      <c r="B14" s="622"/>
      <c r="C14" s="623"/>
      <c r="D14" s="623"/>
      <c r="E14" s="624"/>
      <c r="F14" s="625"/>
      <c r="G14" s="626"/>
      <c r="H14" s="627"/>
      <c r="I14" s="634" t="str">
        <f t="shared" si="1"/>
        <v/>
      </c>
    </row>
    <row r="15" spans="1:9" ht="20.100000000000001" customHeight="1">
      <c r="A15" s="621"/>
      <c r="B15" s="622"/>
      <c r="C15" s="623"/>
      <c r="D15" s="623"/>
      <c r="E15" s="624"/>
      <c r="F15" s="625"/>
      <c r="G15" s="626"/>
      <c r="H15" s="627"/>
      <c r="I15" s="634" t="str">
        <f t="shared" si="1"/>
        <v/>
      </c>
    </row>
    <row r="16" spans="1:9" ht="20.100000000000001" customHeight="1">
      <c r="A16" s="621"/>
      <c r="B16" s="622"/>
      <c r="C16" s="623"/>
      <c r="D16" s="623"/>
      <c r="E16" s="624"/>
      <c r="F16" s="625"/>
      <c r="G16" s="626"/>
      <c r="H16" s="627"/>
      <c r="I16" s="634" t="str">
        <f t="shared" si="1"/>
        <v/>
      </c>
    </row>
    <row r="17" spans="1:9" ht="20.100000000000001" customHeight="1">
      <c r="A17" s="621"/>
      <c r="B17" s="622"/>
      <c r="C17" s="623"/>
      <c r="D17" s="623"/>
      <c r="E17" s="624"/>
      <c r="F17" s="625"/>
      <c r="G17" s="626"/>
      <c r="H17" s="627"/>
      <c r="I17" s="634" t="str">
        <f t="shared" si="1"/>
        <v/>
      </c>
    </row>
    <row r="18" spans="1:9" ht="20.100000000000001" customHeight="1">
      <c r="A18" s="621"/>
      <c r="B18" s="622"/>
      <c r="C18" s="623"/>
      <c r="D18" s="623"/>
      <c r="E18" s="624"/>
      <c r="F18" s="625"/>
      <c r="G18" s="626"/>
      <c r="H18" s="627"/>
      <c r="I18" s="634" t="str">
        <f t="shared" si="1"/>
        <v/>
      </c>
    </row>
    <row r="19" spans="1:9" ht="20.100000000000001" customHeight="1">
      <c r="A19" s="621"/>
      <c r="B19" s="622"/>
      <c r="C19" s="623"/>
      <c r="D19" s="623"/>
      <c r="E19" s="624"/>
      <c r="F19" s="625"/>
      <c r="G19" s="626"/>
      <c r="H19" s="627"/>
      <c r="I19" s="634" t="str">
        <f t="shared" si="1"/>
        <v/>
      </c>
    </row>
    <row r="20" spans="1:9" ht="20.100000000000001" customHeight="1">
      <c r="A20" s="621"/>
      <c r="B20" s="622"/>
      <c r="C20" s="623"/>
      <c r="D20" s="623"/>
      <c r="E20" s="624"/>
      <c r="F20" s="625"/>
      <c r="G20" s="626"/>
      <c r="H20" s="627"/>
      <c r="I20" s="634" t="str">
        <f t="shared" si="1"/>
        <v/>
      </c>
    </row>
    <row r="21" spans="1:9" ht="20.100000000000001" customHeight="1">
      <c r="A21" s="621"/>
      <c r="B21" s="622"/>
      <c r="C21" s="623"/>
      <c r="D21" s="623"/>
      <c r="E21" s="624"/>
      <c r="F21" s="625"/>
      <c r="G21" s="626"/>
      <c r="H21" s="627"/>
      <c r="I21" s="634" t="str">
        <f t="shared" si="1"/>
        <v/>
      </c>
    </row>
    <row r="22" spans="1:9" ht="20.100000000000001" customHeight="1">
      <c r="A22" s="621"/>
      <c r="B22" s="622"/>
      <c r="C22" s="623"/>
      <c r="D22" s="623"/>
      <c r="E22" s="624"/>
      <c r="F22" s="625"/>
      <c r="G22" s="626"/>
      <c r="H22" s="627"/>
      <c r="I22" s="634" t="str">
        <f t="shared" si="1"/>
        <v/>
      </c>
    </row>
    <row r="23" spans="1:9" ht="20.100000000000001" customHeight="1">
      <c r="A23" s="621"/>
      <c r="B23" s="622"/>
      <c r="C23" s="623"/>
      <c r="D23" s="623"/>
      <c r="E23" s="624"/>
      <c r="F23" s="625"/>
      <c r="G23" s="626"/>
      <c r="H23" s="627"/>
      <c r="I23" s="634" t="str">
        <f t="shared" si="1"/>
        <v/>
      </c>
    </row>
    <row r="24" spans="1:9" ht="20.100000000000001" customHeight="1">
      <c r="A24" s="621"/>
      <c r="B24" s="622"/>
      <c r="C24" s="623"/>
      <c r="D24" s="623"/>
      <c r="E24" s="624"/>
      <c r="F24" s="625"/>
      <c r="G24" s="626"/>
      <c r="H24" s="627"/>
      <c r="I24" s="634" t="str">
        <f t="shared" si="1"/>
        <v/>
      </c>
    </row>
    <row r="25" spans="1:9" ht="20.100000000000001" customHeight="1">
      <c r="A25" s="621"/>
      <c r="B25" s="622"/>
      <c r="C25" s="623"/>
      <c r="D25" s="623"/>
      <c r="E25" s="624"/>
      <c r="F25" s="625"/>
      <c r="G25" s="626"/>
      <c r="H25" s="627"/>
      <c r="I25" s="634" t="str">
        <f t="shared" si="1"/>
        <v/>
      </c>
    </row>
    <row r="26" spans="1:9" ht="20.100000000000001" customHeight="1">
      <c r="A26" s="621"/>
      <c r="B26" s="622"/>
      <c r="C26" s="623"/>
      <c r="D26" s="623"/>
      <c r="E26" s="624"/>
      <c r="F26" s="625"/>
      <c r="G26" s="626"/>
      <c r="H26" s="627"/>
      <c r="I26" s="634" t="str">
        <f t="shared" si="1"/>
        <v/>
      </c>
    </row>
    <row r="27" spans="1:9" ht="20.100000000000001" customHeight="1">
      <c r="A27" s="621"/>
      <c r="B27" s="622"/>
      <c r="C27" s="623"/>
      <c r="D27" s="623"/>
      <c r="E27" s="624"/>
      <c r="F27" s="625"/>
      <c r="G27" s="626"/>
      <c r="H27" s="627"/>
      <c r="I27" s="634" t="str">
        <f t="shared" si="1"/>
        <v/>
      </c>
    </row>
    <row r="28" spans="1:9" ht="20.100000000000001" customHeight="1">
      <c r="A28" s="621"/>
      <c r="B28" s="622"/>
      <c r="C28" s="623"/>
      <c r="D28" s="623"/>
      <c r="E28" s="624"/>
      <c r="F28" s="625"/>
      <c r="G28" s="626"/>
      <c r="H28" s="627"/>
      <c r="I28" s="634" t="str">
        <f t="shared" si="1"/>
        <v/>
      </c>
    </row>
    <row r="29" spans="1:9" ht="20.100000000000001" customHeight="1">
      <c r="A29" s="621"/>
      <c r="B29" s="622"/>
      <c r="C29" s="623"/>
      <c r="D29" s="623"/>
      <c r="E29" s="624"/>
      <c r="F29" s="625"/>
      <c r="G29" s="626"/>
      <c r="H29" s="627"/>
      <c r="I29" s="634" t="str">
        <f t="shared" si="1"/>
        <v/>
      </c>
    </row>
    <row r="30" spans="1:9" ht="20.100000000000001" customHeight="1">
      <c r="A30" s="621"/>
      <c r="B30" s="622"/>
      <c r="C30" s="623"/>
      <c r="D30" s="623"/>
      <c r="E30" s="624"/>
      <c r="F30" s="625"/>
      <c r="G30" s="626"/>
      <c r="H30" s="627"/>
      <c r="I30" s="634" t="str">
        <f t="shared" si="1"/>
        <v/>
      </c>
    </row>
    <row r="31" spans="1:9" ht="20.100000000000001" customHeight="1">
      <c r="A31" s="621"/>
      <c r="B31" s="622"/>
      <c r="C31" s="623"/>
      <c r="D31" s="623"/>
      <c r="E31" s="624"/>
      <c r="F31" s="625"/>
      <c r="G31" s="626"/>
      <c r="H31" s="627"/>
      <c r="I31" s="634" t="str">
        <f t="shared" si="1"/>
        <v/>
      </c>
    </row>
    <row r="32" spans="1:9" ht="20.100000000000001" customHeight="1">
      <c r="A32" s="621"/>
      <c r="B32" s="622"/>
      <c r="C32" s="623"/>
      <c r="D32" s="623"/>
      <c r="E32" s="624"/>
      <c r="F32" s="625"/>
      <c r="G32" s="626"/>
      <c r="H32" s="627"/>
      <c r="I32" s="634" t="str">
        <f t="shared" si="1"/>
        <v/>
      </c>
    </row>
    <row r="33" spans="1:9" ht="20.100000000000001" customHeight="1">
      <c r="A33" s="621"/>
      <c r="B33" s="622"/>
      <c r="C33" s="623"/>
      <c r="D33" s="623"/>
      <c r="E33" s="624"/>
      <c r="F33" s="625"/>
      <c r="G33" s="626"/>
      <c r="H33" s="627"/>
      <c r="I33" s="634" t="str">
        <f t="shared" si="1"/>
        <v/>
      </c>
    </row>
    <row r="34" spans="1:9" ht="20.100000000000001" customHeight="1">
      <c r="A34" s="621"/>
      <c r="B34" s="622"/>
      <c r="C34" s="623"/>
      <c r="D34" s="623"/>
      <c r="E34" s="624"/>
      <c r="F34" s="625"/>
      <c r="G34" s="626"/>
      <c r="H34" s="627"/>
      <c r="I34" s="634" t="str">
        <f t="shared" si="1"/>
        <v/>
      </c>
    </row>
    <row r="35" spans="1:9" ht="20.100000000000001" customHeight="1">
      <c r="A35" s="621"/>
      <c r="B35" s="622"/>
      <c r="C35" s="623"/>
      <c r="D35" s="623"/>
      <c r="E35" s="624"/>
      <c r="F35" s="625"/>
      <c r="G35" s="626"/>
      <c r="H35" s="627"/>
      <c r="I35" s="634" t="str">
        <f t="shared" si="1"/>
        <v/>
      </c>
    </row>
    <row r="36" spans="1:9" ht="20.100000000000001" customHeight="1">
      <c r="A36" s="621"/>
      <c r="B36" s="622"/>
      <c r="C36" s="623"/>
      <c r="D36" s="623"/>
      <c r="E36" s="624"/>
      <c r="F36" s="625"/>
      <c r="G36" s="626"/>
      <c r="H36" s="627"/>
      <c r="I36" s="634" t="str">
        <f t="shared" si="1"/>
        <v/>
      </c>
    </row>
    <row r="37" spans="1:9" ht="20.100000000000001" customHeight="1">
      <c r="A37" s="621"/>
      <c r="B37" s="622"/>
      <c r="C37" s="623"/>
      <c r="D37" s="623"/>
      <c r="E37" s="624"/>
      <c r="F37" s="625"/>
      <c r="G37" s="626"/>
      <c r="H37" s="627"/>
      <c r="I37" s="634" t="str">
        <f t="shared" si="1"/>
        <v/>
      </c>
    </row>
    <row r="38" spans="1:9" ht="20.100000000000001" customHeight="1">
      <c r="A38" s="621"/>
      <c r="B38" s="622"/>
      <c r="C38" s="623"/>
      <c r="D38" s="623"/>
      <c r="E38" s="624"/>
      <c r="F38" s="625"/>
      <c r="G38" s="626"/>
      <c r="H38" s="627"/>
      <c r="I38" s="634" t="str">
        <f t="shared" si="1"/>
        <v/>
      </c>
    </row>
    <row r="39" spans="1:9" ht="20.100000000000001" customHeight="1">
      <c r="A39" s="621"/>
      <c r="B39" s="622"/>
      <c r="C39" s="623"/>
      <c r="D39" s="623"/>
      <c r="E39" s="624"/>
      <c r="F39" s="625"/>
      <c r="G39" s="626"/>
      <c r="H39" s="627"/>
      <c r="I39" s="634" t="str">
        <f t="shared" si="1"/>
        <v/>
      </c>
    </row>
    <row r="40" spans="1:9" ht="20.100000000000001" customHeight="1">
      <c r="A40" s="621"/>
      <c r="B40" s="622"/>
      <c r="C40" s="623"/>
      <c r="D40" s="623"/>
      <c r="E40" s="624"/>
      <c r="F40" s="625"/>
      <c r="G40" s="626"/>
      <c r="H40" s="627"/>
      <c r="I40" s="634" t="str">
        <f t="shared" ref="I40:I74" si="2">IF(OR(G40&lt;&gt;"",H40&lt;&gt;""),I39+G40-H40,"")</f>
        <v/>
      </c>
    </row>
    <row r="41" spans="1:9" ht="20.100000000000001" customHeight="1">
      <c r="A41" s="621"/>
      <c r="B41" s="622"/>
      <c r="C41" s="623"/>
      <c r="D41" s="623"/>
      <c r="E41" s="624"/>
      <c r="F41" s="625"/>
      <c r="G41" s="626"/>
      <c r="H41" s="627"/>
      <c r="I41" s="634" t="str">
        <f t="shared" si="2"/>
        <v/>
      </c>
    </row>
    <row r="42" spans="1:9" ht="20.100000000000001" customHeight="1">
      <c r="A42" s="621"/>
      <c r="B42" s="622"/>
      <c r="C42" s="623"/>
      <c r="D42" s="623"/>
      <c r="E42" s="624"/>
      <c r="F42" s="625"/>
      <c r="G42" s="626"/>
      <c r="H42" s="627"/>
      <c r="I42" s="634" t="str">
        <f t="shared" si="2"/>
        <v/>
      </c>
    </row>
    <row r="43" spans="1:9" ht="20.100000000000001" customHeight="1">
      <c r="A43" s="621"/>
      <c r="B43" s="622"/>
      <c r="C43" s="623"/>
      <c r="D43" s="623"/>
      <c r="E43" s="624"/>
      <c r="F43" s="625"/>
      <c r="G43" s="626"/>
      <c r="H43" s="627"/>
      <c r="I43" s="634" t="str">
        <f t="shared" si="2"/>
        <v/>
      </c>
    </row>
    <row r="44" spans="1:9" ht="20.100000000000001" customHeight="1">
      <c r="A44" s="621"/>
      <c r="B44" s="622"/>
      <c r="C44" s="623"/>
      <c r="D44" s="623"/>
      <c r="E44" s="624"/>
      <c r="F44" s="625"/>
      <c r="G44" s="626"/>
      <c r="H44" s="627"/>
      <c r="I44" s="634" t="str">
        <f t="shared" si="2"/>
        <v/>
      </c>
    </row>
    <row r="45" spans="1:9" ht="20.100000000000001" customHeight="1">
      <c r="A45" s="621"/>
      <c r="B45" s="622"/>
      <c r="C45" s="623"/>
      <c r="D45" s="623"/>
      <c r="E45" s="624"/>
      <c r="F45" s="625"/>
      <c r="G45" s="626"/>
      <c r="H45" s="627"/>
      <c r="I45" s="634" t="str">
        <f t="shared" si="2"/>
        <v/>
      </c>
    </row>
    <row r="46" spans="1:9" ht="20.100000000000001" customHeight="1">
      <c r="A46" s="621"/>
      <c r="B46" s="622"/>
      <c r="C46" s="623"/>
      <c r="D46" s="623"/>
      <c r="E46" s="624"/>
      <c r="F46" s="625"/>
      <c r="G46" s="626"/>
      <c r="H46" s="627"/>
      <c r="I46" s="634" t="str">
        <f t="shared" si="2"/>
        <v/>
      </c>
    </row>
    <row r="47" spans="1:9" ht="20.100000000000001" customHeight="1">
      <c r="A47" s="621"/>
      <c r="B47" s="622"/>
      <c r="C47" s="623"/>
      <c r="D47" s="623"/>
      <c r="E47" s="624"/>
      <c r="F47" s="625"/>
      <c r="G47" s="626"/>
      <c r="H47" s="627"/>
      <c r="I47" s="634" t="str">
        <f t="shared" si="2"/>
        <v/>
      </c>
    </row>
    <row r="48" spans="1:9" ht="20.100000000000001" customHeight="1">
      <c r="A48" s="621"/>
      <c r="B48" s="622"/>
      <c r="C48" s="623"/>
      <c r="D48" s="623"/>
      <c r="E48" s="624"/>
      <c r="F48" s="625"/>
      <c r="G48" s="626"/>
      <c r="H48" s="627"/>
      <c r="I48" s="634" t="str">
        <f t="shared" si="2"/>
        <v/>
      </c>
    </row>
    <row r="49" spans="1:9" ht="20.100000000000001" customHeight="1">
      <c r="A49" s="621"/>
      <c r="B49" s="622"/>
      <c r="C49" s="623"/>
      <c r="D49" s="623"/>
      <c r="E49" s="624"/>
      <c r="F49" s="625"/>
      <c r="G49" s="626"/>
      <c r="H49" s="627"/>
      <c r="I49" s="634" t="str">
        <f t="shared" si="2"/>
        <v/>
      </c>
    </row>
    <row r="50" spans="1:9" ht="20.100000000000001" customHeight="1">
      <c r="A50" s="621"/>
      <c r="B50" s="622"/>
      <c r="C50" s="623"/>
      <c r="D50" s="623"/>
      <c r="E50" s="624"/>
      <c r="F50" s="625"/>
      <c r="G50" s="626"/>
      <c r="H50" s="627"/>
      <c r="I50" s="634" t="str">
        <f t="shared" si="2"/>
        <v/>
      </c>
    </row>
    <row r="51" spans="1:9" ht="20.100000000000001" customHeight="1">
      <c r="A51" s="621"/>
      <c r="B51" s="622"/>
      <c r="C51" s="623"/>
      <c r="D51" s="623"/>
      <c r="E51" s="624"/>
      <c r="F51" s="625"/>
      <c r="G51" s="626"/>
      <c r="H51" s="627"/>
      <c r="I51" s="634" t="str">
        <f t="shared" si="2"/>
        <v/>
      </c>
    </row>
    <row r="52" spans="1:9" ht="20.100000000000001" customHeight="1">
      <c r="A52" s="621"/>
      <c r="B52" s="622"/>
      <c r="C52" s="623"/>
      <c r="D52" s="623"/>
      <c r="E52" s="624"/>
      <c r="F52" s="625"/>
      <c r="G52" s="626"/>
      <c r="H52" s="627"/>
      <c r="I52" s="634" t="str">
        <f t="shared" si="2"/>
        <v/>
      </c>
    </row>
    <row r="53" spans="1:9" ht="20.100000000000001" customHeight="1">
      <c r="A53" s="621"/>
      <c r="B53" s="622"/>
      <c r="C53" s="623"/>
      <c r="D53" s="623"/>
      <c r="E53" s="624"/>
      <c r="F53" s="625"/>
      <c r="G53" s="626"/>
      <c r="H53" s="627"/>
      <c r="I53" s="634" t="str">
        <f t="shared" si="2"/>
        <v/>
      </c>
    </row>
    <row r="54" spans="1:9" ht="20.100000000000001" customHeight="1">
      <c r="A54" s="621"/>
      <c r="B54" s="622"/>
      <c r="C54" s="623"/>
      <c r="D54" s="623"/>
      <c r="E54" s="624"/>
      <c r="F54" s="625"/>
      <c r="G54" s="626"/>
      <c r="H54" s="627"/>
      <c r="I54" s="634" t="str">
        <f t="shared" si="2"/>
        <v/>
      </c>
    </row>
    <row r="55" spans="1:9" ht="20.100000000000001" customHeight="1">
      <c r="A55" s="621"/>
      <c r="B55" s="622"/>
      <c r="C55" s="623"/>
      <c r="D55" s="623"/>
      <c r="E55" s="624"/>
      <c r="F55" s="625"/>
      <c r="G55" s="626"/>
      <c r="H55" s="627"/>
      <c r="I55" s="634" t="str">
        <f t="shared" si="2"/>
        <v/>
      </c>
    </row>
    <row r="56" spans="1:9" ht="20.100000000000001" customHeight="1">
      <c r="A56" s="621"/>
      <c r="B56" s="622"/>
      <c r="C56" s="623"/>
      <c r="D56" s="623"/>
      <c r="E56" s="624"/>
      <c r="F56" s="625"/>
      <c r="G56" s="626"/>
      <c r="H56" s="627"/>
      <c r="I56" s="634" t="str">
        <f t="shared" si="2"/>
        <v/>
      </c>
    </row>
    <row r="57" spans="1:9" ht="20.100000000000001" customHeight="1">
      <c r="A57" s="621"/>
      <c r="B57" s="622"/>
      <c r="C57" s="623"/>
      <c r="D57" s="623"/>
      <c r="E57" s="624"/>
      <c r="F57" s="625"/>
      <c r="G57" s="626"/>
      <c r="H57" s="627"/>
      <c r="I57" s="634" t="str">
        <f t="shared" si="2"/>
        <v/>
      </c>
    </row>
    <row r="58" spans="1:9" ht="20.100000000000001" customHeight="1">
      <c r="A58" s="621"/>
      <c r="B58" s="622"/>
      <c r="C58" s="623"/>
      <c r="D58" s="623"/>
      <c r="E58" s="624"/>
      <c r="F58" s="625"/>
      <c r="G58" s="626"/>
      <c r="H58" s="627"/>
      <c r="I58" s="634" t="str">
        <f t="shared" si="2"/>
        <v/>
      </c>
    </row>
    <row r="59" spans="1:9" ht="20.100000000000001" customHeight="1">
      <c r="A59" s="621"/>
      <c r="B59" s="622"/>
      <c r="C59" s="623"/>
      <c r="D59" s="623"/>
      <c r="E59" s="624"/>
      <c r="F59" s="625"/>
      <c r="G59" s="626"/>
      <c r="H59" s="627"/>
      <c r="I59" s="634" t="str">
        <f t="shared" si="2"/>
        <v/>
      </c>
    </row>
    <row r="60" spans="1:9" ht="20.100000000000001" customHeight="1">
      <c r="A60" s="621"/>
      <c r="B60" s="622"/>
      <c r="C60" s="623"/>
      <c r="D60" s="623"/>
      <c r="E60" s="624"/>
      <c r="F60" s="625"/>
      <c r="G60" s="626"/>
      <c r="H60" s="627"/>
      <c r="I60" s="634" t="str">
        <f t="shared" si="2"/>
        <v/>
      </c>
    </row>
    <row r="61" spans="1:9" ht="20.100000000000001" customHeight="1">
      <c r="A61" s="621"/>
      <c r="B61" s="622"/>
      <c r="C61" s="623"/>
      <c r="D61" s="623"/>
      <c r="E61" s="624"/>
      <c r="F61" s="625"/>
      <c r="G61" s="626"/>
      <c r="H61" s="627"/>
      <c r="I61" s="634" t="str">
        <f t="shared" si="2"/>
        <v/>
      </c>
    </row>
    <row r="62" spans="1:9" ht="20.100000000000001" customHeight="1">
      <c r="A62" s="621"/>
      <c r="B62" s="622"/>
      <c r="C62" s="623"/>
      <c r="D62" s="623"/>
      <c r="E62" s="624"/>
      <c r="F62" s="625"/>
      <c r="G62" s="626"/>
      <c r="H62" s="627"/>
      <c r="I62" s="634" t="str">
        <f t="shared" si="2"/>
        <v/>
      </c>
    </row>
    <row r="63" spans="1:9" ht="20.100000000000001" customHeight="1">
      <c r="A63" s="621"/>
      <c r="B63" s="622"/>
      <c r="C63" s="623"/>
      <c r="D63" s="623"/>
      <c r="E63" s="624"/>
      <c r="F63" s="625"/>
      <c r="G63" s="626"/>
      <c r="H63" s="627"/>
      <c r="I63" s="634" t="str">
        <f t="shared" si="2"/>
        <v/>
      </c>
    </row>
    <row r="64" spans="1:9" ht="20.100000000000001" customHeight="1">
      <c r="A64" s="621"/>
      <c r="B64" s="622"/>
      <c r="C64" s="623"/>
      <c r="D64" s="623"/>
      <c r="E64" s="624"/>
      <c r="F64" s="625"/>
      <c r="G64" s="626"/>
      <c r="H64" s="627"/>
      <c r="I64" s="634" t="str">
        <f t="shared" si="2"/>
        <v/>
      </c>
    </row>
    <row r="65" spans="1:9" ht="20.100000000000001" customHeight="1">
      <c r="A65" s="621"/>
      <c r="B65" s="622"/>
      <c r="C65" s="623"/>
      <c r="D65" s="623"/>
      <c r="E65" s="624"/>
      <c r="F65" s="625"/>
      <c r="G65" s="626"/>
      <c r="H65" s="627"/>
      <c r="I65" s="634" t="str">
        <f t="shared" si="2"/>
        <v/>
      </c>
    </row>
    <row r="66" spans="1:9" ht="20.100000000000001" customHeight="1">
      <c r="A66" s="621"/>
      <c r="B66" s="622"/>
      <c r="C66" s="623"/>
      <c r="D66" s="623"/>
      <c r="E66" s="624"/>
      <c r="F66" s="625"/>
      <c r="G66" s="626"/>
      <c r="H66" s="627"/>
      <c r="I66" s="634" t="str">
        <f t="shared" si="2"/>
        <v/>
      </c>
    </row>
    <row r="67" spans="1:9" ht="20.100000000000001" customHeight="1">
      <c r="A67" s="621"/>
      <c r="B67" s="622"/>
      <c r="C67" s="623"/>
      <c r="D67" s="623"/>
      <c r="E67" s="624"/>
      <c r="F67" s="625"/>
      <c r="G67" s="626"/>
      <c r="H67" s="627"/>
      <c r="I67" s="634" t="str">
        <f t="shared" si="2"/>
        <v/>
      </c>
    </row>
    <row r="68" spans="1:9" ht="20.100000000000001" customHeight="1">
      <c r="A68" s="621"/>
      <c r="B68" s="622"/>
      <c r="C68" s="623"/>
      <c r="D68" s="623"/>
      <c r="E68" s="624"/>
      <c r="F68" s="625"/>
      <c r="G68" s="626"/>
      <c r="H68" s="627"/>
      <c r="I68" s="634" t="str">
        <f t="shared" si="2"/>
        <v/>
      </c>
    </row>
    <row r="69" spans="1:9" ht="20.100000000000001" customHeight="1">
      <c r="A69" s="621"/>
      <c r="B69" s="622"/>
      <c r="C69" s="623"/>
      <c r="D69" s="623"/>
      <c r="E69" s="624"/>
      <c r="F69" s="625"/>
      <c r="G69" s="626"/>
      <c r="H69" s="627"/>
      <c r="I69" s="634" t="str">
        <f t="shared" si="2"/>
        <v/>
      </c>
    </row>
    <row r="70" spans="1:9" ht="20.100000000000001" customHeight="1">
      <c r="A70" s="621"/>
      <c r="B70" s="622"/>
      <c r="C70" s="623"/>
      <c r="D70" s="623"/>
      <c r="E70" s="624"/>
      <c r="F70" s="625"/>
      <c r="G70" s="626"/>
      <c r="H70" s="627"/>
      <c r="I70" s="634" t="str">
        <f t="shared" si="2"/>
        <v/>
      </c>
    </row>
    <row r="71" spans="1:9" ht="20.100000000000001" customHeight="1">
      <c r="A71" s="621"/>
      <c r="B71" s="622"/>
      <c r="C71" s="623"/>
      <c r="D71" s="623"/>
      <c r="E71" s="624"/>
      <c r="F71" s="625"/>
      <c r="G71" s="626"/>
      <c r="H71" s="627"/>
      <c r="I71" s="634" t="str">
        <f t="shared" si="2"/>
        <v/>
      </c>
    </row>
    <row r="72" spans="1:9" ht="20.100000000000001" customHeight="1">
      <c r="A72" s="621"/>
      <c r="B72" s="622"/>
      <c r="C72" s="623"/>
      <c r="D72" s="623"/>
      <c r="E72" s="624"/>
      <c r="F72" s="625"/>
      <c r="G72" s="626"/>
      <c r="H72" s="627"/>
      <c r="I72" s="634" t="str">
        <f t="shared" si="2"/>
        <v/>
      </c>
    </row>
    <row r="73" spans="1:9" ht="20.100000000000001" customHeight="1">
      <c r="A73" s="621"/>
      <c r="B73" s="622"/>
      <c r="C73" s="623"/>
      <c r="D73" s="623"/>
      <c r="E73" s="624"/>
      <c r="F73" s="625"/>
      <c r="G73" s="626"/>
      <c r="H73" s="627"/>
      <c r="I73" s="634" t="str">
        <f t="shared" si="2"/>
        <v/>
      </c>
    </row>
    <row r="74" spans="1:9" ht="20.100000000000001" customHeight="1">
      <c r="A74" s="621"/>
      <c r="B74" s="622"/>
      <c r="C74" s="623"/>
      <c r="D74" s="623"/>
      <c r="E74" s="624"/>
      <c r="F74" s="625"/>
      <c r="G74" s="626"/>
      <c r="H74" s="627"/>
      <c r="I74" s="634" t="str">
        <f t="shared" si="2"/>
        <v/>
      </c>
    </row>
    <row r="75" spans="1:9" ht="20.100000000000001" customHeight="1">
      <c r="A75" s="621"/>
      <c r="B75" s="622"/>
      <c r="C75" s="623"/>
      <c r="D75" s="623"/>
      <c r="E75" s="624"/>
      <c r="F75" s="625"/>
      <c r="G75" s="626"/>
      <c r="H75" s="627"/>
      <c r="I75" s="634" t="str">
        <f t="shared" ref="I75:I98" si="3">IF(OR(G75&lt;&gt;"",H75&lt;&gt;""),I74+G75-H75,"")</f>
        <v/>
      </c>
    </row>
    <row r="76" spans="1:9" ht="20.100000000000001" customHeight="1">
      <c r="A76" s="621"/>
      <c r="B76" s="622"/>
      <c r="C76" s="623"/>
      <c r="D76" s="623"/>
      <c r="E76" s="624"/>
      <c r="F76" s="625"/>
      <c r="G76" s="626"/>
      <c r="H76" s="627"/>
      <c r="I76" s="634" t="str">
        <f t="shared" si="3"/>
        <v/>
      </c>
    </row>
    <row r="77" spans="1:9" ht="20.100000000000001" customHeight="1">
      <c r="A77" s="621"/>
      <c r="B77" s="622"/>
      <c r="C77" s="623"/>
      <c r="D77" s="623"/>
      <c r="E77" s="624"/>
      <c r="F77" s="625"/>
      <c r="G77" s="626"/>
      <c r="H77" s="627"/>
      <c r="I77" s="634" t="str">
        <f t="shared" si="3"/>
        <v/>
      </c>
    </row>
    <row r="78" spans="1:9" ht="20.100000000000001" customHeight="1">
      <c r="A78" s="621"/>
      <c r="B78" s="622"/>
      <c r="C78" s="623"/>
      <c r="D78" s="623"/>
      <c r="E78" s="624"/>
      <c r="F78" s="625"/>
      <c r="G78" s="626"/>
      <c r="H78" s="627"/>
      <c r="I78" s="634" t="str">
        <f t="shared" si="3"/>
        <v/>
      </c>
    </row>
    <row r="79" spans="1:9" ht="20.100000000000001" customHeight="1">
      <c r="A79" s="621"/>
      <c r="B79" s="622"/>
      <c r="C79" s="623"/>
      <c r="D79" s="623"/>
      <c r="E79" s="624"/>
      <c r="F79" s="625"/>
      <c r="G79" s="626"/>
      <c r="H79" s="627"/>
      <c r="I79" s="634" t="str">
        <f t="shared" si="3"/>
        <v/>
      </c>
    </row>
    <row r="80" spans="1:9" ht="20.100000000000001" customHeight="1">
      <c r="A80" s="621"/>
      <c r="B80" s="622"/>
      <c r="C80" s="623"/>
      <c r="D80" s="623"/>
      <c r="E80" s="624"/>
      <c r="F80" s="625"/>
      <c r="G80" s="626"/>
      <c r="H80" s="627"/>
      <c r="I80" s="634" t="str">
        <f t="shared" si="3"/>
        <v/>
      </c>
    </row>
    <row r="81" spans="1:9" ht="20.100000000000001" customHeight="1">
      <c r="A81" s="621"/>
      <c r="B81" s="622"/>
      <c r="C81" s="623"/>
      <c r="D81" s="623"/>
      <c r="E81" s="624"/>
      <c r="F81" s="625"/>
      <c r="G81" s="626"/>
      <c r="H81" s="627"/>
      <c r="I81" s="634" t="str">
        <f t="shared" si="3"/>
        <v/>
      </c>
    </row>
    <row r="82" spans="1:9" ht="20.100000000000001" customHeight="1">
      <c r="A82" s="621"/>
      <c r="B82" s="622"/>
      <c r="C82" s="623"/>
      <c r="D82" s="623"/>
      <c r="E82" s="624"/>
      <c r="F82" s="625"/>
      <c r="G82" s="626"/>
      <c r="H82" s="627"/>
      <c r="I82" s="634" t="str">
        <f t="shared" si="3"/>
        <v/>
      </c>
    </row>
    <row r="83" spans="1:9" ht="20.100000000000001" customHeight="1">
      <c r="A83" s="621"/>
      <c r="B83" s="622"/>
      <c r="C83" s="623"/>
      <c r="D83" s="623"/>
      <c r="E83" s="624"/>
      <c r="F83" s="625"/>
      <c r="G83" s="626"/>
      <c r="H83" s="627"/>
      <c r="I83" s="634" t="str">
        <f t="shared" si="3"/>
        <v/>
      </c>
    </row>
    <row r="84" spans="1:9" ht="20.100000000000001" customHeight="1">
      <c r="A84" s="621"/>
      <c r="B84" s="622"/>
      <c r="C84" s="623"/>
      <c r="D84" s="623"/>
      <c r="E84" s="624"/>
      <c r="F84" s="625"/>
      <c r="G84" s="626"/>
      <c r="H84" s="627"/>
      <c r="I84" s="634" t="str">
        <f t="shared" si="3"/>
        <v/>
      </c>
    </row>
    <row r="85" spans="1:9" ht="20.100000000000001" customHeight="1">
      <c r="A85" s="621"/>
      <c r="B85" s="622"/>
      <c r="C85" s="623"/>
      <c r="D85" s="623"/>
      <c r="E85" s="624"/>
      <c r="F85" s="625"/>
      <c r="G85" s="626"/>
      <c r="H85" s="627"/>
      <c r="I85" s="634" t="str">
        <f t="shared" si="3"/>
        <v/>
      </c>
    </row>
    <row r="86" spans="1:9" ht="20.100000000000001" customHeight="1">
      <c r="A86" s="621"/>
      <c r="B86" s="622"/>
      <c r="C86" s="623"/>
      <c r="D86" s="623"/>
      <c r="E86" s="624"/>
      <c r="F86" s="625"/>
      <c r="G86" s="626"/>
      <c r="H86" s="627"/>
      <c r="I86" s="634" t="str">
        <f t="shared" si="3"/>
        <v/>
      </c>
    </row>
    <row r="87" spans="1:9" ht="20.100000000000001" customHeight="1">
      <c r="A87" s="621"/>
      <c r="B87" s="622"/>
      <c r="C87" s="623"/>
      <c r="D87" s="623"/>
      <c r="E87" s="624"/>
      <c r="F87" s="625"/>
      <c r="G87" s="626"/>
      <c r="H87" s="627"/>
      <c r="I87" s="634" t="str">
        <f t="shared" si="3"/>
        <v/>
      </c>
    </row>
    <row r="88" spans="1:9" ht="20.100000000000001" customHeight="1">
      <c r="A88" s="621"/>
      <c r="B88" s="622"/>
      <c r="C88" s="623"/>
      <c r="D88" s="623"/>
      <c r="E88" s="624"/>
      <c r="F88" s="625"/>
      <c r="G88" s="626"/>
      <c r="H88" s="627"/>
      <c r="I88" s="634" t="str">
        <f t="shared" si="3"/>
        <v/>
      </c>
    </row>
    <row r="89" spans="1:9" ht="20.100000000000001" customHeight="1">
      <c r="A89" s="621"/>
      <c r="B89" s="622"/>
      <c r="C89" s="623"/>
      <c r="D89" s="623"/>
      <c r="E89" s="624"/>
      <c r="F89" s="625"/>
      <c r="G89" s="626"/>
      <c r="H89" s="627"/>
      <c r="I89" s="634" t="str">
        <f t="shared" si="3"/>
        <v/>
      </c>
    </row>
    <row r="90" spans="1:9" ht="20.100000000000001" customHeight="1">
      <c r="A90" s="621"/>
      <c r="B90" s="622"/>
      <c r="C90" s="623"/>
      <c r="D90" s="623"/>
      <c r="E90" s="624"/>
      <c r="F90" s="625"/>
      <c r="G90" s="626"/>
      <c r="H90" s="627"/>
      <c r="I90" s="634" t="str">
        <f t="shared" si="3"/>
        <v/>
      </c>
    </row>
    <row r="91" spans="1:9" ht="20.100000000000001" customHeight="1">
      <c r="A91" s="621"/>
      <c r="B91" s="622"/>
      <c r="C91" s="623"/>
      <c r="D91" s="623"/>
      <c r="E91" s="624"/>
      <c r="F91" s="625"/>
      <c r="G91" s="626"/>
      <c r="H91" s="627"/>
      <c r="I91" s="634" t="str">
        <f t="shared" si="3"/>
        <v/>
      </c>
    </row>
    <row r="92" spans="1:9" ht="20.100000000000001" customHeight="1">
      <c r="A92" s="621"/>
      <c r="B92" s="622"/>
      <c r="C92" s="623"/>
      <c r="D92" s="623"/>
      <c r="E92" s="624"/>
      <c r="F92" s="625"/>
      <c r="G92" s="626"/>
      <c r="H92" s="627"/>
      <c r="I92" s="634" t="str">
        <f t="shared" si="3"/>
        <v/>
      </c>
    </row>
    <row r="93" spans="1:9" ht="20.100000000000001" customHeight="1">
      <c r="A93" s="621"/>
      <c r="B93" s="622"/>
      <c r="C93" s="623"/>
      <c r="D93" s="623"/>
      <c r="E93" s="624"/>
      <c r="F93" s="625"/>
      <c r="G93" s="626"/>
      <c r="H93" s="627"/>
      <c r="I93" s="634" t="str">
        <f t="shared" si="3"/>
        <v/>
      </c>
    </row>
    <row r="94" spans="1:9" ht="20.100000000000001" customHeight="1">
      <c r="A94" s="621"/>
      <c r="B94" s="622"/>
      <c r="C94" s="623"/>
      <c r="D94" s="623"/>
      <c r="E94" s="624"/>
      <c r="F94" s="625"/>
      <c r="G94" s="626"/>
      <c r="H94" s="627"/>
      <c r="I94" s="634" t="str">
        <f t="shared" si="3"/>
        <v/>
      </c>
    </row>
    <row r="95" spans="1:9" ht="20.100000000000001" customHeight="1">
      <c r="A95" s="621"/>
      <c r="B95" s="622"/>
      <c r="C95" s="623"/>
      <c r="D95" s="623"/>
      <c r="E95" s="624"/>
      <c r="F95" s="625"/>
      <c r="G95" s="626"/>
      <c r="H95" s="627"/>
      <c r="I95" s="634" t="str">
        <f t="shared" si="3"/>
        <v/>
      </c>
    </row>
    <row r="96" spans="1:9" ht="20.100000000000001" customHeight="1">
      <c r="A96" s="621"/>
      <c r="B96" s="622"/>
      <c r="C96" s="623"/>
      <c r="D96" s="623"/>
      <c r="E96" s="624"/>
      <c r="F96" s="625"/>
      <c r="G96" s="626"/>
      <c r="H96" s="627"/>
      <c r="I96" s="634" t="str">
        <f t="shared" si="3"/>
        <v/>
      </c>
    </row>
    <row r="97" spans="1:9" ht="20.100000000000001" customHeight="1">
      <c r="A97" s="621"/>
      <c r="B97" s="622"/>
      <c r="C97" s="623"/>
      <c r="D97" s="623"/>
      <c r="E97" s="624"/>
      <c r="F97" s="625"/>
      <c r="G97" s="626"/>
      <c r="H97" s="627"/>
      <c r="I97" s="634" t="str">
        <f t="shared" si="3"/>
        <v/>
      </c>
    </row>
    <row r="98" spans="1:9" ht="20.100000000000001" customHeight="1">
      <c r="A98" s="621"/>
      <c r="B98" s="622"/>
      <c r="C98" s="623"/>
      <c r="D98" s="623"/>
      <c r="E98" s="624"/>
      <c r="F98" s="625"/>
      <c r="G98" s="650"/>
      <c r="H98" s="651"/>
      <c r="I98" s="653" t="str">
        <f t="shared" si="3"/>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sortState ref="A5:H98">
    <sortCondition ref="A5:A98"/>
  </sortState>
  <mergeCells count="4">
    <mergeCell ref="B100:D100"/>
    <mergeCell ref="A1:I1"/>
    <mergeCell ref="B3:D3"/>
    <mergeCell ref="B99:D99"/>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293</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32</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 t="shared" ref="I5:I68"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si="0"/>
        <v/>
      </c>
    </row>
    <row r="38" spans="1:9" ht="20.100000000000001" customHeight="1">
      <c r="A38" s="621"/>
      <c r="B38" s="622"/>
      <c r="C38" s="623"/>
      <c r="D38" s="623"/>
      <c r="E38" s="624"/>
      <c r="F38" s="625"/>
      <c r="G38" s="626"/>
      <c r="H38" s="627"/>
      <c r="I38" s="634" t="str">
        <f t="shared" si="0"/>
        <v/>
      </c>
    </row>
    <row r="39" spans="1:9" ht="20.100000000000001" customHeight="1">
      <c r="A39" s="621"/>
      <c r="B39" s="622"/>
      <c r="C39" s="623"/>
      <c r="D39" s="623"/>
      <c r="E39" s="624"/>
      <c r="F39" s="625"/>
      <c r="G39" s="626"/>
      <c r="H39" s="627"/>
      <c r="I39" s="634" t="str">
        <f t="shared" si="0"/>
        <v/>
      </c>
    </row>
    <row r="40" spans="1:9" ht="20.100000000000001" customHeight="1">
      <c r="A40" s="621"/>
      <c r="B40" s="622"/>
      <c r="C40" s="623"/>
      <c r="D40" s="623"/>
      <c r="E40" s="624"/>
      <c r="F40" s="625"/>
      <c r="G40" s="626"/>
      <c r="H40" s="627"/>
      <c r="I40" s="634" t="str">
        <f t="shared" si="0"/>
        <v/>
      </c>
    </row>
    <row r="41" spans="1:9" ht="20.100000000000001" customHeight="1">
      <c r="A41" s="621"/>
      <c r="B41" s="622"/>
      <c r="C41" s="623"/>
      <c r="D41" s="623"/>
      <c r="E41" s="624"/>
      <c r="F41" s="625"/>
      <c r="G41" s="626"/>
      <c r="H41" s="627"/>
      <c r="I41" s="634" t="str">
        <f t="shared" si="0"/>
        <v/>
      </c>
    </row>
    <row r="42" spans="1:9" ht="20.100000000000001" customHeight="1">
      <c r="A42" s="621"/>
      <c r="B42" s="622"/>
      <c r="C42" s="623"/>
      <c r="D42" s="623"/>
      <c r="E42" s="624"/>
      <c r="F42" s="625"/>
      <c r="G42" s="626"/>
      <c r="H42" s="627"/>
      <c r="I42" s="634" t="str">
        <f t="shared" si="0"/>
        <v/>
      </c>
    </row>
    <row r="43" spans="1:9" ht="20.100000000000001" customHeight="1">
      <c r="A43" s="621"/>
      <c r="B43" s="622"/>
      <c r="C43" s="623"/>
      <c r="D43" s="623"/>
      <c r="E43" s="624"/>
      <c r="F43" s="625"/>
      <c r="G43" s="626"/>
      <c r="H43" s="627"/>
      <c r="I43" s="634" t="str">
        <f t="shared" si="0"/>
        <v/>
      </c>
    </row>
    <row r="44" spans="1:9" ht="20.100000000000001" customHeight="1">
      <c r="A44" s="621"/>
      <c r="B44" s="622"/>
      <c r="C44" s="623"/>
      <c r="D44" s="623"/>
      <c r="E44" s="624"/>
      <c r="F44" s="625"/>
      <c r="G44" s="626"/>
      <c r="H44" s="627"/>
      <c r="I44" s="634" t="str">
        <f t="shared" si="0"/>
        <v/>
      </c>
    </row>
    <row r="45" spans="1:9" ht="20.100000000000001" customHeight="1">
      <c r="A45" s="621"/>
      <c r="B45" s="622"/>
      <c r="C45" s="623"/>
      <c r="D45" s="623"/>
      <c r="E45" s="624"/>
      <c r="F45" s="625"/>
      <c r="G45" s="626"/>
      <c r="H45" s="627"/>
      <c r="I45" s="634" t="str">
        <f t="shared" si="0"/>
        <v/>
      </c>
    </row>
    <row r="46" spans="1:9" ht="20.100000000000001" customHeight="1">
      <c r="A46" s="621"/>
      <c r="B46" s="622"/>
      <c r="C46" s="623"/>
      <c r="D46" s="623"/>
      <c r="E46" s="624"/>
      <c r="F46" s="625"/>
      <c r="G46" s="626"/>
      <c r="H46" s="627"/>
      <c r="I46" s="634" t="str">
        <f t="shared" si="0"/>
        <v/>
      </c>
    </row>
    <row r="47" spans="1:9" ht="20.100000000000001" customHeight="1">
      <c r="A47" s="621"/>
      <c r="B47" s="622"/>
      <c r="C47" s="623"/>
      <c r="D47" s="623"/>
      <c r="E47" s="624"/>
      <c r="F47" s="625"/>
      <c r="G47" s="626"/>
      <c r="H47" s="627"/>
      <c r="I47" s="634" t="str">
        <f t="shared" si="0"/>
        <v/>
      </c>
    </row>
    <row r="48" spans="1:9" ht="20.100000000000001" customHeight="1">
      <c r="A48" s="621"/>
      <c r="B48" s="622"/>
      <c r="C48" s="623"/>
      <c r="D48" s="623"/>
      <c r="E48" s="624"/>
      <c r="F48" s="625"/>
      <c r="G48" s="626"/>
      <c r="H48" s="627"/>
      <c r="I48" s="634" t="str">
        <f t="shared" si="0"/>
        <v/>
      </c>
    </row>
    <row r="49" spans="1:9" ht="20.100000000000001" customHeight="1">
      <c r="A49" s="621"/>
      <c r="B49" s="622"/>
      <c r="C49" s="623"/>
      <c r="D49" s="623"/>
      <c r="E49" s="624"/>
      <c r="F49" s="625"/>
      <c r="G49" s="626"/>
      <c r="H49" s="627"/>
      <c r="I49" s="634" t="str">
        <f t="shared" si="0"/>
        <v/>
      </c>
    </row>
    <row r="50" spans="1:9" ht="20.100000000000001" customHeight="1">
      <c r="A50" s="621"/>
      <c r="B50" s="622"/>
      <c r="C50" s="623"/>
      <c r="D50" s="623"/>
      <c r="E50" s="624"/>
      <c r="F50" s="625"/>
      <c r="G50" s="626"/>
      <c r="H50" s="627"/>
      <c r="I50" s="634" t="str">
        <f t="shared" si="0"/>
        <v/>
      </c>
    </row>
    <row r="51" spans="1:9" ht="20.100000000000001" customHeight="1">
      <c r="A51" s="621"/>
      <c r="B51" s="622"/>
      <c r="C51" s="623"/>
      <c r="D51" s="623"/>
      <c r="E51" s="624"/>
      <c r="F51" s="625"/>
      <c r="G51" s="626"/>
      <c r="H51" s="627"/>
      <c r="I51" s="634" t="str">
        <f t="shared" si="0"/>
        <v/>
      </c>
    </row>
    <row r="52" spans="1:9" ht="20.100000000000001" customHeight="1">
      <c r="A52" s="621"/>
      <c r="B52" s="622"/>
      <c r="C52" s="623"/>
      <c r="D52" s="623"/>
      <c r="E52" s="624"/>
      <c r="F52" s="625"/>
      <c r="G52" s="626"/>
      <c r="H52" s="627"/>
      <c r="I52" s="634" t="str">
        <f t="shared" si="0"/>
        <v/>
      </c>
    </row>
    <row r="53" spans="1:9" ht="20.100000000000001" customHeight="1">
      <c r="A53" s="621"/>
      <c r="B53" s="622"/>
      <c r="C53" s="623"/>
      <c r="D53" s="623"/>
      <c r="E53" s="624"/>
      <c r="F53" s="625"/>
      <c r="G53" s="626"/>
      <c r="H53" s="627"/>
      <c r="I53" s="634" t="str">
        <f t="shared" si="0"/>
        <v/>
      </c>
    </row>
    <row r="54" spans="1:9" ht="20.100000000000001" customHeight="1">
      <c r="A54" s="621"/>
      <c r="B54" s="622"/>
      <c r="C54" s="623"/>
      <c r="D54" s="623"/>
      <c r="E54" s="624"/>
      <c r="F54" s="625"/>
      <c r="G54" s="626"/>
      <c r="H54" s="627"/>
      <c r="I54" s="634" t="str">
        <f t="shared" si="0"/>
        <v/>
      </c>
    </row>
    <row r="55" spans="1:9" ht="20.100000000000001" customHeight="1">
      <c r="A55" s="621"/>
      <c r="B55" s="622"/>
      <c r="C55" s="623"/>
      <c r="D55" s="623"/>
      <c r="E55" s="624"/>
      <c r="F55" s="625"/>
      <c r="G55" s="626"/>
      <c r="H55" s="627"/>
      <c r="I55" s="634" t="str">
        <f t="shared" si="0"/>
        <v/>
      </c>
    </row>
    <row r="56" spans="1:9" ht="20.100000000000001" customHeight="1">
      <c r="A56" s="621"/>
      <c r="B56" s="622"/>
      <c r="C56" s="623"/>
      <c r="D56" s="623"/>
      <c r="E56" s="624"/>
      <c r="F56" s="625"/>
      <c r="G56" s="626"/>
      <c r="H56" s="627"/>
      <c r="I56" s="634" t="str">
        <f t="shared" si="0"/>
        <v/>
      </c>
    </row>
    <row r="57" spans="1:9" ht="20.100000000000001" customHeight="1">
      <c r="A57" s="621"/>
      <c r="B57" s="622"/>
      <c r="C57" s="623"/>
      <c r="D57" s="623"/>
      <c r="E57" s="624"/>
      <c r="F57" s="625"/>
      <c r="G57" s="626"/>
      <c r="H57" s="627"/>
      <c r="I57" s="634" t="str">
        <f t="shared" si="0"/>
        <v/>
      </c>
    </row>
    <row r="58" spans="1:9" ht="20.100000000000001" customHeight="1">
      <c r="A58" s="621"/>
      <c r="B58" s="622"/>
      <c r="C58" s="623"/>
      <c r="D58" s="623"/>
      <c r="E58" s="624"/>
      <c r="F58" s="625"/>
      <c r="G58" s="626"/>
      <c r="H58" s="627"/>
      <c r="I58" s="634" t="str">
        <f t="shared" si="0"/>
        <v/>
      </c>
    </row>
    <row r="59" spans="1:9" ht="20.100000000000001" customHeight="1">
      <c r="A59" s="621"/>
      <c r="B59" s="622"/>
      <c r="C59" s="623"/>
      <c r="D59" s="623"/>
      <c r="E59" s="624"/>
      <c r="F59" s="625"/>
      <c r="G59" s="626"/>
      <c r="H59" s="627"/>
      <c r="I59" s="634" t="str">
        <f t="shared" si="0"/>
        <v/>
      </c>
    </row>
    <row r="60" spans="1:9" ht="20.100000000000001" customHeight="1">
      <c r="A60" s="621"/>
      <c r="B60" s="622"/>
      <c r="C60" s="623"/>
      <c r="D60" s="623"/>
      <c r="E60" s="624"/>
      <c r="F60" s="625"/>
      <c r="G60" s="626"/>
      <c r="H60" s="627"/>
      <c r="I60" s="634" t="str">
        <f t="shared" si="0"/>
        <v/>
      </c>
    </row>
    <row r="61" spans="1:9" ht="20.100000000000001" customHeight="1">
      <c r="A61" s="621"/>
      <c r="B61" s="622"/>
      <c r="C61" s="623"/>
      <c r="D61" s="623"/>
      <c r="E61" s="624"/>
      <c r="F61" s="625"/>
      <c r="G61" s="626"/>
      <c r="H61" s="627"/>
      <c r="I61" s="634" t="str">
        <f t="shared" si="0"/>
        <v/>
      </c>
    </row>
    <row r="62" spans="1:9" ht="20.100000000000001" customHeight="1">
      <c r="A62" s="621"/>
      <c r="B62" s="622"/>
      <c r="C62" s="623"/>
      <c r="D62" s="623"/>
      <c r="E62" s="624"/>
      <c r="F62" s="625"/>
      <c r="G62" s="626"/>
      <c r="H62" s="627"/>
      <c r="I62" s="634" t="str">
        <f t="shared" si="0"/>
        <v/>
      </c>
    </row>
    <row r="63" spans="1:9" ht="20.100000000000001" customHeight="1">
      <c r="A63" s="621"/>
      <c r="B63" s="622"/>
      <c r="C63" s="623"/>
      <c r="D63" s="623"/>
      <c r="E63" s="624"/>
      <c r="F63" s="625"/>
      <c r="G63" s="626"/>
      <c r="H63" s="627"/>
      <c r="I63" s="634" t="str">
        <f t="shared" si="0"/>
        <v/>
      </c>
    </row>
    <row r="64" spans="1:9" ht="20.100000000000001" customHeight="1">
      <c r="A64" s="621"/>
      <c r="B64" s="622"/>
      <c r="C64" s="623"/>
      <c r="D64" s="623"/>
      <c r="E64" s="624"/>
      <c r="F64" s="625"/>
      <c r="G64" s="626"/>
      <c r="H64" s="627"/>
      <c r="I64" s="634" t="str">
        <f t="shared" si="0"/>
        <v/>
      </c>
    </row>
    <row r="65" spans="1:9" ht="20.100000000000001" customHeight="1">
      <c r="A65" s="621"/>
      <c r="B65" s="622"/>
      <c r="C65" s="623"/>
      <c r="D65" s="623"/>
      <c r="E65" s="624"/>
      <c r="F65" s="625"/>
      <c r="G65" s="626"/>
      <c r="H65" s="627"/>
      <c r="I65" s="634" t="str">
        <f t="shared" si="0"/>
        <v/>
      </c>
    </row>
    <row r="66" spans="1:9" ht="20.100000000000001" customHeight="1">
      <c r="A66" s="621"/>
      <c r="B66" s="622"/>
      <c r="C66" s="623"/>
      <c r="D66" s="623"/>
      <c r="E66" s="624"/>
      <c r="F66" s="625"/>
      <c r="G66" s="626"/>
      <c r="H66" s="627"/>
      <c r="I66" s="634" t="str">
        <f t="shared" si="0"/>
        <v/>
      </c>
    </row>
    <row r="67" spans="1:9" ht="20.100000000000001" customHeight="1">
      <c r="A67" s="621"/>
      <c r="B67" s="622"/>
      <c r="C67" s="623"/>
      <c r="D67" s="623"/>
      <c r="E67" s="624"/>
      <c r="F67" s="625"/>
      <c r="G67" s="626"/>
      <c r="H67" s="627"/>
      <c r="I67" s="634" t="str">
        <f t="shared" si="0"/>
        <v/>
      </c>
    </row>
    <row r="68" spans="1:9" ht="20.100000000000001" customHeight="1">
      <c r="A68" s="621"/>
      <c r="B68" s="622"/>
      <c r="C68" s="623"/>
      <c r="D68" s="623"/>
      <c r="E68" s="624"/>
      <c r="F68" s="625"/>
      <c r="G68" s="626"/>
      <c r="H68" s="627"/>
      <c r="I68" s="634" t="str">
        <f t="shared" si="0"/>
        <v/>
      </c>
    </row>
    <row r="69" spans="1:9" ht="20.100000000000001" customHeight="1">
      <c r="A69" s="621"/>
      <c r="B69" s="622"/>
      <c r="C69" s="623"/>
      <c r="D69" s="623"/>
      <c r="E69" s="624"/>
      <c r="F69" s="625"/>
      <c r="G69" s="626"/>
      <c r="H69" s="627"/>
      <c r="I69" s="634" t="str">
        <f t="shared" ref="I69:I98" si="1">IF(OR(G69&lt;&gt;"",H69&lt;&gt;""),I68+G69-H69,"")</f>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si="1"/>
        <v/>
      </c>
    </row>
    <row r="75" spans="1:9" ht="20.100000000000001" customHeight="1">
      <c r="A75" s="621"/>
      <c r="B75" s="622"/>
      <c r="C75" s="623"/>
      <c r="D75" s="623"/>
      <c r="E75" s="624"/>
      <c r="F75" s="625"/>
      <c r="G75" s="626"/>
      <c r="H75" s="627"/>
      <c r="I75" s="634" t="str">
        <f t="shared" si="1"/>
        <v/>
      </c>
    </row>
    <row r="76" spans="1:9" ht="20.100000000000001" customHeight="1">
      <c r="A76" s="621"/>
      <c r="B76" s="622"/>
      <c r="C76" s="623"/>
      <c r="D76" s="623"/>
      <c r="E76" s="624"/>
      <c r="F76" s="625"/>
      <c r="G76" s="626"/>
      <c r="H76" s="627"/>
      <c r="I76" s="634" t="str">
        <f t="shared" si="1"/>
        <v/>
      </c>
    </row>
    <row r="77" spans="1:9" ht="20.100000000000001" customHeight="1">
      <c r="A77" s="621"/>
      <c r="B77" s="622"/>
      <c r="C77" s="623"/>
      <c r="D77" s="623"/>
      <c r="E77" s="624"/>
      <c r="F77" s="625"/>
      <c r="G77" s="626"/>
      <c r="H77" s="627"/>
      <c r="I77" s="634" t="str">
        <f t="shared" si="1"/>
        <v/>
      </c>
    </row>
    <row r="78" spans="1:9" ht="20.100000000000001" customHeight="1">
      <c r="A78" s="621"/>
      <c r="B78" s="622"/>
      <c r="C78" s="623"/>
      <c r="D78" s="623"/>
      <c r="E78" s="624"/>
      <c r="F78" s="625"/>
      <c r="G78" s="626"/>
      <c r="H78" s="627"/>
      <c r="I78" s="634" t="str">
        <f t="shared" si="1"/>
        <v/>
      </c>
    </row>
    <row r="79" spans="1:9" ht="20.100000000000001" customHeight="1">
      <c r="A79" s="621"/>
      <c r="B79" s="622"/>
      <c r="C79" s="623"/>
      <c r="D79" s="623"/>
      <c r="E79" s="624"/>
      <c r="F79" s="625"/>
      <c r="G79" s="626"/>
      <c r="H79" s="627"/>
      <c r="I79" s="634" t="str">
        <f t="shared" si="1"/>
        <v/>
      </c>
    </row>
    <row r="80" spans="1:9" ht="20.100000000000001" customHeight="1">
      <c r="A80" s="621"/>
      <c r="B80" s="622"/>
      <c r="C80" s="623"/>
      <c r="D80" s="623"/>
      <c r="E80" s="624"/>
      <c r="F80" s="625"/>
      <c r="G80" s="626"/>
      <c r="H80" s="627"/>
      <c r="I80" s="634" t="str">
        <f t="shared" si="1"/>
        <v/>
      </c>
    </row>
    <row r="81" spans="1:9" ht="20.100000000000001" customHeight="1">
      <c r="A81" s="621"/>
      <c r="B81" s="622"/>
      <c r="C81" s="623"/>
      <c r="D81" s="623"/>
      <c r="E81" s="624"/>
      <c r="F81" s="625"/>
      <c r="G81" s="626"/>
      <c r="H81" s="627"/>
      <c r="I81" s="634" t="str">
        <f t="shared" si="1"/>
        <v/>
      </c>
    </row>
    <row r="82" spans="1:9" ht="20.100000000000001" customHeight="1">
      <c r="A82" s="621"/>
      <c r="B82" s="622"/>
      <c r="C82" s="623"/>
      <c r="D82" s="623"/>
      <c r="E82" s="624"/>
      <c r="F82" s="625"/>
      <c r="G82" s="626"/>
      <c r="H82" s="627"/>
      <c r="I82" s="634" t="str">
        <f t="shared" si="1"/>
        <v/>
      </c>
    </row>
    <row r="83" spans="1:9" ht="20.100000000000001" customHeight="1">
      <c r="A83" s="621"/>
      <c r="B83" s="622"/>
      <c r="C83" s="623"/>
      <c r="D83" s="623"/>
      <c r="E83" s="624"/>
      <c r="F83" s="625"/>
      <c r="G83" s="626"/>
      <c r="H83" s="627"/>
      <c r="I83" s="634" t="str">
        <f t="shared" si="1"/>
        <v/>
      </c>
    </row>
    <row r="84" spans="1:9" ht="20.100000000000001" customHeight="1">
      <c r="A84" s="621"/>
      <c r="B84" s="622"/>
      <c r="C84" s="623"/>
      <c r="D84" s="623"/>
      <c r="E84" s="624"/>
      <c r="F84" s="625"/>
      <c r="G84" s="626"/>
      <c r="H84" s="627"/>
      <c r="I84" s="634" t="str">
        <f t="shared" si="1"/>
        <v/>
      </c>
    </row>
    <row r="85" spans="1:9" ht="20.100000000000001" customHeight="1">
      <c r="A85" s="621"/>
      <c r="B85" s="622"/>
      <c r="C85" s="623"/>
      <c r="D85" s="623"/>
      <c r="E85" s="624"/>
      <c r="F85" s="625"/>
      <c r="G85" s="626"/>
      <c r="H85" s="627"/>
      <c r="I85" s="634" t="str">
        <f t="shared" si="1"/>
        <v/>
      </c>
    </row>
    <row r="86" spans="1:9" ht="20.100000000000001" customHeight="1">
      <c r="A86" s="621"/>
      <c r="B86" s="622"/>
      <c r="C86" s="623"/>
      <c r="D86" s="623"/>
      <c r="E86" s="624"/>
      <c r="F86" s="625"/>
      <c r="G86" s="626"/>
      <c r="H86" s="627"/>
      <c r="I86" s="634" t="str">
        <f t="shared" si="1"/>
        <v/>
      </c>
    </row>
    <row r="87" spans="1:9" ht="20.100000000000001" customHeight="1">
      <c r="A87" s="621"/>
      <c r="B87" s="622"/>
      <c r="C87" s="623"/>
      <c r="D87" s="623"/>
      <c r="E87" s="624"/>
      <c r="F87" s="625"/>
      <c r="G87" s="626"/>
      <c r="H87" s="627"/>
      <c r="I87" s="634" t="str">
        <f t="shared" si="1"/>
        <v/>
      </c>
    </row>
    <row r="88" spans="1:9" ht="20.100000000000001" customHeight="1">
      <c r="A88" s="621"/>
      <c r="B88" s="622"/>
      <c r="C88" s="623"/>
      <c r="D88" s="623"/>
      <c r="E88" s="624"/>
      <c r="F88" s="625"/>
      <c r="G88" s="626"/>
      <c r="H88" s="627"/>
      <c r="I88" s="634" t="str">
        <f t="shared" si="1"/>
        <v/>
      </c>
    </row>
    <row r="89" spans="1:9" ht="20.100000000000001" customHeight="1">
      <c r="A89" s="621"/>
      <c r="B89" s="622"/>
      <c r="C89" s="623"/>
      <c r="D89" s="623"/>
      <c r="E89" s="624"/>
      <c r="F89" s="625"/>
      <c r="G89" s="626"/>
      <c r="H89" s="627"/>
      <c r="I89" s="634" t="str">
        <f t="shared" si="1"/>
        <v/>
      </c>
    </row>
    <row r="90" spans="1:9" ht="20.100000000000001" customHeight="1">
      <c r="A90" s="621"/>
      <c r="B90" s="622"/>
      <c r="C90" s="623"/>
      <c r="D90" s="623"/>
      <c r="E90" s="624"/>
      <c r="F90" s="625"/>
      <c r="G90" s="626"/>
      <c r="H90" s="627"/>
      <c r="I90" s="634" t="str">
        <f t="shared" si="1"/>
        <v/>
      </c>
    </row>
    <row r="91" spans="1:9" ht="20.100000000000001" customHeight="1">
      <c r="A91" s="621"/>
      <c r="B91" s="622"/>
      <c r="C91" s="623"/>
      <c r="D91" s="623"/>
      <c r="E91" s="624"/>
      <c r="F91" s="625"/>
      <c r="G91" s="626"/>
      <c r="H91" s="627"/>
      <c r="I91" s="634" t="str">
        <f t="shared" si="1"/>
        <v/>
      </c>
    </row>
    <row r="92" spans="1:9" ht="20.100000000000001" customHeight="1">
      <c r="A92" s="621"/>
      <c r="B92" s="622"/>
      <c r="C92" s="623"/>
      <c r="D92" s="623"/>
      <c r="E92" s="624"/>
      <c r="F92" s="625"/>
      <c r="G92" s="626"/>
      <c r="H92" s="627"/>
      <c r="I92" s="634" t="str">
        <f t="shared" si="1"/>
        <v/>
      </c>
    </row>
    <row r="93" spans="1:9" ht="20.100000000000001" customHeight="1">
      <c r="A93" s="621"/>
      <c r="B93" s="622"/>
      <c r="C93" s="623"/>
      <c r="D93" s="623"/>
      <c r="E93" s="624"/>
      <c r="F93" s="625"/>
      <c r="G93" s="626"/>
      <c r="H93" s="627"/>
      <c r="I93" s="634" t="str">
        <f t="shared" si="1"/>
        <v/>
      </c>
    </row>
    <row r="94" spans="1:9" ht="20.100000000000001" customHeight="1">
      <c r="A94" s="621"/>
      <c r="B94" s="622"/>
      <c r="C94" s="623"/>
      <c r="D94" s="623"/>
      <c r="E94" s="624"/>
      <c r="F94" s="625"/>
      <c r="G94" s="626"/>
      <c r="H94" s="627"/>
      <c r="I94" s="634" t="str">
        <f t="shared" si="1"/>
        <v/>
      </c>
    </row>
    <row r="95" spans="1:9" ht="20.100000000000001" customHeight="1">
      <c r="A95" s="621"/>
      <c r="B95" s="622"/>
      <c r="C95" s="623"/>
      <c r="D95" s="623"/>
      <c r="E95" s="624"/>
      <c r="F95" s="625"/>
      <c r="G95" s="626"/>
      <c r="H95" s="627"/>
      <c r="I95" s="634" t="str">
        <f t="shared" si="1"/>
        <v/>
      </c>
    </row>
    <row r="96" spans="1:9" ht="20.100000000000001" customHeight="1">
      <c r="A96" s="621"/>
      <c r="B96" s="622"/>
      <c r="C96" s="623"/>
      <c r="D96" s="623"/>
      <c r="E96" s="624"/>
      <c r="F96" s="625"/>
      <c r="G96" s="626"/>
      <c r="H96" s="627"/>
      <c r="I96" s="634" t="str">
        <f t="shared" si="1"/>
        <v/>
      </c>
    </row>
    <row r="97" spans="1:9" ht="20.100000000000001" customHeight="1">
      <c r="A97" s="621"/>
      <c r="B97" s="622"/>
      <c r="C97" s="623"/>
      <c r="D97" s="623"/>
      <c r="E97" s="624"/>
      <c r="F97" s="625"/>
      <c r="G97" s="626"/>
      <c r="H97" s="627"/>
      <c r="I97" s="634" t="str">
        <f t="shared" si="1"/>
        <v/>
      </c>
    </row>
    <row r="98" spans="1:9" ht="20.100000000000001" customHeight="1">
      <c r="A98" s="621"/>
      <c r="B98" s="622"/>
      <c r="C98" s="623"/>
      <c r="D98" s="623"/>
      <c r="E98" s="624"/>
      <c r="F98" s="625"/>
      <c r="G98" s="650"/>
      <c r="H98" s="651"/>
      <c r="I98" s="653" t="str">
        <f t="shared" si="1"/>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mergeCells count="4">
    <mergeCell ref="A1:I1"/>
    <mergeCell ref="B3:D3"/>
    <mergeCell ref="B99:D99"/>
    <mergeCell ref="B100:D100"/>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292</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33</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 t="shared" ref="I5:I68"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si="0"/>
        <v/>
      </c>
    </row>
    <row r="38" spans="1:9" ht="20.100000000000001" customHeight="1">
      <c r="A38" s="621"/>
      <c r="B38" s="622"/>
      <c r="C38" s="623"/>
      <c r="D38" s="623"/>
      <c r="E38" s="624"/>
      <c r="F38" s="625"/>
      <c r="G38" s="626"/>
      <c r="H38" s="627"/>
      <c r="I38" s="634" t="str">
        <f t="shared" si="0"/>
        <v/>
      </c>
    </row>
    <row r="39" spans="1:9" ht="20.100000000000001" customHeight="1">
      <c r="A39" s="621"/>
      <c r="B39" s="622"/>
      <c r="C39" s="623"/>
      <c r="D39" s="623"/>
      <c r="E39" s="624"/>
      <c r="F39" s="625"/>
      <c r="G39" s="626"/>
      <c r="H39" s="627"/>
      <c r="I39" s="634" t="str">
        <f t="shared" si="0"/>
        <v/>
      </c>
    </row>
    <row r="40" spans="1:9" ht="20.100000000000001" customHeight="1">
      <c r="A40" s="621"/>
      <c r="B40" s="622"/>
      <c r="C40" s="623"/>
      <c r="D40" s="623"/>
      <c r="E40" s="624"/>
      <c r="F40" s="625"/>
      <c r="G40" s="626"/>
      <c r="H40" s="627"/>
      <c r="I40" s="634" t="str">
        <f t="shared" si="0"/>
        <v/>
      </c>
    </row>
    <row r="41" spans="1:9" ht="20.100000000000001" customHeight="1">
      <c r="A41" s="621"/>
      <c r="B41" s="622"/>
      <c r="C41" s="623"/>
      <c r="D41" s="623"/>
      <c r="E41" s="624"/>
      <c r="F41" s="625"/>
      <c r="G41" s="626"/>
      <c r="H41" s="627"/>
      <c r="I41" s="634" t="str">
        <f t="shared" si="0"/>
        <v/>
      </c>
    </row>
    <row r="42" spans="1:9" ht="20.100000000000001" customHeight="1">
      <c r="A42" s="621"/>
      <c r="B42" s="622"/>
      <c r="C42" s="623"/>
      <c r="D42" s="623"/>
      <c r="E42" s="624"/>
      <c r="F42" s="625"/>
      <c r="G42" s="626"/>
      <c r="H42" s="627"/>
      <c r="I42" s="634" t="str">
        <f t="shared" si="0"/>
        <v/>
      </c>
    </row>
    <row r="43" spans="1:9" ht="20.100000000000001" customHeight="1">
      <c r="A43" s="621"/>
      <c r="B43" s="622"/>
      <c r="C43" s="623"/>
      <c r="D43" s="623"/>
      <c r="E43" s="624"/>
      <c r="F43" s="625"/>
      <c r="G43" s="626"/>
      <c r="H43" s="627"/>
      <c r="I43" s="634" t="str">
        <f t="shared" si="0"/>
        <v/>
      </c>
    </row>
    <row r="44" spans="1:9" ht="20.100000000000001" customHeight="1">
      <c r="A44" s="621"/>
      <c r="B44" s="622"/>
      <c r="C44" s="623"/>
      <c r="D44" s="623"/>
      <c r="E44" s="624"/>
      <c r="F44" s="625"/>
      <c r="G44" s="626"/>
      <c r="H44" s="627"/>
      <c r="I44" s="634" t="str">
        <f t="shared" si="0"/>
        <v/>
      </c>
    </row>
    <row r="45" spans="1:9" ht="20.100000000000001" customHeight="1">
      <c r="A45" s="621"/>
      <c r="B45" s="622"/>
      <c r="C45" s="623"/>
      <c r="D45" s="623"/>
      <c r="E45" s="624"/>
      <c r="F45" s="625"/>
      <c r="G45" s="626"/>
      <c r="H45" s="627"/>
      <c r="I45" s="634" t="str">
        <f t="shared" si="0"/>
        <v/>
      </c>
    </row>
    <row r="46" spans="1:9" ht="20.100000000000001" customHeight="1">
      <c r="A46" s="621"/>
      <c r="B46" s="622"/>
      <c r="C46" s="623"/>
      <c r="D46" s="623"/>
      <c r="E46" s="624"/>
      <c r="F46" s="625"/>
      <c r="G46" s="626"/>
      <c r="H46" s="627"/>
      <c r="I46" s="634" t="str">
        <f t="shared" si="0"/>
        <v/>
      </c>
    </row>
    <row r="47" spans="1:9" ht="20.100000000000001" customHeight="1">
      <c r="A47" s="621"/>
      <c r="B47" s="622"/>
      <c r="C47" s="623"/>
      <c r="D47" s="623"/>
      <c r="E47" s="624"/>
      <c r="F47" s="625"/>
      <c r="G47" s="626"/>
      <c r="H47" s="627"/>
      <c r="I47" s="634" t="str">
        <f t="shared" si="0"/>
        <v/>
      </c>
    </row>
    <row r="48" spans="1:9" ht="20.100000000000001" customHeight="1">
      <c r="A48" s="621"/>
      <c r="B48" s="622"/>
      <c r="C48" s="623"/>
      <c r="D48" s="623"/>
      <c r="E48" s="624"/>
      <c r="F48" s="625"/>
      <c r="G48" s="626"/>
      <c r="H48" s="627"/>
      <c r="I48" s="634" t="str">
        <f t="shared" si="0"/>
        <v/>
      </c>
    </row>
    <row r="49" spans="1:9" ht="20.100000000000001" customHeight="1">
      <c r="A49" s="621"/>
      <c r="B49" s="622"/>
      <c r="C49" s="623"/>
      <c r="D49" s="623"/>
      <c r="E49" s="624"/>
      <c r="F49" s="625"/>
      <c r="G49" s="626"/>
      <c r="H49" s="627"/>
      <c r="I49" s="634" t="str">
        <f t="shared" si="0"/>
        <v/>
      </c>
    </row>
    <row r="50" spans="1:9" ht="20.100000000000001" customHeight="1">
      <c r="A50" s="621"/>
      <c r="B50" s="622"/>
      <c r="C50" s="623"/>
      <c r="D50" s="623"/>
      <c r="E50" s="624"/>
      <c r="F50" s="625"/>
      <c r="G50" s="626"/>
      <c r="H50" s="627"/>
      <c r="I50" s="634" t="str">
        <f t="shared" si="0"/>
        <v/>
      </c>
    </row>
    <row r="51" spans="1:9" ht="20.100000000000001" customHeight="1">
      <c r="A51" s="621"/>
      <c r="B51" s="622"/>
      <c r="C51" s="623"/>
      <c r="D51" s="623"/>
      <c r="E51" s="624"/>
      <c r="F51" s="625"/>
      <c r="G51" s="626"/>
      <c r="H51" s="627"/>
      <c r="I51" s="634" t="str">
        <f t="shared" si="0"/>
        <v/>
      </c>
    </row>
    <row r="52" spans="1:9" ht="20.100000000000001" customHeight="1">
      <c r="A52" s="621"/>
      <c r="B52" s="622"/>
      <c r="C52" s="623"/>
      <c r="D52" s="623"/>
      <c r="E52" s="624"/>
      <c r="F52" s="625"/>
      <c r="G52" s="626"/>
      <c r="H52" s="627"/>
      <c r="I52" s="634" t="str">
        <f t="shared" si="0"/>
        <v/>
      </c>
    </row>
    <row r="53" spans="1:9" ht="20.100000000000001" customHeight="1">
      <c r="A53" s="621"/>
      <c r="B53" s="622"/>
      <c r="C53" s="623"/>
      <c r="D53" s="623"/>
      <c r="E53" s="624"/>
      <c r="F53" s="625"/>
      <c r="G53" s="626"/>
      <c r="H53" s="627"/>
      <c r="I53" s="634" t="str">
        <f t="shared" si="0"/>
        <v/>
      </c>
    </row>
    <row r="54" spans="1:9" ht="20.100000000000001" customHeight="1">
      <c r="A54" s="621"/>
      <c r="B54" s="622"/>
      <c r="C54" s="623"/>
      <c r="D54" s="623"/>
      <c r="E54" s="624"/>
      <c r="F54" s="625"/>
      <c r="G54" s="626"/>
      <c r="H54" s="627"/>
      <c r="I54" s="634" t="str">
        <f t="shared" si="0"/>
        <v/>
      </c>
    </row>
    <row r="55" spans="1:9" ht="20.100000000000001" customHeight="1">
      <c r="A55" s="621"/>
      <c r="B55" s="622"/>
      <c r="C55" s="623"/>
      <c r="D55" s="623"/>
      <c r="E55" s="624"/>
      <c r="F55" s="625"/>
      <c r="G55" s="626"/>
      <c r="H55" s="627"/>
      <c r="I55" s="634" t="str">
        <f t="shared" si="0"/>
        <v/>
      </c>
    </row>
    <row r="56" spans="1:9" ht="20.100000000000001" customHeight="1">
      <c r="A56" s="621"/>
      <c r="B56" s="622"/>
      <c r="C56" s="623"/>
      <c r="D56" s="623"/>
      <c r="E56" s="624"/>
      <c r="F56" s="625"/>
      <c r="G56" s="626"/>
      <c r="H56" s="627"/>
      <c r="I56" s="634" t="str">
        <f t="shared" si="0"/>
        <v/>
      </c>
    </row>
    <row r="57" spans="1:9" ht="20.100000000000001" customHeight="1">
      <c r="A57" s="621"/>
      <c r="B57" s="622"/>
      <c r="C57" s="623"/>
      <c r="D57" s="623"/>
      <c r="E57" s="624"/>
      <c r="F57" s="625"/>
      <c r="G57" s="626"/>
      <c r="H57" s="627"/>
      <c r="I57" s="634" t="str">
        <f t="shared" si="0"/>
        <v/>
      </c>
    </row>
    <row r="58" spans="1:9" ht="20.100000000000001" customHeight="1">
      <c r="A58" s="621"/>
      <c r="B58" s="622"/>
      <c r="C58" s="623"/>
      <c r="D58" s="623"/>
      <c r="E58" s="624"/>
      <c r="F58" s="625"/>
      <c r="G58" s="626"/>
      <c r="H58" s="627"/>
      <c r="I58" s="634" t="str">
        <f t="shared" si="0"/>
        <v/>
      </c>
    </row>
    <row r="59" spans="1:9" ht="20.100000000000001" customHeight="1">
      <c r="A59" s="621"/>
      <c r="B59" s="622"/>
      <c r="C59" s="623"/>
      <c r="D59" s="623"/>
      <c r="E59" s="624"/>
      <c r="F59" s="625"/>
      <c r="G59" s="626"/>
      <c r="H59" s="627"/>
      <c r="I59" s="634" t="str">
        <f t="shared" si="0"/>
        <v/>
      </c>
    </row>
    <row r="60" spans="1:9" ht="20.100000000000001" customHeight="1">
      <c r="A60" s="621"/>
      <c r="B60" s="622"/>
      <c r="C60" s="623"/>
      <c r="D60" s="623"/>
      <c r="E60" s="624"/>
      <c r="F60" s="625"/>
      <c r="G60" s="626"/>
      <c r="H60" s="627"/>
      <c r="I60" s="634" t="str">
        <f t="shared" si="0"/>
        <v/>
      </c>
    </row>
    <row r="61" spans="1:9" ht="20.100000000000001" customHeight="1">
      <c r="A61" s="621"/>
      <c r="B61" s="622"/>
      <c r="C61" s="623"/>
      <c r="D61" s="623"/>
      <c r="E61" s="624"/>
      <c r="F61" s="625"/>
      <c r="G61" s="626"/>
      <c r="H61" s="627"/>
      <c r="I61" s="634" t="str">
        <f t="shared" si="0"/>
        <v/>
      </c>
    </row>
    <row r="62" spans="1:9" ht="20.100000000000001" customHeight="1">
      <c r="A62" s="621"/>
      <c r="B62" s="622"/>
      <c r="C62" s="623"/>
      <c r="D62" s="623"/>
      <c r="E62" s="624"/>
      <c r="F62" s="625"/>
      <c r="G62" s="626"/>
      <c r="H62" s="627"/>
      <c r="I62" s="634" t="str">
        <f t="shared" si="0"/>
        <v/>
      </c>
    </row>
    <row r="63" spans="1:9" ht="20.100000000000001" customHeight="1">
      <c r="A63" s="621"/>
      <c r="B63" s="622"/>
      <c r="C63" s="623"/>
      <c r="D63" s="623"/>
      <c r="E63" s="624"/>
      <c r="F63" s="625"/>
      <c r="G63" s="626"/>
      <c r="H63" s="627"/>
      <c r="I63" s="634" t="str">
        <f t="shared" si="0"/>
        <v/>
      </c>
    </row>
    <row r="64" spans="1:9" ht="20.100000000000001" customHeight="1">
      <c r="A64" s="621"/>
      <c r="B64" s="622"/>
      <c r="C64" s="623"/>
      <c r="D64" s="623"/>
      <c r="E64" s="624"/>
      <c r="F64" s="625"/>
      <c r="G64" s="626"/>
      <c r="H64" s="627"/>
      <c r="I64" s="634" t="str">
        <f t="shared" si="0"/>
        <v/>
      </c>
    </row>
    <row r="65" spans="1:9" ht="20.100000000000001" customHeight="1">
      <c r="A65" s="621"/>
      <c r="B65" s="622"/>
      <c r="C65" s="623"/>
      <c r="D65" s="623"/>
      <c r="E65" s="624"/>
      <c r="F65" s="625"/>
      <c r="G65" s="626"/>
      <c r="H65" s="627"/>
      <c r="I65" s="634" t="str">
        <f t="shared" si="0"/>
        <v/>
      </c>
    </row>
    <row r="66" spans="1:9" ht="20.100000000000001" customHeight="1">
      <c r="A66" s="621"/>
      <c r="B66" s="622"/>
      <c r="C66" s="623"/>
      <c r="D66" s="623"/>
      <c r="E66" s="624"/>
      <c r="F66" s="625"/>
      <c r="G66" s="626"/>
      <c r="H66" s="627"/>
      <c r="I66" s="634" t="str">
        <f t="shared" si="0"/>
        <v/>
      </c>
    </row>
    <row r="67" spans="1:9" ht="20.100000000000001" customHeight="1">
      <c r="A67" s="621"/>
      <c r="B67" s="622"/>
      <c r="C67" s="623"/>
      <c r="D67" s="623"/>
      <c r="E67" s="624"/>
      <c r="F67" s="625"/>
      <c r="G67" s="626"/>
      <c r="H67" s="627"/>
      <c r="I67" s="634" t="str">
        <f t="shared" si="0"/>
        <v/>
      </c>
    </row>
    <row r="68" spans="1:9" ht="20.100000000000001" customHeight="1">
      <c r="A68" s="621"/>
      <c r="B68" s="622"/>
      <c r="C68" s="623"/>
      <c r="D68" s="623"/>
      <c r="E68" s="624"/>
      <c r="F68" s="625"/>
      <c r="G68" s="626"/>
      <c r="H68" s="627"/>
      <c r="I68" s="634" t="str">
        <f t="shared" si="0"/>
        <v/>
      </c>
    </row>
    <row r="69" spans="1:9" ht="20.100000000000001" customHeight="1">
      <c r="A69" s="621"/>
      <c r="B69" s="622"/>
      <c r="C69" s="623"/>
      <c r="D69" s="623"/>
      <c r="E69" s="624"/>
      <c r="F69" s="625"/>
      <c r="G69" s="626"/>
      <c r="H69" s="627"/>
      <c r="I69" s="634" t="str">
        <f t="shared" ref="I69:I98" si="1">IF(OR(G69&lt;&gt;"",H69&lt;&gt;""),I68+G69-H69,"")</f>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si="1"/>
        <v/>
      </c>
    </row>
    <row r="75" spans="1:9" ht="20.100000000000001" customHeight="1">
      <c r="A75" s="621"/>
      <c r="B75" s="622"/>
      <c r="C75" s="623"/>
      <c r="D75" s="623"/>
      <c r="E75" s="624"/>
      <c r="F75" s="625"/>
      <c r="G75" s="626"/>
      <c r="H75" s="627"/>
      <c r="I75" s="634" t="str">
        <f t="shared" si="1"/>
        <v/>
      </c>
    </row>
    <row r="76" spans="1:9" ht="20.100000000000001" customHeight="1">
      <c r="A76" s="621"/>
      <c r="B76" s="622"/>
      <c r="C76" s="623"/>
      <c r="D76" s="623"/>
      <c r="E76" s="624"/>
      <c r="F76" s="625"/>
      <c r="G76" s="626"/>
      <c r="H76" s="627"/>
      <c r="I76" s="634" t="str">
        <f t="shared" si="1"/>
        <v/>
      </c>
    </row>
    <row r="77" spans="1:9" ht="20.100000000000001" customHeight="1">
      <c r="A77" s="621"/>
      <c r="B77" s="622"/>
      <c r="C77" s="623"/>
      <c r="D77" s="623"/>
      <c r="E77" s="624"/>
      <c r="F77" s="625"/>
      <c r="G77" s="626"/>
      <c r="H77" s="627"/>
      <c r="I77" s="634" t="str">
        <f t="shared" si="1"/>
        <v/>
      </c>
    </row>
    <row r="78" spans="1:9" ht="20.100000000000001" customHeight="1">
      <c r="A78" s="621"/>
      <c r="B78" s="622"/>
      <c r="C78" s="623"/>
      <c r="D78" s="623"/>
      <c r="E78" s="624"/>
      <c r="F78" s="625"/>
      <c r="G78" s="626"/>
      <c r="H78" s="627"/>
      <c r="I78" s="634" t="str">
        <f t="shared" si="1"/>
        <v/>
      </c>
    </row>
    <row r="79" spans="1:9" ht="20.100000000000001" customHeight="1">
      <c r="A79" s="621"/>
      <c r="B79" s="622"/>
      <c r="C79" s="623"/>
      <c r="D79" s="623"/>
      <c r="E79" s="624"/>
      <c r="F79" s="625"/>
      <c r="G79" s="626"/>
      <c r="H79" s="627"/>
      <c r="I79" s="634" t="str">
        <f t="shared" si="1"/>
        <v/>
      </c>
    </row>
    <row r="80" spans="1:9" ht="20.100000000000001" customHeight="1">
      <c r="A80" s="621"/>
      <c r="B80" s="622"/>
      <c r="C80" s="623"/>
      <c r="D80" s="623"/>
      <c r="E80" s="624"/>
      <c r="F80" s="625"/>
      <c r="G80" s="626"/>
      <c r="H80" s="627"/>
      <c r="I80" s="634" t="str">
        <f t="shared" si="1"/>
        <v/>
      </c>
    </row>
    <row r="81" spans="1:9" ht="20.100000000000001" customHeight="1">
      <c r="A81" s="621"/>
      <c r="B81" s="622"/>
      <c r="C81" s="623"/>
      <c r="D81" s="623"/>
      <c r="E81" s="624"/>
      <c r="F81" s="625"/>
      <c r="G81" s="626"/>
      <c r="H81" s="627"/>
      <c r="I81" s="634" t="str">
        <f t="shared" si="1"/>
        <v/>
      </c>
    </row>
    <row r="82" spans="1:9" ht="20.100000000000001" customHeight="1">
      <c r="A82" s="621"/>
      <c r="B82" s="622"/>
      <c r="C82" s="623"/>
      <c r="D82" s="623"/>
      <c r="E82" s="624"/>
      <c r="F82" s="625"/>
      <c r="G82" s="626"/>
      <c r="H82" s="627"/>
      <c r="I82" s="634" t="str">
        <f t="shared" si="1"/>
        <v/>
      </c>
    </row>
    <row r="83" spans="1:9" ht="20.100000000000001" customHeight="1">
      <c r="A83" s="621"/>
      <c r="B83" s="622"/>
      <c r="C83" s="623"/>
      <c r="D83" s="623"/>
      <c r="E83" s="624"/>
      <c r="F83" s="625"/>
      <c r="G83" s="626"/>
      <c r="H83" s="627"/>
      <c r="I83" s="634" t="str">
        <f t="shared" si="1"/>
        <v/>
      </c>
    </row>
    <row r="84" spans="1:9" ht="20.100000000000001" customHeight="1">
      <c r="A84" s="621"/>
      <c r="B84" s="622"/>
      <c r="C84" s="623"/>
      <c r="D84" s="623"/>
      <c r="E84" s="624"/>
      <c r="F84" s="625"/>
      <c r="G84" s="626"/>
      <c r="H84" s="627"/>
      <c r="I84" s="634" t="str">
        <f t="shared" si="1"/>
        <v/>
      </c>
    </row>
    <row r="85" spans="1:9" ht="20.100000000000001" customHeight="1">
      <c r="A85" s="621"/>
      <c r="B85" s="622"/>
      <c r="C85" s="623"/>
      <c r="D85" s="623"/>
      <c r="E85" s="624"/>
      <c r="F85" s="625"/>
      <c r="G85" s="626"/>
      <c r="H85" s="627"/>
      <c r="I85" s="634" t="str">
        <f t="shared" si="1"/>
        <v/>
      </c>
    </row>
    <row r="86" spans="1:9" ht="20.100000000000001" customHeight="1">
      <c r="A86" s="621"/>
      <c r="B86" s="622"/>
      <c r="C86" s="623"/>
      <c r="D86" s="623"/>
      <c r="E86" s="624"/>
      <c r="F86" s="625"/>
      <c r="G86" s="626"/>
      <c r="H86" s="627"/>
      <c r="I86" s="634" t="str">
        <f t="shared" si="1"/>
        <v/>
      </c>
    </row>
    <row r="87" spans="1:9" ht="20.100000000000001" customHeight="1">
      <c r="A87" s="621"/>
      <c r="B87" s="622"/>
      <c r="C87" s="623"/>
      <c r="D87" s="623"/>
      <c r="E87" s="624"/>
      <c r="F87" s="625"/>
      <c r="G87" s="626"/>
      <c r="H87" s="627"/>
      <c r="I87" s="634" t="str">
        <f t="shared" si="1"/>
        <v/>
      </c>
    </row>
    <row r="88" spans="1:9" ht="20.100000000000001" customHeight="1">
      <c r="A88" s="621"/>
      <c r="B88" s="622"/>
      <c r="C88" s="623"/>
      <c r="D88" s="623"/>
      <c r="E88" s="624"/>
      <c r="F88" s="625"/>
      <c r="G88" s="626"/>
      <c r="H88" s="627"/>
      <c r="I88" s="634" t="str">
        <f t="shared" si="1"/>
        <v/>
      </c>
    </row>
    <row r="89" spans="1:9" ht="20.100000000000001" customHeight="1">
      <c r="A89" s="621"/>
      <c r="B89" s="622"/>
      <c r="C89" s="623"/>
      <c r="D89" s="623"/>
      <c r="E89" s="624"/>
      <c r="F89" s="625"/>
      <c r="G89" s="626"/>
      <c r="H89" s="627"/>
      <c r="I89" s="634" t="str">
        <f t="shared" si="1"/>
        <v/>
      </c>
    </row>
    <row r="90" spans="1:9" ht="20.100000000000001" customHeight="1">
      <c r="A90" s="621"/>
      <c r="B90" s="622"/>
      <c r="C90" s="623"/>
      <c r="D90" s="623"/>
      <c r="E90" s="624"/>
      <c r="F90" s="625"/>
      <c r="G90" s="626"/>
      <c r="H90" s="627"/>
      <c r="I90" s="634" t="str">
        <f t="shared" si="1"/>
        <v/>
      </c>
    </row>
    <row r="91" spans="1:9" ht="20.100000000000001" customHeight="1">
      <c r="A91" s="621"/>
      <c r="B91" s="622"/>
      <c r="C91" s="623"/>
      <c r="D91" s="623"/>
      <c r="E91" s="624"/>
      <c r="F91" s="625"/>
      <c r="G91" s="626"/>
      <c r="H91" s="627"/>
      <c r="I91" s="634" t="str">
        <f t="shared" si="1"/>
        <v/>
      </c>
    </row>
    <row r="92" spans="1:9" ht="20.100000000000001" customHeight="1">
      <c r="A92" s="621"/>
      <c r="B92" s="622"/>
      <c r="C92" s="623"/>
      <c r="D92" s="623"/>
      <c r="E92" s="624"/>
      <c r="F92" s="625"/>
      <c r="G92" s="626"/>
      <c r="H92" s="627"/>
      <c r="I92" s="634" t="str">
        <f t="shared" si="1"/>
        <v/>
      </c>
    </row>
    <row r="93" spans="1:9" ht="20.100000000000001" customHeight="1">
      <c r="A93" s="621"/>
      <c r="B93" s="622"/>
      <c r="C93" s="623"/>
      <c r="D93" s="623"/>
      <c r="E93" s="624"/>
      <c r="F93" s="625"/>
      <c r="G93" s="626"/>
      <c r="H93" s="627"/>
      <c r="I93" s="634" t="str">
        <f t="shared" si="1"/>
        <v/>
      </c>
    </row>
    <row r="94" spans="1:9" ht="20.100000000000001" customHeight="1">
      <c r="A94" s="621"/>
      <c r="B94" s="622"/>
      <c r="C94" s="623"/>
      <c r="D94" s="623"/>
      <c r="E94" s="624"/>
      <c r="F94" s="625"/>
      <c r="G94" s="626"/>
      <c r="H94" s="627"/>
      <c r="I94" s="634" t="str">
        <f t="shared" si="1"/>
        <v/>
      </c>
    </row>
    <row r="95" spans="1:9" ht="20.100000000000001" customHeight="1">
      <c r="A95" s="621"/>
      <c r="B95" s="622"/>
      <c r="C95" s="623"/>
      <c r="D95" s="623"/>
      <c r="E95" s="624"/>
      <c r="F95" s="625"/>
      <c r="G95" s="626"/>
      <c r="H95" s="627"/>
      <c r="I95" s="634" t="str">
        <f t="shared" si="1"/>
        <v/>
      </c>
    </row>
    <row r="96" spans="1:9" ht="20.100000000000001" customHeight="1">
      <c r="A96" s="621"/>
      <c r="B96" s="622"/>
      <c r="C96" s="623"/>
      <c r="D96" s="623"/>
      <c r="E96" s="624"/>
      <c r="F96" s="625"/>
      <c r="G96" s="626"/>
      <c r="H96" s="627"/>
      <c r="I96" s="634" t="str">
        <f t="shared" si="1"/>
        <v/>
      </c>
    </row>
    <row r="97" spans="1:9" ht="20.100000000000001" customHeight="1">
      <c r="A97" s="621"/>
      <c r="B97" s="622"/>
      <c r="C97" s="623"/>
      <c r="D97" s="623"/>
      <c r="E97" s="624"/>
      <c r="F97" s="625"/>
      <c r="G97" s="626"/>
      <c r="H97" s="627"/>
      <c r="I97" s="634" t="str">
        <f t="shared" si="1"/>
        <v/>
      </c>
    </row>
    <row r="98" spans="1:9" ht="20.100000000000001" customHeight="1">
      <c r="A98" s="621"/>
      <c r="B98" s="622"/>
      <c r="C98" s="623"/>
      <c r="D98" s="623"/>
      <c r="E98" s="624"/>
      <c r="F98" s="625"/>
      <c r="G98" s="650"/>
      <c r="H98" s="651"/>
      <c r="I98" s="653" t="str">
        <f t="shared" si="1"/>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mergeCells count="4">
    <mergeCell ref="A1:I1"/>
    <mergeCell ref="B3:D3"/>
    <mergeCell ref="B99:D99"/>
    <mergeCell ref="B100:D100"/>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294</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34</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7"/>
      <c r="G4" s="788"/>
      <c r="H4" s="788"/>
      <c r="I4" s="789">
        <f>IF(G4="",H4,G4)</f>
        <v>0</v>
      </c>
    </row>
    <row r="5" spans="1:9" ht="20.100000000000001" customHeight="1">
      <c r="A5" s="621"/>
      <c r="B5" s="622"/>
      <c r="C5" s="623"/>
      <c r="D5" s="623"/>
      <c r="E5" s="624"/>
      <c r="F5" s="625"/>
      <c r="G5" s="626"/>
      <c r="H5" s="627"/>
      <c r="I5" s="634" t="str">
        <f t="shared" ref="I5:I68" si="0">IF(OR(G5&lt;&gt;"",H5&lt;&gt;""),I4+G5-H5,"")</f>
        <v/>
      </c>
    </row>
    <row r="6" spans="1:9" ht="20.100000000000001" customHeight="1">
      <c r="A6" s="621"/>
      <c r="B6" s="622"/>
      <c r="C6" s="623"/>
      <c r="D6" s="623"/>
      <c r="E6" s="624"/>
      <c r="F6" s="625"/>
      <c r="G6" s="626"/>
      <c r="H6" s="627"/>
      <c r="I6" s="634" t="str">
        <f t="shared" si="0"/>
        <v/>
      </c>
    </row>
    <row r="7" spans="1:9" ht="20.100000000000001" customHeight="1">
      <c r="A7" s="621"/>
      <c r="B7" s="622"/>
      <c r="C7" s="623"/>
      <c r="D7" s="623"/>
      <c r="E7" s="624"/>
      <c r="F7" s="625"/>
      <c r="G7" s="626"/>
      <c r="H7" s="627"/>
      <c r="I7" s="634" t="str">
        <f t="shared" si="0"/>
        <v/>
      </c>
    </row>
    <row r="8" spans="1:9" ht="20.100000000000001" customHeight="1">
      <c r="A8" s="621"/>
      <c r="B8" s="622"/>
      <c r="C8" s="623"/>
      <c r="D8" s="623"/>
      <c r="E8" s="624"/>
      <c r="F8" s="625"/>
      <c r="G8" s="626"/>
      <c r="H8" s="627"/>
      <c r="I8" s="634" t="str">
        <f t="shared" si="0"/>
        <v/>
      </c>
    </row>
    <row r="9" spans="1:9" ht="20.100000000000001" customHeight="1">
      <c r="A9" s="621"/>
      <c r="B9" s="622"/>
      <c r="C9" s="623"/>
      <c r="D9" s="623"/>
      <c r="E9" s="624"/>
      <c r="F9" s="625"/>
      <c r="G9" s="626"/>
      <c r="H9" s="627"/>
      <c r="I9" s="634" t="str">
        <f t="shared" si="0"/>
        <v/>
      </c>
    </row>
    <row r="10" spans="1:9" ht="20.100000000000001" customHeight="1">
      <c r="A10" s="621"/>
      <c r="B10" s="622"/>
      <c r="C10" s="623"/>
      <c r="D10" s="623"/>
      <c r="E10" s="624"/>
      <c r="F10" s="625"/>
      <c r="G10" s="626"/>
      <c r="H10" s="627"/>
      <c r="I10" s="634" t="str">
        <f t="shared" si="0"/>
        <v/>
      </c>
    </row>
    <row r="11" spans="1:9" ht="20.100000000000001" customHeight="1">
      <c r="A11" s="621"/>
      <c r="B11" s="622"/>
      <c r="C11" s="623"/>
      <c r="D11" s="623"/>
      <c r="E11" s="624"/>
      <c r="F11" s="625"/>
      <c r="G11" s="626"/>
      <c r="H11" s="627"/>
      <c r="I11" s="634" t="str">
        <f t="shared" si="0"/>
        <v/>
      </c>
    </row>
    <row r="12" spans="1:9" ht="20.100000000000001" customHeight="1">
      <c r="A12" s="621"/>
      <c r="B12" s="622"/>
      <c r="C12" s="623"/>
      <c r="D12" s="623"/>
      <c r="E12" s="624"/>
      <c r="F12" s="625"/>
      <c r="G12" s="626"/>
      <c r="H12" s="627"/>
      <c r="I12" s="634" t="str">
        <f t="shared" si="0"/>
        <v/>
      </c>
    </row>
    <row r="13" spans="1:9" ht="20.100000000000001" customHeight="1">
      <c r="A13" s="621"/>
      <c r="B13" s="622"/>
      <c r="C13" s="623"/>
      <c r="D13" s="623"/>
      <c r="E13" s="624"/>
      <c r="F13" s="625"/>
      <c r="G13" s="626"/>
      <c r="H13" s="627"/>
      <c r="I13" s="634" t="str">
        <f t="shared" si="0"/>
        <v/>
      </c>
    </row>
    <row r="14" spans="1:9" ht="20.100000000000001" customHeight="1">
      <c r="A14" s="621"/>
      <c r="B14" s="622"/>
      <c r="C14" s="623"/>
      <c r="D14" s="623"/>
      <c r="E14" s="624"/>
      <c r="F14" s="625"/>
      <c r="G14" s="626"/>
      <c r="H14" s="627"/>
      <c r="I14" s="634" t="str">
        <f t="shared" si="0"/>
        <v/>
      </c>
    </row>
    <row r="15" spans="1:9" ht="20.100000000000001" customHeight="1">
      <c r="A15" s="621"/>
      <c r="B15" s="622"/>
      <c r="C15" s="623"/>
      <c r="D15" s="623"/>
      <c r="E15" s="624"/>
      <c r="F15" s="625"/>
      <c r="G15" s="626"/>
      <c r="H15" s="627"/>
      <c r="I15" s="634" t="str">
        <f t="shared" si="0"/>
        <v/>
      </c>
    </row>
    <row r="16" spans="1:9" ht="20.100000000000001" customHeight="1">
      <c r="A16" s="621"/>
      <c r="B16" s="622"/>
      <c r="C16" s="623"/>
      <c r="D16" s="623"/>
      <c r="E16" s="624"/>
      <c r="F16" s="625"/>
      <c r="G16" s="626"/>
      <c r="H16" s="627"/>
      <c r="I16" s="634" t="str">
        <f t="shared" si="0"/>
        <v/>
      </c>
    </row>
    <row r="17" spans="1:9" ht="20.100000000000001" customHeight="1">
      <c r="A17" s="621"/>
      <c r="B17" s="622"/>
      <c r="C17" s="623"/>
      <c r="D17" s="623"/>
      <c r="E17" s="624"/>
      <c r="F17" s="625"/>
      <c r="G17" s="626"/>
      <c r="H17" s="627"/>
      <c r="I17" s="634" t="str">
        <f t="shared" si="0"/>
        <v/>
      </c>
    </row>
    <row r="18" spans="1:9" ht="20.100000000000001" customHeight="1">
      <c r="A18" s="621"/>
      <c r="B18" s="622"/>
      <c r="C18" s="623"/>
      <c r="D18" s="623"/>
      <c r="E18" s="624"/>
      <c r="F18" s="625"/>
      <c r="G18" s="626"/>
      <c r="H18" s="627"/>
      <c r="I18" s="634" t="str">
        <f t="shared" si="0"/>
        <v/>
      </c>
    </row>
    <row r="19" spans="1:9" ht="20.100000000000001" customHeight="1">
      <c r="A19" s="621"/>
      <c r="B19" s="622"/>
      <c r="C19" s="623"/>
      <c r="D19" s="623"/>
      <c r="E19" s="624"/>
      <c r="F19" s="625"/>
      <c r="G19" s="626"/>
      <c r="H19" s="627"/>
      <c r="I19" s="634" t="str">
        <f t="shared" si="0"/>
        <v/>
      </c>
    </row>
    <row r="20" spans="1:9" ht="20.100000000000001" customHeight="1">
      <c r="A20" s="621"/>
      <c r="B20" s="622"/>
      <c r="C20" s="623"/>
      <c r="D20" s="623"/>
      <c r="E20" s="624"/>
      <c r="F20" s="625"/>
      <c r="G20" s="626"/>
      <c r="H20" s="627"/>
      <c r="I20" s="634" t="str">
        <f t="shared" si="0"/>
        <v/>
      </c>
    </row>
    <row r="21" spans="1:9" ht="20.100000000000001" customHeight="1">
      <c r="A21" s="621"/>
      <c r="B21" s="622"/>
      <c r="C21" s="623"/>
      <c r="D21" s="623"/>
      <c r="E21" s="624"/>
      <c r="F21" s="625"/>
      <c r="G21" s="626"/>
      <c r="H21" s="627"/>
      <c r="I21" s="634" t="str">
        <f t="shared" si="0"/>
        <v/>
      </c>
    </row>
    <row r="22" spans="1:9" ht="20.100000000000001" customHeight="1">
      <c r="A22" s="621"/>
      <c r="B22" s="622"/>
      <c r="C22" s="623"/>
      <c r="D22" s="623"/>
      <c r="E22" s="624"/>
      <c r="F22" s="625"/>
      <c r="G22" s="626"/>
      <c r="H22" s="627"/>
      <c r="I22" s="634" t="str">
        <f t="shared" si="0"/>
        <v/>
      </c>
    </row>
    <row r="23" spans="1:9" ht="20.100000000000001" customHeight="1">
      <c r="A23" s="621"/>
      <c r="B23" s="622"/>
      <c r="C23" s="623"/>
      <c r="D23" s="623"/>
      <c r="E23" s="624"/>
      <c r="F23" s="625"/>
      <c r="G23" s="626"/>
      <c r="H23" s="627"/>
      <c r="I23" s="634" t="str">
        <f t="shared" si="0"/>
        <v/>
      </c>
    </row>
    <row r="24" spans="1:9" ht="20.100000000000001" customHeight="1">
      <c r="A24" s="621"/>
      <c r="B24" s="622"/>
      <c r="C24" s="623"/>
      <c r="D24" s="623"/>
      <c r="E24" s="624"/>
      <c r="F24" s="625"/>
      <c r="G24" s="626"/>
      <c r="H24" s="627"/>
      <c r="I24" s="634" t="str">
        <f t="shared" si="0"/>
        <v/>
      </c>
    </row>
    <row r="25" spans="1:9" ht="20.100000000000001" customHeight="1">
      <c r="A25" s="621"/>
      <c r="B25" s="622"/>
      <c r="C25" s="623"/>
      <c r="D25" s="623"/>
      <c r="E25" s="624"/>
      <c r="F25" s="625"/>
      <c r="G25" s="626"/>
      <c r="H25" s="627"/>
      <c r="I25" s="634" t="str">
        <f t="shared" si="0"/>
        <v/>
      </c>
    </row>
    <row r="26" spans="1:9" ht="20.100000000000001" customHeight="1">
      <c r="A26" s="621"/>
      <c r="B26" s="622"/>
      <c r="C26" s="623"/>
      <c r="D26" s="623"/>
      <c r="E26" s="624"/>
      <c r="F26" s="625"/>
      <c r="G26" s="626"/>
      <c r="H26" s="627"/>
      <c r="I26" s="634" t="str">
        <f t="shared" si="0"/>
        <v/>
      </c>
    </row>
    <row r="27" spans="1:9" ht="20.100000000000001" customHeight="1">
      <c r="A27" s="621"/>
      <c r="B27" s="622"/>
      <c r="C27" s="623"/>
      <c r="D27" s="623"/>
      <c r="E27" s="624"/>
      <c r="F27" s="625"/>
      <c r="G27" s="626"/>
      <c r="H27" s="627"/>
      <c r="I27" s="634" t="str">
        <f t="shared" si="0"/>
        <v/>
      </c>
    </row>
    <row r="28" spans="1:9" ht="20.100000000000001" customHeight="1">
      <c r="A28" s="621"/>
      <c r="B28" s="622"/>
      <c r="C28" s="623"/>
      <c r="D28" s="623"/>
      <c r="E28" s="624"/>
      <c r="F28" s="625"/>
      <c r="G28" s="626"/>
      <c r="H28" s="627"/>
      <c r="I28" s="634" t="str">
        <f t="shared" si="0"/>
        <v/>
      </c>
    </row>
    <row r="29" spans="1:9" ht="20.100000000000001" customHeight="1">
      <c r="A29" s="621"/>
      <c r="B29" s="622"/>
      <c r="C29" s="623"/>
      <c r="D29" s="623"/>
      <c r="E29" s="624"/>
      <c r="F29" s="625"/>
      <c r="G29" s="626"/>
      <c r="H29" s="627"/>
      <c r="I29" s="634" t="str">
        <f t="shared" si="0"/>
        <v/>
      </c>
    </row>
    <row r="30" spans="1:9" ht="20.100000000000001" customHeight="1">
      <c r="A30" s="621"/>
      <c r="B30" s="622"/>
      <c r="C30" s="623"/>
      <c r="D30" s="623"/>
      <c r="E30" s="624"/>
      <c r="F30" s="625"/>
      <c r="G30" s="626"/>
      <c r="H30" s="627"/>
      <c r="I30" s="634" t="str">
        <f t="shared" si="0"/>
        <v/>
      </c>
    </row>
    <row r="31" spans="1:9" ht="20.100000000000001" customHeight="1">
      <c r="A31" s="621"/>
      <c r="B31" s="622"/>
      <c r="C31" s="623"/>
      <c r="D31" s="623"/>
      <c r="E31" s="624"/>
      <c r="F31" s="625"/>
      <c r="G31" s="626"/>
      <c r="H31" s="627"/>
      <c r="I31" s="634" t="str">
        <f t="shared" si="0"/>
        <v/>
      </c>
    </row>
    <row r="32" spans="1:9" ht="20.100000000000001" customHeight="1">
      <c r="A32" s="621"/>
      <c r="B32" s="622"/>
      <c r="C32" s="623"/>
      <c r="D32" s="623"/>
      <c r="E32" s="624"/>
      <c r="F32" s="625"/>
      <c r="G32" s="626"/>
      <c r="H32" s="627"/>
      <c r="I32" s="634" t="str">
        <f t="shared" si="0"/>
        <v/>
      </c>
    </row>
    <row r="33" spans="1:9" ht="20.100000000000001" customHeight="1">
      <c r="A33" s="621"/>
      <c r="B33" s="622"/>
      <c r="C33" s="623"/>
      <c r="D33" s="623"/>
      <c r="E33" s="624"/>
      <c r="F33" s="625"/>
      <c r="G33" s="626"/>
      <c r="H33" s="627"/>
      <c r="I33" s="634" t="str">
        <f t="shared" si="0"/>
        <v/>
      </c>
    </row>
    <row r="34" spans="1:9" ht="20.100000000000001" customHeight="1">
      <c r="A34" s="621"/>
      <c r="B34" s="622"/>
      <c r="C34" s="623"/>
      <c r="D34" s="623"/>
      <c r="E34" s="624"/>
      <c r="F34" s="625"/>
      <c r="G34" s="626"/>
      <c r="H34" s="627"/>
      <c r="I34" s="634" t="str">
        <f t="shared" si="0"/>
        <v/>
      </c>
    </row>
    <row r="35" spans="1:9" ht="20.100000000000001" customHeight="1">
      <c r="A35" s="621"/>
      <c r="B35" s="622"/>
      <c r="C35" s="623"/>
      <c r="D35" s="623"/>
      <c r="E35" s="624"/>
      <c r="F35" s="625"/>
      <c r="G35" s="626"/>
      <c r="H35" s="627"/>
      <c r="I35" s="634" t="str">
        <f t="shared" si="0"/>
        <v/>
      </c>
    </row>
    <row r="36" spans="1:9" ht="20.100000000000001" customHeight="1">
      <c r="A36" s="621"/>
      <c r="B36" s="622"/>
      <c r="C36" s="623"/>
      <c r="D36" s="623"/>
      <c r="E36" s="624"/>
      <c r="F36" s="625"/>
      <c r="G36" s="626"/>
      <c r="H36" s="627"/>
      <c r="I36" s="634" t="str">
        <f t="shared" si="0"/>
        <v/>
      </c>
    </row>
    <row r="37" spans="1:9" ht="20.100000000000001" customHeight="1">
      <c r="A37" s="621"/>
      <c r="B37" s="622"/>
      <c r="C37" s="623"/>
      <c r="D37" s="623"/>
      <c r="E37" s="624"/>
      <c r="F37" s="625"/>
      <c r="G37" s="626"/>
      <c r="H37" s="627"/>
      <c r="I37" s="634" t="str">
        <f t="shared" si="0"/>
        <v/>
      </c>
    </row>
    <row r="38" spans="1:9" ht="20.100000000000001" customHeight="1">
      <c r="A38" s="621"/>
      <c r="B38" s="622"/>
      <c r="C38" s="623"/>
      <c r="D38" s="623"/>
      <c r="E38" s="624"/>
      <c r="F38" s="625"/>
      <c r="G38" s="626"/>
      <c r="H38" s="627"/>
      <c r="I38" s="634" t="str">
        <f t="shared" si="0"/>
        <v/>
      </c>
    </row>
    <row r="39" spans="1:9" ht="20.100000000000001" customHeight="1">
      <c r="A39" s="621"/>
      <c r="B39" s="622"/>
      <c r="C39" s="623"/>
      <c r="D39" s="623"/>
      <c r="E39" s="624"/>
      <c r="F39" s="625"/>
      <c r="G39" s="626"/>
      <c r="H39" s="627"/>
      <c r="I39" s="634" t="str">
        <f t="shared" si="0"/>
        <v/>
      </c>
    </row>
    <row r="40" spans="1:9" ht="20.100000000000001" customHeight="1">
      <c r="A40" s="621"/>
      <c r="B40" s="622"/>
      <c r="C40" s="623"/>
      <c r="D40" s="623"/>
      <c r="E40" s="624"/>
      <c r="F40" s="625"/>
      <c r="G40" s="626"/>
      <c r="H40" s="627"/>
      <c r="I40" s="634" t="str">
        <f t="shared" si="0"/>
        <v/>
      </c>
    </row>
    <row r="41" spans="1:9" ht="20.100000000000001" customHeight="1">
      <c r="A41" s="621"/>
      <c r="B41" s="622"/>
      <c r="C41" s="623"/>
      <c r="D41" s="623"/>
      <c r="E41" s="624"/>
      <c r="F41" s="625"/>
      <c r="G41" s="626"/>
      <c r="H41" s="627"/>
      <c r="I41" s="634" t="str">
        <f t="shared" si="0"/>
        <v/>
      </c>
    </row>
    <row r="42" spans="1:9" ht="20.100000000000001" customHeight="1">
      <c r="A42" s="621"/>
      <c r="B42" s="622"/>
      <c r="C42" s="623"/>
      <c r="D42" s="623"/>
      <c r="E42" s="624"/>
      <c r="F42" s="625"/>
      <c r="G42" s="626"/>
      <c r="H42" s="627"/>
      <c r="I42" s="634" t="str">
        <f t="shared" si="0"/>
        <v/>
      </c>
    </row>
    <row r="43" spans="1:9" ht="20.100000000000001" customHeight="1">
      <c r="A43" s="621"/>
      <c r="B43" s="622"/>
      <c r="C43" s="623"/>
      <c r="D43" s="623"/>
      <c r="E43" s="624"/>
      <c r="F43" s="625"/>
      <c r="G43" s="626"/>
      <c r="H43" s="627"/>
      <c r="I43" s="634" t="str">
        <f t="shared" si="0"/>
        <v/>
      </c>
    </row>
    <row r="44" spans="1:9" ht="20.100000000000001" customHeight="1">
      <c r="A44" s="621"/>
      <c r="B44" s="622"/>
      <c r="C44" s="623"/>
      <c r="D44" s="623"/>
      <c r="E44" s="624"/>
      <c r="F44" s="625"/>
      <c r="G44" s="626"/>
      <c r="H44" s="627"/>
      <c r="I44" s="634" t="str">
        <f t="shared" si="0"/>
        <v/>
      </c>
    </row>
    <row r="45" spans="1:9" ht="20.100000000000001" customHeight="1">
      <c r="A45" s="621"/>
      <c r="B45" s="622"/>
      <c r="C45" s="623"/>
      <c r="D45" s="623"/>
      <c r="E45" s="624"/>
      <c r="F45" s="625"/>
      <c r="G45" s="626"/>
      <c r="H45" s="627"/>
      <c r="I45" s="634" t="str">
        <f t="shared" si="0"/>
        <v/>
      </c>
    </row>
    <row r="46" spans="1:9" ht="20.100000000000001" customHeight="1">
      <c r="A46" s="621"/>
      <c r="B46" s="622"/>
      <c r="C46" s="623"/>
      <c r="D46" s="623"/>
      <c r="E46" s="624"/>
      <c r="F46" s="625"/>
      <c r="G46" s="626"/>
      <c r="H46" s="627"/>
      <c r="I46" s="634" t="str">
        <f t="shared" si="0"/>
        <v/>
      </c>
    </row>
    <row r="47" spans="1:9" ht="20.100000000000001" customHeight="1">
      <c r="A47" s="621"/>
      <c r="B47" s="622"/>
      <c r="C47" s="623"/>
      <c r="D47" s="623"/>
      <c r="E47" s="624"/>
      <c r="F47" s="625"/>
      <c r="G47" s="626"/>
      <c r="H47" s="627"/>
      <c r="I47" s="634" t="str">
        <f t="shared" si="0"/>
        <v/>
      </c>
    </row>
    <row r="48" spans="1:9" ht="20.100000000000001" customHeight="1">
      <c r="A48" s="621"/>
      <c r="B48" s="622"/>
      <c r="C48" s="623"/>
      <c r="D48" s="623"/>
      <c r="E48" s="624"/>
      <c r="F48" s="625"/>
      <c r="G48" s="626"/>
      <c r="H48" s="627"/>
      <c r="I48" s="634" t="str">
        <f t="shared" si="0"/>
        <v/>
      </c>
    </row>
    <row r="49" spans="1:9" ht="20.100000000000001" customHeight="1">
      <c r="A49" s="621"/>
      <c r="B49" s="622"/>
      <c r="C49" s="623"/>
      <c r="D49" s="623"/>
      <c r="E49" s="624"/>
      <c r="F49" s="625"/>
      <c r="G49" s="626"/>
      <c r="H49" s="627"/>
      <c r="I49" s="634" t="str">
        <f t="shared" si="0"/>
        <v/>
      </c>
    </row>
    <row r="50" spans="1:9" ht="20.100000000000001" customHeight="1">
      <c r="A50" s="621"/>
      <c r="B50" s="622"/>
      <c r="C50" s="623"/>
      <c r="D50" s="623"/>
      <c r="E50" s="624"/>
      <c r="F50" s="625"/>
      <c r="G50" s="626"/>
      <c r="H50" s="627"/>
      <c r="I50" s="634" t="str">
        <f t="shared" si="0"/>
        <v/>
      </c>
    </row>
    <row r="51" spans="1:9" ht="20.100000000000001" customHeight="1">
      <c r="A51" s="621"/>
      <c r="B51" s="622"/>
      <c r="C51" s="623"/>
      <c r="D51" s="623"/>
      <c r="E51" s="624"/>
      <c r="F51" s="625"/>
      <c r="G51" s="626"/>
      <c r="H51" s="627"/>
      <c r="I51" s="634" t="str">
        <f t="shared" si="0"/>
        <v/>
      </c>
    </row>
    <row r="52" spans="1:9" ht="20.100000000000001" customHeight="1">
      <c r="A52" s="621"/>
      <c r="B52" s="622"/>
      <c r="C52" s="623"/>
      <c r="D52" s="623"/>
      <c r="E52" s="624"/>
      <c r="F52" s="625"/>
      <c r="G52" s="626"/>
      <c r="H52" s="627"/>
      <c r="I52" s="634" t="str">
        <f t="shared" si="0"/>
        <v/>
      </c>
    </row>
    <row r="53" spans="1:9" ht="20.100000000000001" customHeight="1">
      <c r="A53" s="621"/>
      <c r="B53" s="622"/>
      <c r="C53" s="623"/>
      <c r="D53" s="623"/>
      <c r="E53" s="624"/>
      <c r="F53" s="625"/>
      <c r="G53" s="626"/>
      <c r="H53" s="627"/>
      <c r="I53" s="634" t="str">
        <f t="shared" si="0"/>
        <v/>
      </c>
    </row>
    <row r="54" spans="1:9" ht="20.100000000000001" customHeight="1">
      <c r="A54" s="621"/>
      <c r="B54" s="622"/>
      <c r="C54" s="623"/>
      <c r="D54" s="623"/>
      <c r="E54" s="624"/>
      <c r="F54" s="625"/>
      <c r="G54" s="626"/>
      <c r="H54" s="627"/>
      <c r="I54" s="634" t="str">
        <f t="shared" si="0"/>
        <v/>
      </c>
    </row>
    <row r="55" spans="1:9" ht="20.100000000000001" customHeight="1">
      <c r="A55" s="621"/>
      <c r="B55" s="622"/>
      <c r="C55" s="623"/>
      <c r="D55" s="623"/>
      <c r="E55" s="624"/>
      <c r="F55" s="625"/>
      <c r="G55" s="626"/>
      <c r="H55" s="627"/>
      <c r="I55" s="634" t="str">
        <f t="shared" si="0"/>
        <v/>
      </c>
    </row>
    <row r="56" spans="1:9" ht="20.100000000000001" customHeight="1">
      <c r="A56" s="621"/>
      <c r="B56" s="622"/>
      <c r="C56" s="623"/>
      <c r="D56" s="623"/>
      <c r="E56" s="624"/>
      <c r="F56" s="625"/>
      <c r="G56" s="626"/>
      <c r="H56" s="627"/>
      <c r="I56" s="634" t="str">
        <f t="shared" si="0"/>
        <v/>
      </c>
    </row>
    <row r="57" spans="1:9" ht="20.100000000000001" customHeight="1">
      <c r="A57" s="621"/>
      <c r="B57" s="622"/>
      <c r="C57" s="623"/>
      <c r="D57" s="623"/>
      <c r="E57" s="624"/>
      <c r="F57" s="625"/>
      <c r="G57" s="626"/>
      <c r="H57" s="627"/>
      <c r="I57" s="634" t="str">
        <f t="shared" si="0"/>
        <v/>
      </c>
    </row>
    <row r="58" spans="1:9" ht="20.100000000000001" customHeight="1">
      <c r="A58" s="621"/>
      <c r="B58" s="622"/>
      <c r="C58" s="623"/>
      <c r="D58" s="623"/>
      <c r="E58" s="624"/>
      <c r="F58" s="625"/>
      <c r="G58" s="626"/>
      <c r="H58" s="627"/>
      <c r="I58" s="634" t="str">
        <f t="shared" si="0"/>
        <v/>
      </c>
    </row>
    <row r="59" spans="1:9" ht="20.100000000000001" customHeight="1">
      <c r="A59" s="621"/>
      <c r="B59" s="622"/>
      <c r="C59" s="623"/>
      <c r="D59" s="623"/>
      <c r="E59" s="624"/>
      <c r="F59" s="625"/>
      <c r="G59" s="626"/>
      <c r="H59" s="627"/>
      <c r="I59" s="634" t="str">
        <f t="shared" si="0"/>
        <v/>
      </c>
    </row>
    <row r="60" spans="1:9" ht="20.100000000000001" customHeight="1">
      <c r="A60" s="621"/>
      <c r="B60" s="622"/>
      <c r="C60" s="623"/>
      <c r="D60" s="623"/>
      <c r="E60" s="624"/>
      <c r="F60" s="625"/>
      <c r="G60" s="626"/>
      <c r="H60" s="627"/>
      <c r="I60" s="634" t="str">
        <f t="shared" si="0"/>
        <v/>
      </c>
    </row>
    <row r="61" spans="1:9" ht="20.100000000000001" customHeight="1">
      <c r="A61" s="621"/>
      <c r="B61" s="622"/>
      <c r="C61" s="623"/>
      <c r="D61" s="623"/>
      <c r="E61" s="624"/>
      <c r="F61" s="625"/>
      <c r="G61" s="626"/>
      <c r="H61" s="627"/>
      <c r="I61" s="634" t="str">
        <f t="shared" si="0"/>
        <v/>
      </c>
    </row>
    <row r="62" spans="1:9" ht="20.100000000000001" customHeight="1">
      <c r="A62" s="621"/>
      <c r="B62" s="622"/>
      <c r="C62" s="623"/>
      <c r="D62" s="623"/>
      <c r="E62" s="624"/>
      <c r="F62" s="625"/>
      <c r="G62" s="626"/>
      <c r="H62" s="627"/>
      <c r="I62" s="634" t="str">
        <f t="shared" si="0"/>
        <v/>
      </c>
    </row>
    <row r="63" spans="1:9" ht="20.100000000000001" customHeight="1">
      <c r="A63" s="621"/>
      <c r="B63" s="622"/>
      <c r="C63" s="623"/>
      <c r="D63" s="623"/>
      <c r="E63" s="624"/>
      <c r="F63" s="625"/>
      <c r="G63" s="626"/>
      <c r="H63" s="627"/>
      <c r="I63" s="634" t="str">
        <f t="shared" si="0"/>
        <v/>
      </c>
    </row>
    <row r="64" spans="1:9" ht="20.100000000000001" customHeight="1">
      <c r="A64" s="621"/>
      <c r="B64" s="622"/>
      <c r="C64" s="623"/>
      <c r="D64" s="623"/>
      <c r="E64" s="624"/>
      <c r="F64" s="625"/>
      <c r="G64" s="626"/>
      <c r="H64" s="627"/>
      <c r="I64" s="634" t="str">
        <f t="shared" si="0"/>
        <v/>
      </c>
    </row>
    <row r="65" spans="1:9" ht="20.100000000000001" customHeight="1">
      <c r="A65" s="621"/>
      <c r="B65" s="622"/>
      <c r="C65" s="623"/>
      <c r="D65" s="623"/>
      <c r="E65" s="624"/>
      <c r="F65" s="625"/>
      <c r="G65" s="626"/>
      <c r="H65" s="627"/>
      <c r="I65" s="634" t="str">
        <f t="shared" si="0"/>
        <v/>
      </c>
    </row>
    <row r="66" spans="1:9" ht="20.100000000000001" customHeight="1">
      <c r="A66" s="621"/>
      <c r="B66" s="622"/>
      <c r="C66" s="623"/>
      <c r="D66" s="623"/>
      <c r="E66" s="624"/>
      <c r="F66" s="625"/>
      <c r="G66" s="626"/>
      <c r="H66" s="627"/>
      <c r="I66" s="634" t="str">
        <f t="shared" si="0"/>
        <v/>
      </c>
    </row>
    <row r="67" spans="1:9" ht="20.100000000000001" customHeight="1">
      <c r="A67" s="621"/>
      <c r="B67" s="622"/>
      <c r="C67" s="623"/>
      <c r="D67" s="623"/>
      <c r="E67" s="624"/>
      <c r="F67" s="625"/>
      <c r="G67" s="626"/>
      <c r="H67" s="627"/>
      <c r="I67" s="634" t="str">
        <f t="shared" si="0"/>
        <v/>
      </c>
    </row>
    <row r="68" spans="1:9" ht="20.100000000000001" customHeight="1">
      <c r="A68" s="621"/>
      <c r="B68" s="622"/>
      <c r="C68" s="623"/>
      <c r="D68" s="623"/>
      <c r="E68" s="624"/>
      <c r="F68" s="625"/>
      <c r="G68" s="626"/>
      <c r="H68" s="627"/>
      <c r="I68" s="634" t="str">
        <f t="shared" si="0"/>
        <v/>
      </c>
    </row>
    <row r="69" spans="1:9" ht="20.100000000000001" customHeight="1">
      <c r="A69" s="621"/>
      <c r="B69" s="622"/>
      <c r="C69" s="623"/>
      <c r="D69" s="623"/>
      <c r="E69" s="624"/>
      <c r="F69" s="625"/>
      <c r="G69" s="626"/>
      <c r="H69" s="627"/>
      <c r="I69" s="634" t="str">
        <f t="shared" ref="I69:I98" si="1">IF(OR(G69&lt;&gt;"",H69&lt;&gt;""),I68+G69-H69,"")</f>
        <v/>
      </c>
    </row>
    <row r="70" spans="1:9" ht="20.100000000000001" customHeight="1">
      <c r="A70" s="621"/>
      <c r="B70" s="622"/>
      <c r="C70" s="623"/>
      <c r="D70" s="623"/>
      <c r="E70" s="624"/>
      <c r="F70" s="625"/>
      <c r="G70" s="626"/>
      <c r="H70" s="627"/>
      <c r="I70" s="634" t="str">
        <f t="shared" si="1"/>
        <v/>
      </c>
    </row>
    <row r="71" spans="1:9" ht="20.100000000000001" customHeight="1">
      <c r="A71" s="621"/>
      <c r="B71" s="622"/>
      <c r="C71" s="623"/>
      <c r="D71" s="623"/>
      <c r="E71" s="624"/>
      <c r="F71" s="625"/>
      <c r="G71" s="626"/>
      <c r="H71" s="627"/>
      <c r="I71" s="634" t="str">
        <f t="shared" si="1"/>
        <v/>
      </c>
    </row>
    <row r="72" spans="1:9" ht="20.100000000000001" customHeight="1">
      <c r="A72" s="621"/>
      <c r="B72" s="622"/>
      <c r="C72" s="623"/>
      <c r="D72" s="623"/>
      <c r="E72" s="624"/>
      <c r="F72" s="625"/>
      <c r="G72" s="626"/>
      <c r="H72" s="627"/>
      <c r="I72" s="634" t="str">
        <f t="shared" si="1"/>
        <v/>
      </c>
    </row>
    <row r="73" spans="1:9" ht="20.100000000000001" customHeight="1">
      <c r="A73" s="621"/>
      <c r="B73" s="622"/>
      <c r="C73" s="623"/>
      <c r="D73" s="623"/>
      <c r="E73" s="624"/>
      <c r="F73" s="625"/>
      <c r="G73" s="626"/>
      <c r="H73" s="627"/>
      <c r="I73" s="634" t="str">
        <f t="shared" si="1"/>
        <v/>
      </c>
    </row>
    <row r="74" spans="1:9" ht="20.100000000000001" customHeight="1">
      <c r="A74" s="621"/>
      <c r="B74" s="622"/>
      <c r="C74" s="623"/>
      <c r="D74" s="623"/>
      <c r="E74" s="624"/>
      <c r="F74" s="625"/>
      <c r="G74" s="626"/>
      <c r="H74" s="627"/>
      <c r="I74" s="634" t="str">
        <f t="shared" si="1"/>
        <v/>
      </c>
    </row>
    <row r="75" spans="1:9" ht="20.100000000000001" customHeight="1">
      <c r="A75" s="621"/>
      <c r="B75" s="622"/>
      <c r="C75" s="623"/>
      <c r="D75" s="623"/>
      <c r="E75" s="624"/>
      <c r="F75" s="625"/>
      <c r="G75" s="626"/>
      <c r="H75" s="627"/>
      <c r="I75" s="634" t="str">
        <f t="shared" si="1"/>
        <v/>
      </c>
    </row>
    <row r="76" spans="1:9" ht="20.100000000000001" customHeight="1">
      <c r="A76" s="621"/>
      <c r="B76" s="622"/>
      <c r="C76" s="623"/>
      <c r="D76" s="623"/>
      <c r="E76" s="624"/>
      <c r="F76" s="625"/>
      <c r="G76" s="626"/>
      <c r="H76" s="627"/>
      <c r="I76" s="634" t="str">
        <f t="shared" si="1"/>
        <v/>
      </c>
    </row>
    <row r="77" spans="1:9" ht="20.100000000000001" customHeight="1">
      <c r="A77" s="621"/>
      <c r="B77" s="622"/>
      <c r="C77" s="623"/>
      <c r="D77" s="623"/>
      <c r="E77" s="624"/>
      <c r="F77" s="625"/>
      <c r="G77" s="626"/>
      <c r="H77" s="627"/>
      <c r="I77" s="634" t="str">
        <f t="shared" si="1"/>
        <v/>
      </c>
    </row>
    <row r="78" spans="1:9" ht="20.100000000000001" customHeight="1">
      <c r="A78" s="621"/>
      <c r="B78" s="622"/>
      <c r="C78" s="623"/>
      <c r="D78" s="623"/>
      <c r="E78" s="624"/>
      <c r="F78" s="625"/>
      <c r="G78" s="626"/>
      <c r="H78" s="627"/>
      <c r="I78" s="634" t="str">
        <f t="shared" si="1"/>
        <v/>
      </c>
    </row>
    <row r="79" spans="1:9" ht="20.100000000000001" customHeight="1">
      <c r="A79" s="621"/>
      <c r="B79" s="622"/>
      <c r="C79" s="623"/>
      <c r="D79" s="623"/>
      <c r="E79" s="624"/>
      <c r="F79" s="625"/>
      <c r="G79" s="626"/>
      <c r="H79" s="627"/>
      <c r="I79" s="634" t="str">
        <f t="shared" si="1"/>
        <v/>
      </c>
    </row>
    <row r="80" spans="1:9" ht="20.100000000000001" customHeight="1">
      <c r="A80" s="621"/>
      <c r="B80" s="622"/>
      <c r="C80" s="623"/>
      <c r="D80" s="623"/>
      <c r="E80" s="624"/>
      <c r="F80" s="625"/>
      <c r="G80" s="626"/>
      <c r="H80" s="627"/>
      <c r="I80" s="634" t="str">
        <f t="shared" si="1"/>
        <v/>
      </c>
    </row>
    <row r="81" spans="1:9" ht="20.100000000000001" customHeight="1">
      <c r="A81" s="621"/>
      <c r="B81" s="622"/>
      <c r="C81" s="623"/>
      <c r="D81" s="623"/>
      <c r="E81" s="624"/>
      <c r="F81" s="625"/>
      <c r="G81" s="626"/>
      <c r="H81" s="627"/>
      <c r="I81" s="634" t="str">
        <f t="shared" si="1"/>
        <v/>
      </c>
    </row>
    <row r="82" spans="1:9" ht="20.100000000000001" customHeight="1">
      <c r="A82" s="621"/>
      <c r="B82" s="622"/>
      <c r="C82" s="623"/>
      <c r="D82" s="623"/>
      <c r="E82" s="624"/>
      <c r="F82" s="625"/>
      <c r="G82" s="626"/>
      <c r="H82" s="627"/>
      <c r="I82" s="634" t="str">
        <f t="shared" si="1"/>
        <v/>
      </c>
    </row>
    <row r="83" spans="1:9" ht="20.100000000000001" customHeight="1">
      <c r="A83" s="621"/>
      <c r="B83" s="622"/>
      <c r="C83" s="623"/>
      <c r="D83" s="623"/>
      <c r="E83" s="624"/>
      <c r="F83" s="625"/>
      <c r="G83" s="626"/>
      <c r="H83" s="627"/>
      <c r="I83" s="634" t="str">
        <f t="shared" si="1"/>
        <v/>
      </c>
    </row>
    <row r="84" spans="1:9" ht="20.100000000000001" customHeight="1">
      <c r="A84" s="621"/>
      <c r="B84" s="622"/>
      <c r="C84" s="623"/>
      <c r="D84" s="623"/>
      <c r="E84" s="624"/>
      <c r="F84" s="625"/>
      <c r="G84" s="626"/>
      <c r="H84" s="627"/>
      <c r="I84" s="634" t="str">
        <f t="shared" si="1"/>
        <v/>
      </c>
    </row>
    <row r="85" spans="1:9" ht="20.100000000000001" customHeight="1">
      <c r="A85" s="621"/>
      <c r="B85" s="622"/>
      <c r="C85" s="623"/>
      <c r="D85" s="623"/>
      <c r="E85" s="624"/>
      <c r="F85" s="625"/>
      <c r="G85" s="626"/>
      <c r="H85" s="627"/>
      <c r="I85" s="634" t="str">
        <f t="shared" si="1"/>
        <v/>
      </c>
    </row>
    <row r="86" spans="1:9" ht="20.100000000000001" customHeight="1">
      <c r="A86" s="621"/>
      <c r="B86" s="622"/>
      <c r="C86" s="623"/>
      <c r="D86" s="623"/>
      <c r="E86" s="624"/>
      <c r="F86" s="625"/>
      <c r="G86" s="626"/>
      <c r="H86" s="627"/>
      <c r="I86" s="634" t="str">
        <f t="shared" si="1"/>
        <v/>
      </c>
    </row>
    <row r="87" spans="1:9" ht="20.100000000000001" customHeight="1">
      <c r="A87" s="621"/>
      <c r="B87" s="622"/>
      <c r="C87" s="623"/>
      <c r="D87" s="623"/>
      <c r="E87" s="624"/>
      <c r="F87" s="625"/>
      <c r="G87" s="626"/>
      <c r="H87" s="627"/>
      <c r="I87" s="634" t="str">
        <f t="shared" si="1"/>
        <v/>
      </c>
    </row>
    <row r="88" spans="1:9" ht="20.100000000000001" customHeight="1">
      <c r="A88" s="621"/>
      <c r="B88" s="622"/>
      <c r="C88" s="623"/>
      <c r="D88" s="623"/>
      <c r="E88" s="624"/>
      <c r="F88" s="625"/>
      <c r="G88" s="626"/>
      <c r="H88" s="627"/>
      <c r="I88" s="634" t="str">
        <f t="shared" si="1"/>
        <v/>
      </c>
    </row>
    <row r="89" spans="1:9" ht="20.100000000000001" customHeight="1">
      <c r="A89" s="621"/>
      <c r="B89" s="622"/>
      <c r="C89" s="623"/>
      <c r="D89" s="623"/>
      <c r="E89" s="624"/>
      <c r="F89" s="625"/>
      <c r="G89" s="626"/>
      <c r="H89" s="627"/>
      <c r="I89" s="634" t="str">
        <f t="shared" si="1"/>
        <v/>
      </c>
    </row>
    <row r="90" spans="1:9" ht="20.100000000000001" customHeight="1">
      <c r="A90" s="621"/>
      <c r="B90" s="622"/>
      <c r="C90" s="623"/>
      <c r="D90" s="623"/>
      <c r="E90" s="624"/>
      <c r="F90" s="625"/>
      <c r="G90" s="626"/>
      <c r="H90" s="627"/>
      <c r="I90" s="634" t="str">
        <f t="shared" si="1"/>
        <v/>
      </c>
    </row>
    <row r="91" spans="1:9" ht="20.100000000000001" customHeight="1">
      <c r="A91" s="621"/>
      <c r="B91" s="622"/>
      <c r="C91" s="623"/>
      <c r="D91" s="623"/>
      <c r="E91" s="624"/>
      <c r="F91" s="625"/>
      <c r="G91" s="626"/>
      <c r="H91" s="627"/>
      <c r="I91" s="634" t="str">
        <f t="shared" si="1"/>
        <v/>
      </c>
    </row>
    <row r="92" spans="1:9" ht="20.100000000000001" customHeight="1">
      <c r="A92" s="621"/>
      <c r="B92" s="622"/>
      <c r="C92" s="623"/>
      <c r="D92" s="623"/>
      <c r="E92" s="624"/>
      <c r="F92" s="625"/>
      <c r="G92" s="626"/>
      <c r="H92" s="627"/>
      <c r="I92" s="634" t="str">
        <f t="shared" si="1"/>
        <v/>
      </c>
    </row>
    <row r="93" spans="1:9" ht="20.100000000000001" customHeight="1">
      <c r="A93" s="621"/>
      <c r="B93" s="622"/>
      <c r="C93" s="623"/>
      <c r="D93" s="623"/>
      <c r="E93" s="624"/>
      <c r="F93" s="625"/>
      <c r="G93" s="626"/>
      <c r="H93" s="627"/>
      <c r="I93" s="634" t="str">
        <f t="shared" si="1"/>
        <v/>
      </c>
    </row>
    <row r="94" spans="1:9" ht="20.100000000000001" customHeight="1">
      <c r="A94" s="621"/>
      <c r="B94" s="622"/>
      <c r="C94" s="623"/>
      <c r="D94" s="623"/>
      <c r="E94" s="624"/>
      <c r="F94" s="625"/>
      <c r="G94" s="626"/>
      <c r="H94" s="627"/>
      <c r="I94" s="634" t="str">
        <f t="shared" si="1"/>
        <v/>
      </c>
    </row>
    <row r="95" spans="1:9" ht="20.100000000000001" customHeight="1">
      <c r="A95" s="621"/>
      <c r="B95" s="622"/>
      <c r="C95" s="623"/>
      <c r="D95" s="623"/>
      <c r="E95" s="624"/>
      <c r="F95" s="625"/>
      <c r="G95" s="626"/>
      <c r="H95" s="627"/>
      <c r="I95" s="634" t="str">
        <f t="shared" si="1"/>
        <v/>
      </c>
    </row>
    <row r="96" spans="1:9" ht="20.100000000000001" customHeight="1">
      <c r="A96" s="621"/>
      <c r="B96" s="622"/>
      <c r="C96" s="623"/>
      <c r="D96" s="623"/>
      <c r="E96" s="624"/>
      <c r="F96" s="625"/>
      <c r="G96" s="626"/>
      <c r="H96" s="627"/>
      <c r="I96" s="634" t="str">
        <f t="shared" si="1"/>
        <v/>
      </c>
    </row>
    <row r="97" spans="1:9" ht="20.100000000000001" customHeight="1">
      <c r="A97" s="621"/>
      <c r="B97" s="622"/>
      <c r="C97" s="623"/>
      <c r="D97" s="623"/>
      <c r="E97" s="624"/>
      <c r="F97" s="625"/>
      <c r="G97" s="626"/>
      <c r="H97" s="627"/>
      <c r="I97" s="634" t="str">
        <f t="shared" si="1"/>
        <v/>
      </c>
    </row>
    <row r="98" spans="1:9" ht="20.100000000000001" customHeight="1">
      <c r="A98" s="621"/>
      <c r="B98" s="622"/>
      <c r="C98" s="623"/>
      <c r="D98" s="623"/>
      <c r="E98" s="624"/>
      <c r="F98" s="625"/>
      <c r="G98" s="650"/>
      <c r="H98" s="651"/>
      <c r="I98" s="653" t="str">
        <f t="shared" si="1"/>
        <v/>
      </c>
    </row>
    <row r="99" spans="1:9" ht="20.100000000000001" customHeight="1">
      <c r="A99" s="621"/>
      <c r="B99" s="1133" t="s">
        <v>396</v>
      </c>
      <c r="C99" s="1134"/>
      <c r="D99" s="1135"/>
      <c r="E99" s="639"/>
      <c r="F99" s="640"/>
      <c r="G99" s="682">
        <f>SUM(G4:G98)</f>
        <v>0</v>
      </c>
      <c r="H99" s="682">
        <f>SUM(H4:H98)</f>
        <v>0</v>
      </c>
      <c r="I99" s="680">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mergeCells count="4">
    <mergeCell ref="A1:I1"/>
    <mergeCell ref="B3:D3"/>
    <mergeCell ref="B99:D99"/>
    <mergeCell ref="B100:D100"/>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EBF2B4"/>
  </sheetPr>
  <dimension ref="A1:I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3.625" style="618" customWidth="1"/>
    <col min="6" max="6" width="11.625" style="618" customWidth="1"/>
    <col min="7" max="9" width="10.625" style="633" customWidth="1"/>
    <col min="10" max="16384" width="8.875" style="603"/>
  </cols>
  <sheetData>
    <row r="1" spans="1:9" ht="32.1" customHeight="1">
      <c r="A1" s="1113" t="s">
        <v>417</v>
      </c>
      <c r="B1" s="1113"/>
      <c r="C1" s="1113"/>
      <c r="D1" s="1113"/>
      <c r="E1" s="1113"/>
      <c r="F1" s="1113"/>
      <c r="G1" s="1113"/>
      <c r="H1" s="1113"/>
      <c r="I1" s="1113"/>
    </row>
    <row r="2" spans="1:9" s="612" customFormat="1" ht="12.95" customHeight="1" thickBot="1">
      <c r="A2" s="604"/>
      <c r="B2" s="605"/>
      <c r="C2" s="606"/>
      <c r="D2" s="607"/>
      <c r="E2" s="608"/>
      <c r="F2" s="608"/>
      <c r="G2" s="609"/>
      <c r="H2" s="609"/>
      <c r="I2" s="610">
        <f>VLOOKUP(A1,設定メニュー!$B$5:$C$30,2,0)</f>
        <v>35</v>
      </c>
    </row>
    <row r="3" spans="1:9" s="618" customFormat="1" ht="30" customHeight="1" thickTop="1" thickBot="1">
      <c r="A3" s="667">
        <f>設定メニュー!$B$2</f>
        <v>42736</v>
      </c>
      <c r="B3" s="1142" t="s">
        <v>1</v>
      </c>
      <c r="C3" s="1143"/>
      <c r="D3" s="1144"/>
      <c r="E3" s="668" t="s">
        <v>28</v>
      </c>
      <c r="F3" s="669" t="s">
        <v>63</v>
      </c>
      <c r="G3" s="669" t="s">
        <v>4</v>
      </c>
      <c r="H3" s="670" t="s">
        <v>72</v>
      </c>
      <c r="I3" s="671" t="s">
        <v>29</v>
      </c>
    </row>
    <row r="4" spans="1:9" ht="20.100000000000001" customHeight="1">
      <c r="A4" s="785"/>
      <c r="B4" s="664"/>
      <c r="C4" s="665"/>
      <c r="D4" s="666"/>
      <c r="E4" s="786"/>
      <c r="F4" s="786"/>
      <c r="G4" s="788"/>
      <c r="H4" s="788"/>
      <c r="I4" s="820">
        <f>IF(G4="",H4,G4)</f>
        <v>0</v>
      </c>
    </row>
    <row r="5" spans="1:9" ht="20.100000000000001" customHeight="1">
      <c r="A5" s="621"/>
      <c r="B5" s="678"/>
      <c r="C5" s="623"/>
      <c r="D5" s="679"/>
      <c r="E5" s="624"/>
      <c r="F5" s="624"/>
      <c r="G5" s="626"/>
      <c r="H5" s="626"/>
      <c r="I5" s="790" t="str">
        <f t="shared" ref="I5:I68" si="0">IF(OR(G5&lt;&gt;"",H5&lt;&gt;""),I4+G5-H5,"")</f>
        <v/>
      </c>
    </row>
    <row r="6" spans="1:9" ht="20.100000000000001" customHeight="1">
      <c r="A6" s="621"/>
      <c r="B6" s="678"/>
      <c r="C6" s="623"/>
      <c r="D6" s="679"/>
      <c r="E6" s="624"/>
      <c r="F6" s="624"/>
      <c r="G6" s="626"/>
      <c r="H6" s="626"/>
      <c r="I6" s="790" t="str">
        <f t="shared" si="0"/>
        <v/>
      </c>
    </row>
    <row r="7" spans="1:9" ht="20.100000000000001" customHeight="1">
      <c r="A7" s="621"/>
      <c r="B7" s="678"/>
      <c r="C7" s="623"/>
      <c r="D7" s="679"/>
      <c r="E7" s="624"/>
      <c r="F7" s="624"/>
      <c r="G7" s="626"/>
      <c r="H7" s="626"/>
      <c r="I7" s="790" t="str">
        <f t="shared" si="0"/>
        <v/>
      </c>
    </row>
    <row r="8" spans="1:9" ht="20.100000000000001" customHeight="1">
      <c r="A8" s="621"/>
      <c r="B8" s="678"/>
      <c r="C8" s="623"/>
      <c r="D8" s="679"/>
      <c r="E8" s="624"/>
      <c r="F8" s="624"/>
      <c r="G8" s="626"/>
      <c r="H8" s="626"/>
      <c r="I8" s="790" t="str">
        <f t="shared" si="0"/>
        <v/>
      </c>
    </row>
    <row r="9" spans="1:9" ht="20.100000000000001" customHeight="1">
      <c r="A9" s="621"/>
      <c r="B9" s="678"/>
      <c r="C9" s="623"/>
      <c r="D9" s="679"/>
      <c r="E9" s="624"/>
      <c r="F9" s="624"/>
      <c r="G9" s="626"/>
      <c r="H9" s="626"/>
      <c r="I9" s="790" t="str">
        <f t="shared" si="0"/>
        <v/>
      </c>
    </row>
    <row r="10" spans="1:9" ht="20.100000000000001" customHeight="1">
      <c r="A10" s="621"/>
      <c r="B10" s="678"/>
      <c r="C10" s="623"/>
      <c r="D10" s="679"/>
      <c r="E10" s="624"/>
      <c r="F10" s="624"/>
      <c r="G10" s="626"/>
      <c r="H10" s="626"/>
      <c r="I10" s="790" t="str">
        <f t="shared" si="0"/>
        <v/>
      </c>
    </row>
    <row r="11" spans="1:9" ht="20.100000000000001" customHeight="1">
      <c r="A11" s="621"/>
      <c r="B11" s="678"/>
      <c r="C11" s="623"/>
      <c r="D11" s="679"/>
      <c r="E11" s="624"/>
      <c r="F11" s="624"/>
      <c r="G11" s="626"/>
      <c r="H11" s="626"/>
      <c r="I11" s="790" t="str">
        <f t="shared" si="0"/>
        <v/>
      </c>
    </row>
    <row r="12" spans="1:9" ht="20.100000000000001" customHeight="1">
      <c r="A12" s="621"/>
      <c r="B12" s="678"/>
      <c r="C12" s="623"/>
      <c r="D12" s="679"/>
      <c r="E12" s="624"/>
      <c r="F12" s="624"/>
      <c r="G12" s="626"/>
      <c r="H12" s="626"/>
      <c r="I12" s="790" t="str">
        <f t="shared" si="0"/>
        <v/>
      </c>
    </row>
    <row r="13" spans="1:9" ht="20.100000000000001" customHeight="1">
      <c r="A13" s="621"/>
      <c r="B13" s="678"/>
      <c r="C13" s="623"/>
      <c r="D13" s="679"/>
      <c r="E13" s="624"/>
      <c r="F13" s="624"/>
      <c r="G13" s="626"/>
      <c r="H13" s="626"/>
      <c r="I13" s="790" t="str">
        <f t="shared" si="0"/>
        <v/>
      </c>
    </row>
    <row r="14" spans="1:9" ht="20.100000000000001" customHeight="1">
      <c r="A14" s="621"/>
      <c r="B14" s="678"/>
      <c r="C14" s="623"/>
      <c r="D14" s="679"/>
      <c r="E14" s="624"/>
      <c r="F14" s="624"/>
      <c r="G14" s="626"/>
      <c r="H14" s="626"/>
      <c r="I14" s="790" t="str">
        <f t="shared" si="0"/>
        <v/>
      </c>
    </row>
    <row r="15" spans="1:9" ht="20.100000000000001" customHeight="1">
      <c r="A15" s="621"/>
      <c r="B15" s="678"/>
      <c r="C15" s="623"/>
      <c r="D15" s="679"/>
      <c r="E15" s="624"/>
      <c r="F15" s="624"/>
      <c r="G15" s="626"/>
      <c r="H15" s="626"/>
      <c r="I15" s="790" t="str">
        <f t="shared" si="0"/>
        <v/>
      </c>
    </row>
    <row r="16" spans="1:9" ht="20.100000000000001" customHeight="1">
      <c r="A16" s="621"/>
      <c r="B16" s="678"/>
      <c r="C16" s="623"/>
      <c r="D16" s="679"/>
      <c r="E16" s="624"/>
      <c r="F16" s="624"/>
      <c r="G16" s="626"/>
      <c r="H16" s="626"/>
      <c r="I16" s="790" t="str">
        <f t="shared" si="0"/>
        <v/>
      </c>
    </row>
    <row r="17" spans="1:9" ht="20.100000000000001" customHeight="1">
      <c r="A17" s="621"/>
      <c r="B17" s="678"/>
      <c r="C17" s="623"/>
      <c r="D17" s="679"/>
      <c r="E17" s="624"/>
      <c r="F17" s="624"/>
      <c r="G17" s="626"/>
      <c r="H17" s="626"/>
      <c r="I17" s="790" t="str">
        <f t="shared" si="0"/>
        <v/>
      </c>
    </row>
    <row r="18" spans="1:9" ht="20.100000000000001" customHeight="1">
      <c r="A18" s="621"/>
      <c r="B18" s="678"/>
      <c r="C18" s="623"/>
      <c r="D18" s="679"/>
      <c r="E18" s="624"/>
      <c r="F18" s="624"/>
      <c r="G18" s="626"/>
      <c r="H18" s="626"/>
      <c r="I18" s="790" t="str">
        <f t="shared" si="0"/>
        <v/>
      </c>
    </row>
    <row r="19" spans="1:9" ht="20.100000000000001" customHeight="1">
      <c r="A19" s="621"/>
      <c r="B19" s="678"/>
      <c r="C19" s="623"/>
      <c r="D19" s="679"/>
      <c r="E19" s="624"/>
      <c r="F19" s="624"/>
      <c r="G19" s="626"/>
      <c r="H19" s="626"/>
      <c r="I19" s="790" t="str">
        <f t="shared" si="0"/>
        <v/>
      </c>
    </row>
    <row r="20" spans="1:9" ht="20.100000000000001" customHeight="1">
      <c r="A20" s="621"/>
      <c r="B20" s="678"/>
      <c r="C20" s="623"/>
      <c r="D20" s="679"/>
      <c r="E20" s="624"/>
      <c r="F20" s="624"/>
      <c r="G20" s="626"/>
      <c r="H20" s="626"/>
      <c r="I20" s="790" t="str">
        <f t="shared" si="0"/>
        <v/>
      </c>
    </row>
    <row r="21" spans="1:9" ht="20.100000000000001" customHeight="1">
      <c r="A21" s="621"/>
      <c r="B21" s="678"/>
      <c r="C21" s="623"/>
      <c r="D21" s="679"/>
      <c r="E21" s="624"/>
      <c r="F21" s="624"/>
      <c r="G21" s="626"/>
      <c r="H21" s="626"/>
      <c r="I21" s="790" t="str">
        <f t="shared" si="0"/>
        <v/>
      </c>
    </row>
    <row r="22" spans="1:9" ht="20.100000000000001" customHeight="1">
      <c r="A22" s="621"/>
      <c r="B22" s="678"/>
      <c r="C22" s="623"/>
      <c r="D22" s="679"/>
      <c r="E22" s="624"/>
      <c r="F22" s="624"/>
      <c r="G22" s="626"/>
      <c r="H22" s="626"/>
      <c r="I22" s="790" t="str">
        <f t="shared" si="0"/>
        <v/>
      </c>
    </row>
    <row r="23" spans="1:9" ht="20.100000000000001" customHeight="1">
      <c r="A23" s="621"/>
      <c r="B23" s="678"/>
      <c r="C23" s="623"/>
      <c r="D23" s="679"/>
      <c r="E23" s="624"/>
      <c r="F23" s="624"/>
      <c r="G23" s="626"/>
      <c r="H23" s="626"/>
      <c r="I23" s="790" t="str">
        <f t="shared" si="0"/>
        <v/>
      </c>
    </row>
    <row r="24" spans="1:9" ht="20.100000000000001" customHeight="1">
      <c r="A24" s="621"/>
      <c r="B24" s="678"/>
      <c r="C24" s="623"/>
      <c r="D24" s="679"/>
      <c r="E24" s="624"/>
      <c r="F24" s="624"/>
      <c r="G24" s="626"/>
      <c r="H24" s="626"/>
      <c r="I24" s="790" t="str">
        <f t="shared" si="0"/>
        <v/>
      </c>
    </row>
    <row r="25" spans="1:9" ht="20.100000000000001" customHeight="1">
      <c r="A25" s="621"/>
      <c r="B25" s="678"/>
      <c r="C25" s="623"/>
      <c r="D25" s="679"/>
      <c r="E25" s="624"/>
      <c r="F25" s="624"/>
      <c r="G25" s="626"/>
      <c r="H25" s="626"/>
      <c r="I25" s="790" t="str">
        <f t="shared" si="0"/>
        <v/>
      </c>
    </row>
    <row r="26" spans="1:9" ht="20.100000000000001" customHeight="1">
      <c r="A26" s="621"/>
      <c r="B26" s="678"/>
      <c r="C26" s="623"/>
      <c r="D26" s="679"/>
      <c r="E26" s="624"/>
      <c r="F26" s="624"/>
      <c r="G26" s="626"/>
      <c r="H26" s="626"/>
      <c r="I26" s="790" t="str">
        <f t="shared" si="0"/>
        <v/>
      </c>
    </row>
    <row r="27" spans="1:9" ht="20.100000000000001" customHeight="1">
      <c r="A27" s="621"/>
      <c r="B27" s="678"/>
      <c r="C27" s="623"/>
      <c r="D27" s="679"/>
      <c r="E27" s="624"/>
      <c r="F27" s="624"/>
      <c r="G27" s="626"/>
      <c r="H27" s="626"/>
      <c r="I27" s="790" t="str">
        <f t="shared" si="0"/>
        <v/>
      </c>
    </row>
    <row r="28" spans="1:9" ht="20.100000000000001" customHeight="1">
      <c r="A28" s="621"/>
      <c r="B28" s="678"/>
      <c r="C28" s="623"/>
      <c r="D28" s="679"/>
      <c r="E28" s="624"/>
      <c r="F28" s="624"/>
      <c r="G28" s="626"/>
      <c r="H28" s="626"/>
      <c r="I28" s="790" t="str">
        <f t="shared" si="0"/>
        <v/>
      </c>
    </row>
    <row r="29" spans="1:9" ht="20.100000000000001" customHeight="1">
      <c r="A29" s="621"/>
      <c r="B29" s="678"/>
      <c r="C29" s="623"/>
      <c r="D29" s="679"/>
      <c r="E29" s="624"/>
      <c r="F29" s="624"/>
      <c r="G29" s="626"/>
      <c r="H29" s="626"/>
      <c r="I29" s="790" t="str">
        <f t="shared" si="0"/>
        <v/>
      </c>
    </row>
    <row r="30" spans="1:9" ht="20.100000000000001" customHeight="1">
      <c r="A30" s="621"/>
      <c r="B30" s="678"/>
      <c r="C30" s="623"/>
      <c r="D30" s="679"/>
      <c r="E30" s="624"/>
      <c r="F30" s="624"/>
      <c r="G30" s="626"/>
      <c r="H30" s="626"/>
      <c r="I30" s="790" t="str">
        <f t="shared" si="0"/>
        <v/>
      </c>
    </row>
    <row r="31" spans="1:9" ht="20.100000000000001" customHeight="1">
      <c r="A31" s="621"/>
      <c r="B31" s="678"/>
      <c r="C31" s="623"/>
      <c r="D31" s="679"/>
      <c r="E31" s="624"/>
      <c r="F31" s="624"/>
      <c r="G31" s="626"/>
      <c r="H31" s="626"/>
      <c r="I31" s="790" t="str">
        <f t="shared" si="0"/>
        <v/>
      </c>
    </row>
    <row r="32" spans="1:9" ht="20.100000000000001" customHeight="1">
      <c r="A32" s="621"/>
      <c r="B32" s="678"/>
      <c r="C32" s="623"/>
      <c r="D32" s="679"/>
      <c r="E32" s="624"/>
      <c r="F32" s="624"/>
      <c r="G32" s="626"/>
      <c r="H32" s="626"/>
      <c r="I32" s="790" t="str">
        <f t="shared" si="0"/>
        <v/>
      </c>
    </row>
    <row r="33" spans="1:9" ht="20.100000000000001" customHeight="1">
      <c r="A33" s="621"/>
      <c r="B33" s="678"/>
      <c r="C33" s="623"/>
      <c r="D33" s="679"/>
      <c r="E33" s="624"/>
      <c r="F33" s="624"/>
      <c r="G33" s="626"/>
      <c r="H33" s="626"/>
      <c r="I33" s="790" t="str">
        <f t="shared" si="0"/>
        <v/>
      </c>
    </row>
    <row r="34" spans="1:9" ht="20.100000000000001" customHeight="1">
      <c r="A34" s="621"/>
      <c r="B34" s="678"/>
      <c r="C34" s="623"/>
      <c r="D34" s="679"/>
      <c r="E34" s="624"/>
      <c r="F34" s="624"/>
      <c r="G34" s="626"/>
      <c r="H34" s="626"/>
      <c r="I34" s="790" t="str">
        <f t="shared" si="0"/>
        <v/>
      </c>
    </row>
    <row r="35" spans="1:9" ht="20.100000000000001" customHeight="1">
      <c r="A35" s="621"/>
      <c r="B35" s="678"/>
      <c r="C35" s="623"/>
      <c r="D35" s="679"/>
      <c r="E35" s="624"/>
      <c r="F35" s="624"/>
      <c r="G35" s="626"/>
      <c r="H35" s="626"/>
      <c r="I35" s="790" t="str">
        <f t="shared" si="0"/>
        <v/>
      </c>
    </row>
    <row r="36" spans="1:9" ht="20.100000000000001" customHeight="1">
      <c r="A36" s="621"/>
      <c r="B36" s="678"/>
      <c r="C36" s="623"/>
      <c r="D36" s="679"/>
      <c r="E36" s="624"/>
      <c r="F36" s="624"/>
      <c r="G36" s="626"/>
      <c r="H36" s="626"/>
      <c r="I36" s="790" t="str">
        <f t="shared" si="0"/>
        <v/>
      </c>
    </row>
    <row r="37" spans="1:9" ht="20.100000000000001" customHeight="1">
      <c r="A37" s="621"/>
      <c r="B37" s="678"/>
      <c r="C37" s="623"/>
      <c r="D37" s="679"/>
      <c r="E37" s="624"/>
      <c r="F37" s="624"/>
      <c r="G37" s="626"/>
      <c r="H37" s="626"/>
      <c r="I37" s="790" t="str">
        <f t="shared" si="0"/>
        <v/>
      </c>
    </row>
    <row r="38" spans="1:9" ht="20.100000000000001" customHeight="1">
      <c r="A38" s="621"/>
      <c r="B38" s="678"/>
      <c r="C38" s="623"/>
      <c r="D38" s="679"/>
      <c r="E38" s="624"/>
      <c r="F38" s="624"/>
      <c r="G38" s="626"/>
      <c r="H38" s="626"/>
      <c r="I38" s="790" t="str">
        <f t="shared" si="0"/>
        <v/>
      </c>
    </row>
    <row r="39" spans="1:9" ht="20.100000000000001" customHeight="1">
      <c r="A39" s="621"/>
      <c r="B39" s="678"/>
      <c r="C39" s="623"/>
      <c r="D39" s="679"/>
      <c r="E39" s="624"/>
      <c r="F39" s="624"/>
      <c r="G39" s="626"/>
      <c r="H39" s="626"/>
      <c r="I39" s="790" t="str">
        <f t="shared" si="0"/>
        <v/>
      </c>
    </row>
    <row r="40" spans="1:9" ht="20.100000000000001" customHeight="1">
      <c r="A40" s="621"/>
      <c r="B40" s="678"/>
      <c r="C40" s="623"/>
      <c r="D40" s="679"/>
      <c r="E40" s="624"/>
      <c r="F40" s="624"/>
      <c r="G40" s="626"/>
      <c r="H40" s="626"/>
      <c r="I40" s="790" t="str">
        <f t="shared" si="0"/>
        <v/>
      </c>
    </row>
    <row r="41" spans="1:9" ht="20.100000000000001" customHeight="1">
      <c r="A41" s="621"/>
      <c r="B41" s="678"/>
      <c r="C41" s="623"/>
      <c r="D41" s="679"/>
      <c r="E41" s="624"/>
      <c r="F41" s="624"/>
      <c r="G41" s="626"/>
      <c r="H41" s="626"/>
      <c r="I41" s="790" t="str">
        <f t="shared" si="0"/>
        <v/>
      </c>
    </row>
    <row r="42" spans="1:9" ht="20.100000000000001" customHeight="1">
      <c r="A42" s="621"/>
      <c r="B42" s="678"/>
      <c r="C42" s="623"/>
      <c r="D42" s="679"/>
      <c r="E42" s="624"/>
      <c r="F42" s="624"/>
      <c r="G42" s="626"/>
      <c r="H42" s="626"/>
      <c r="I42" s="790" t="str">
        <f t="shared" si="0"/>
        <v/>
      </c>
    </row>
    <row r="43" spans="1:9" ht="20.100000000000001" customHeight="1">
      <c r="A43" s="621"/>
      <c r="B43" s="678"/>
      <c r="C43" s="623"/>
      <c r="D43" s="679"/>
      <c r="E43" s="624"/>
      <c r="F43" s="624"/>
      <c r="G43" s="626"/>
      <c r="H43" s="626"/>
      <c r="I43" s="790" t="str">
        <f t="shared" si="0"/>
        <v/>
      </c>
    </row>
    <row r="44" spans="1:9" ht="20.100000000000001" customHeight="1">
      <c r="A44" s="621"/>
      <c r="B44" s="678"/>
      <c r="C44" s="623"/>
      <c r="D44" s="679"/>
      <c r="E44" s="624"/>
      <c r="F44" s="624"/>
      <c r="G44" s="626"/>
      <c r="H44" s="626"/>
      <c r="I44" s="790" t="str">
        <f t="shared" si="0"/>
        <v/>
      </c>
    </row>
    <row r="45" spans="1:9" ht="20.100000000000001" customHeight="1">
      <c r="A45" s="621"/>
      <c r="B45" s="678"/>
      <c r="C45" s="623"/>
      <c r="D45" s="679"/>
      <c r="E45" s="624"/>
      <c r="F45" s="624"/>
      <c r="G45" s="626"/>
      <c r="H45" s="626"/>
      <c r="I45" s="790" t="str">
        <f t="shared" si="0"/>
        <v/>
      </c>
    </row>
    <row r="46" spans="1:9" ht="20.100000000000001" customHeight="1">
      <c r="A46" s="621"/>
      <c r="B46" s="678"/>
      <c r="C46" s="623"/>
      <c r="D46" s="679"/>
      <c r="E46" s="624"/>
      <c r="F46" s="624"/>
      <c r="G46" s="626"/>
      <c r="H46" s="626"/>
      <c r="I46" s="790" t="str">
        <f t="shared" si="0"/>
        <v/>
      </c>
    </row>
    <row r="47" spans="1:9" ht="20.100000000000001" customHeight="1">
      <c r="A47" s="621"/>
      <c r="B47" s="678"/>
      <c r="C47" s="623"/>
      <c r="D47" s="679"/>
      <c r="E47" s="624"/>
      <c r="F47" s="624"/>
      <c r="G47" s="626"/>
      <c r="H47" s="626"/>
      <c r="I47" s="790" t="str">
        <f t="shared" si="0"/>
        <v/>
      </c>
    </row>
    <row r="48" spans="1:9" ht="20.100000000000001" customHeight="1">
      <c r="A48" s="621"/>
      <c r="B48" s="678"/>
      <c r="C48" s="623"/>
      <c r="D48" s="679"/>
      <c r="E48" s="624"/>
      <c r="F48" s="624"/>
      <c r="G48" s="626"/>
      <c r="H48" s="626"/>
      <c r="I48" s="790" t="str">
        <f t="shared" si="0"/>
        <v/>
      </c>
    </row>
    <row r="49" spans="1:9" ht="20.100000000000001" customHeight="1">
      <c r="A49" s="621"/>
      <c r="B49" s="678"/>
      <c r="C49" s="623"/>
      <c r="D49" s="679"/>
      <c r="E49" s="624"/>
      <c r="F49" s="624"/>
      <c r="G49" s="626"/>
      <c r="H49" s="626"/>
      <c r="I49" s="790" t="str">
        <f t="shared" si="0"/>
        <v/>
      </c>
    </row>
    <row r="50" spans="1:9" ht="20.100000000000001" customHeight="1">
      <c r="A50" s="621"/>
      <c r="B50" s="678"/>
      <c r="C50" s="623"/>
      <c r="D50" s="679"/>
      <c r="E50" s="624"/>
      <c r="F50" s="624"/>
      <c r="G50" s="626"/>
      <c r="H50" s="626"/>
      <c r="I50" s="790" t="str">
        <f t="shared" si="0"/>
        <v/>
      </c>
    </row>
    <row r="51" spans="1:9" ht="20.100000000000001" customHeight="1">
      <c r="A51" s="621"/>
      <c r="B51" s="678"/>
      <c r="C51" s="623"/>
      <c r="D51" s="679"/>
      <c r="E51" s="624"/>
      <c r="F51" s="624"/>
      <c r="G51" s="626"/>
      <c r="H51" s="626"/>
      <c r="I51" s="790" t="str">
        <f t="shared" si="0"/>
        <v/>
      </c>
    </row>
    <row r="52" spans="1:9" ht="20.100000000000001" customHeight="1">
      <c r="A52" s="621"/>
      <c r="B52" s="678"/>
      <c r="C52" s="623"/>
      <c r="D52" s="679"/>
      <c r="E52" s="624"/>
      <c r="F52" s="624"/>
      <c r="G52" s="626"/>
      <c r="H52" s="626"/>
      <c r="I52" s="790" t="str">
        <f t="shared" si="0"/>
        <v/>
      </c>
    </row>
    <row r="53" spans="1:9" ht="20.100000000000001" customHeight="1">
      <c r="A53" s="621"/>
      <c r="B53" s="678"/>
      <c r="C53" s="623"/>
      <c r="D53" s="679"/>
      <c r="E53" s="624"/>
      <c r="F53" s="624"/>
      <c r="G53" s="626"/>
      <c r="H53" s="626"/>
      <c r="I53" s="790" t="str">
        <f t="shared" si="0"/>
        <v/>
      </c>
    </row>
    <row r="54" spans="1:9" ht="20.100000000000001" customHeight="1">
      <c r="A54" s="621"/>
      <c r="B54" s="678"/>
      <c r="C54" s="623"/>
      <c r="D54" s="679"/>
      <c r="E54" s="624"/>
      <c r="F54" s="624"/>
      <c r="G54" s="626"/>
      <c r="H54" s="626"/>
      <c r="I54" s="790" t="str">
        <f t="shared" si="0"/>
        <v/>
      </c>
    </row>
    <row r="55" spans="1:9" ht="20.100000000000001" customHeight="1">
      <c r="A55" s="621"/>
      <c r="B55" s="678"/>
      <c r="C55" s="623"/>
      <c r="D55" s="679"/>
      <c r="E55" s="624"/>
      <c r="F55" s="624"/>
      <c r="G55" s="626"/>
      <c r="H55" s="626"/>
      <c r="I55" s="790" t="str">
        <f t="shared" si="0"/>
        <v/>
      </c>
    </row>
    <row r="56" spans="1:9" ht="20.100000000000001" customHeight="1">
      <c r="A56" s="621"/>
      <c r="B56" s="678"/>
      <c r="C56" s="623"/>
      <c r="D56" s="679"/>
      <c r="E56" s="624"/>
      <c r="F56" s="624"/>
      <c r="G56" s="626"/>
      <c r="H56" s="626"/>
      <c r="I56" s="790" t="str">
        <f t="shared" si="0"/>
        <v/>
      </c>
    </row>
    <row r="57" spans="1:9" ht="20.100000000000001" customHeight="1">
      <c r="A57" s="621"/>
      <c r="B57" s="678"/>
      <c r="C57" s="623"/>
      <c r="D57" s="679"/>
      <c r="E57" s="624"/>
      <c r="F57" s="624"/>
      <c r="G57" s="626"/>
      <c r="H57" s="626"/>
      <c r="I57" s="790" t="str">
        <f t="shared" si="0"/>
        <v/>
      </c>
    </row>
    <row r="58" spans="1:9" ht="20.100000000000001" customHeight="1">
      <c r="A58" s="621"/>
      <c r="B58" s="678"/>
      <c r="C58" s="623"/>
      <c r="D58" s="679"/>
      <c r="E58" s="624"/>
      <c r="F58" s="624"/>
      <c r="G58" s="626"/>
      <c r="H58" s="626"/>
      <c r="I58" s="790" t="str">
        <f t="shared" si="0"/>
        <v/>
      </c>
    </row>
    <row r="59" spans="1:9" ht="20.100000000000001" customHeight="1">
      <c r="A59" s="621"/>
      <c r="B59" s="678"/>
      <c r="C59" s="623"/>
      <c r="D59" s="679"/>
      <c r="E59" s="624"/>
      <c r="F59" s="624"/>
      <c r="G59" s="626"/>
      <c r="H59" s="626"/>
      <c r="I59" s="790" t="str">
        <f t="shared" si="0"/>
        <v/>
      </c>
    </row>
    <row r="60" spans="1:9" ht="20.100000000000001" customHeight="1">
      <c r="A60" s="621"/>
      <c r="B60" s="678"/>
      <c r="C60" s="623"/>
      <c r="D60" s="679"/>
      <c r="E60" s="624"/>
      <c r="F60" s="624"/>
      <c r="G60" s="626"/>
      <c r="H60" s="626"/>
      <c r="I60" s="790" t="str">
        <f t="shared" si="0"/>
        <v/>
      </c>
    </row>
    <row r="61" spans="1:9" ht="20.100000000000001" customHeight="1">
      <c r="A61" s="621"/>
      <c r="B61" s="678"/>
      <c r="C61" s="623"/>
      <c r="D61" s="679"/>
      <c r="E61" s="624"/>
      <c r="F61" s="624"/>
      <c r="G61" s="626"/>
      <c r="H61" s="626"/>
      <c r="I61" s="790" t="str">
        <f t="shared" si="0"/>
        <v/>
      </c>
    </row>
    <row r="62" spans="1:9" ht="20.100000000000001" customHeight="1">
      <c r="A62" s="621"/>
      <c r="B62" s="678"/>
      <c r="C62" s="623"/>
      <c r="D62" s="679"/>
      <c r="E62" s="624"/>
      <c r="F62" s="624"/>
      <c r="G62" s="626"/>
      <c r="H62" s="626"/>
      <c r="I62" s="790" t="str">
        <f t="shared" si="0"/>
        <v/>
      </c>
    </row>
    <row r="63" spans="1:9" ht="20.100000000000001" customHeight="1">
      <c r="A63" s="621"/>
      <c r="B63" s="678"/>
      <c r="C63" s="623"/>
      <c r="D63" s="679"/>
      <c r="E63" s="624"/>
      <c r="F63" s="624"/>
      <c r="G63" s="626"/>
      <c r="H63" s="626"/>
      <c r="I63" s="790" t="str">
        <f t="shared" si="0"/>
        <v/>
      </c>
    </row>
    <row r="64" spans="1:9" ht="20.100000000000001" customHeight="1">
      <c r="A64" s="621"/>
      <c r="B64" s="678"/>
      <c r="C64" s="623"/>
      <c r="D64" s="679"/>
      <c r="E64" s="624"/>
      <c r="F64" s="624"/>
      <c r="G64" s="626"/>
      <c r="H64" s="626"/>
      <c r="I64" s="790" t="str">
        <f t="shared" si="0"/>
        <v/>
      </c>
    </row>
    <row r="65" spans="1:9" ht="20.100000000000001" customHeight="1">
      <c r="A65" s="621"/>
      <c r="B65" s="678"/>
      <c r="C65" s="623"/>
      <c r="D65" s="679"/>
      <c r="E65" s="624"/>
      <c r="F65" s="624"/>
      <c r="G65" s="626"/>
      <c r="H65" s="626"/>
      <c r="I65" s="790" t="str">
        <f t="shared" si="0"/>
        <v/>
      </c>
    </row>
    <row r="66" spans="1:9" ht="20.100000000000001" customHeight="1">
      <c r="A66" s="621"/>
      <c r="B66" s="678"/>
      <c r="C66" s="623"/>
      <c r="D66" s="679"/>
      <c r="E66" s="624"/>
      <c r="F66" s="624"/>
      <c r="G66" s="626"/>
      <c r="H66" s="626"/>
      <c r="I66" s="790" t="str">
        <f t="shared" si="0"/>
        <v/>
      </c>
    </row>
    <row r="67" spans="1:9" ht="20.100000000000001" customHeight="1">
      <c r="A67" s="621"/>
      <c r="B67" s="678"/>
      <c r="C67" s="623"/>
      <c r="D67" s="679"/>
      <c r="E67" s="624"/>
      <c r="F67" s="624"/>
      <c r="G67" s="626"/>
      <c r="H67" s="626"/>
      <c r="I67" s="790" t="str">
        <f t="shared" si="0"/>
        <v/>
      </c>
    </row>
    <row r="68" spans="1:9" ht="20.100000000000001" customHeight="1">
      <c r="A68" s="621"/>
      <c r="B68" s="678"/>
      <c r="C68" s="623"/>
      <c r="D68" s="679"/>
      <c r="E68" s="624"/>
      <c r="F68" s="624"/>
      <c r="G68" s="626"/>
      <c r="H68" s="626"/>
      <c r="I68" s="790" t="str">
        <f t="shared" si="0"/>
        <v/>
      </c>
    </row>
    <row r="69" spans="1:9" ht="20.100000000000001" customHeight="1">
      <c r="A69" s="621"/>
      <c r="B69" s="678"/>
      <c r="C69" s="623"/>
      <c r="D69" s="679"/>
      <c r="E69" s="624"/>
      <c r="F69" s="624"/>
      <c r="G69" s="626"/>
      <c r="H69" s="626"/>
      <c r="I69" s="790" t="str">
        <f t="shared" ref="I69:I98" si="1">IF(OR(G69&lt;&gt;"",H69&lt;&gt;""),I68+G69-H69,"")</f>
        <v/>
      </c>
    </row>
    <row r="70" spans="1:9" ht="20.100000000000001" customHeight="1">
      <c r="A70" s="621"/>
      <c r="B70" s="678"/>
      <c r="C70" s="623"/>
      <c r="D70" s="679"/>
      <c r="E70" s="624"/>
      <c r="F70" s="624"/>
      <c r="G70" s="626"/>
      <c r="H70" s="626"/>
      <c r="I70" s="790" t="str">
        <f t="shared" si="1"/>
        <v/>
      </c>
    </row>
    <row r="71" spans="1:9" ht="20.100000000000001" customHeight="1">
      <c r="A71" s="621"/>
      <c r="B71" s="678"/>
      <c r="C71" s="623"/>
      <c r="D71" s="679"/>
      <c r="E71" s="624"/>
      <c r="F71" s="624"/>
      <c r="G71" s="626"/>
      <c r="H71" s="626"/>
      <c r="I71" s="790" t="str">
        <f t="shared" si="1"/>
        <v/>
      </c>
    </row>
    <row r="72" spans="1:9" ht="20.100000000000001" customHeight="1">
      <c r="A72" s="621"/>
      <c r="B72" s="678"/>
      <c r="C72" s="623"/>
      <c r="D72" s="679"/>
      <c r="E72" s="624"/>
      <c r="F72" s="624"/>
      <c r="G72" s="626"/>
      <c r="H72" s="626"/>
      <c r="I72" s="790" t="str">
        <f t="shared" si="1"/>
        <v/>
      </c>
    </row>
    <row r="73" spans="1:9" ht="20.100000000000001" customHeight="1">
      <c r="A73" s="621"/>
      <c r="B73" s="678"/>
      <c r="C73" s="623"/>
      <c r="D73" s="679"/>
      <c r="E73" s="624"/>
      <c r="F73" s="624"/>
      <c r="G73" s="626"/>
      <c r="H73" s="626"/>
      <c r="I73" s="790" t="str">
        <f t="shared" si="1"/>
        <v/>
      </c>
    </row>
    <row r="74" spans="1:9" ht="20.100000000000001" customHeight="1">
      <c r="A74" s="621"/>
      <c r="B74" s="678"/>
      <c r="C74" s="623"/>
      <c r="D74" s="679"/>
      <c r="E74" s="624"/>
      <c r="F74" s="624"/>
      <c r="G74" s="626"/>
      <c r="H74" s="626"/>
      <c r="I74" s="790" t="str">
        <f t="shared" si="1"/>
        <v/>
      </c>
    </row>
    <row r="75" spans="1:9" ht="20.100000000000001" customHeight="1">
      <c r="A75" s="621"/>
      <c r="B75" s="678"/>
      <c r="C75" s="623"/>
      <c r="D75" s="679"/>
      <c r="E75" s="624"/>
      <c r="F75" s="624"/>
      <c r="G75" s="626"/>
      <c r="H75" s="626"/>
      <c r="I75" s="790" t="str">
        <f t="shared" si="1"/>
        <v/>
      </c>
    </row>
    <row r="76" spans="1:9" ht="20.100000000000001" customHeight="1">
      <c r="A76" s="621"/>
      <c r="B76" s="678"/>
      <c r="C76" s="623"/>
      <c r="D76" s="679"/>
      <c r="E76" s="624"/>
      <c r="F76" s="624"/>
      <c r="G76" s="626"/>
      <c r="H76" s="626"/>
      <c r="I76" s="790" t="str">
        <f t="shared" si="1"/>
        <v/>
      </c>
    </row>
    <row r="77" spans="1:9" ht="20.100000000000001" customHeight="1">
      <c r="A77" s="621"/>
      <c r="B77" s="678"/>
      <c r="C77" s="623"/>
      <c r="D77" s="679"/>
      <c r="E77" s="624"/>
      <c r="F77" s="624"/>
      <c r="G77" s="626"/>
      <c r="H77" s="626"/>
      <c r="I77" s="790" t="str">
        <f t="shared" si="1"/>
        <v/>
      </c>
    </row>
    <row r="78" spans="1:9" ht="20.100000000000001" customHeight="1">
      <c r="A78" s="621"/>
      <c r="B78" s="678"/>
      <c r="C78" s="623"/>
      <c r="D78" s="679"/>
      <c r="E78" s="624"/>
      <c r="F78" s="624"/>
      <c r="G78" s="626"/>
      <c r="H78" s="626"/>
      <c r="I78" s="790" t="str">
        <f t="shared" si="1"/>
        <v/>
      </c>
    </row>
    <row r="79" spans="1:9" ht="20.100000000000001" customHeight="1">
      <c r="A79" s="621"/>
      <c r="B79" s="678"/>
      <c r="C79" s="623"/>
      <c r="D79" s="679"/>
      <c r="E79" s="624"/>
      <c r="F79" s="624"/>
      <c r="G79" s="626"/>
      <c r="H79" s="626"/>
      <c r="I79" s="790" t="str">
        <f t="shared" si="1"/>
        <v/>
      </c>
    </row>
    <row r="80" spans="1:9" ht="20.100000000000001" customHeight="1">
      <c r="A80" s="621"/>
      <c r="B80" s="678"/>
      <c r="C80" s="623"/>
      <c r="D80" s="679"/>
      <c r="E80" s="624"/>
      <c r="F80" s="624"/>
      <c r="G80" s="626"/>
      <c r="H80" s="626"/>
      <c r="I80" s="790" t="str">
        <f t="shared" si="1"/>
        <v/>
      </c>
    </row>
    <row r="81" spans="1:9" ht="20.100000000000001" customHeight="1">
      <c r="A81" s="621"/>
      <c r="B81" s="678"/>
      <c r="C81" s="623"/>
      <c r="D81" s="679"/>
      <c r="E81" s="624"/>
      <c r="F81" s="624"/>
      <c r="G81" s="626"/>
      <c r="H81" s="626"/>
      <c r="I81" s="790" t="str">
        <f t="shared" si="1"/>
        <v/>
      </c>
    </row>
    <row r="82" spans="1:9" ht="20.100000000000001" customHeight="1">
      <c r="A82" s="621"/>
      <c r="B82" s="678"/>
      <c r="C82" s="623"/>
      <c r="D82" s="679"/>
      <c r="E82" s="624"/>
      <c r="F82" s="624"/>
      <c r="G82" s="626"/>
      <c r="H82" s="626"/>
      <c r="I82" s="790" t="str">
        <f t="shared" si="1"/>
        <v/>
      </c>
    </row>
    <row r="83" spans="1:9" ht="20.100000000000001" customHeight="1">
      <c r="A83" s="621"/>
      <c r="B83" s="678"/>
      <c r="C83" s="623"/>
      <c r="D83" s="679"/>
      <c r="E83" s="624"/>
      <c r="F83" s="624"/>
      <c r="G83" s="626"/>
      <c r="H83" s="626"/>
      <c r="I83" s="790" t="str">
        <f t="shared" si="1"/>
        <v/>
      </c>
    </row>
    <row r="84" spans="1:9" ht="20.100000000000001" customHeight="1">
      <c r="A84" s="621"/>
      <c r="B84" s="678"/>
      <c r="C84" s="623"/>
      <c r="D84" s="679"/>
      <c r="E84" s="624"/>
      <c r="F84" s="624"/>
      <c r="G84" s="626"/>
      <c r="H84" s="626"/>
      <c r="I84" s="790" t="str">
        <f t="shared" si="1"/>
        <v/>
      </c>
    </row>
    <row r="85" spans="1:9" ht="20.100000000000001" customHeight="1">
      <c r="A85" s="621"/>
      <c r="B85" s="678"/>
      <c r="C85" s="623"/>
      <c r="D85" s="679"/>
      <c r="E85" s="624"/>
      <c r="F85" s="624"/>
      <c r="G85" s="626"/>
      <c r="H85" s="626"/>
      <c r="I85" s="790" t="str">
        <f t="shared" si="1"/>
        <v/>
      </c>
    </row>
    <row r="86" spans="1:9" ht="20.100000000000001" customHeight="1">
      <c r="A86" s="621"/>
      <c r="B86" s="678"/>
      <c r="C86" s="623"/>
      <c r="D86" s="679"/>
      <c r="E86" s="624"/>
      <c r="F86" s="624"/>
      <c r="G86" s="626"/>
      <c r="H86" s="626"/>
      <c r="I86" s="790" t="str">
        <f t="shared" si="1"/>
        <v/>
      </c>
    </row>
    <row r="87" spans="1:9" ht="20.100000000000001" customHeight="1">
      <c r="A87" s="621"/>
      <c r="B87" s="678"/>
      <c r="C87" s="623"/>
      <c r="D87" s="679"/>
      <c r="E87" s="624"/>
      <c r="F87" s="624"/>
      <c r="G87" s="626"/>
      <c r="H87" s="626"/>
      <c r="I87" s="790" t="str">
        <f t="shared" si="1"/>
        <v/>
      </c>
    </row>
    <row r="88" spans="1:9" ht="20.100000000000001" customHeight="1">
      <c r="A88" s="621"/>
      <c r="B88" s="678"/>
      <c r="C88" s="623"/>
      <c r="D88" s="679"/>
      <c r="E88" s="624"/>
      <c r="F88" s="624"/>
      <c r="G88" s="626"/>
      <c r="H88" s="626"/>
      <c r="I88" s="790" t="str">
        <f t="shared" si="1"/>
        <v/>
      </c>
    </row>
    <row r="89" spans="1:9" ht="20.100000000000001" customHeight="1">
      <c r="A89" s="621"/>
      <c r="B89" s="678"/>
      <c r="C89" s="623"/>
      <c r="D89" s="679"/>
      <c r="E89" s="624"/>
      <c r="F89" s="624"/>
      <c r="G89" s="626"/>
      <c r="H89" s="626"/>
      <c r="I89" s="790" t="str">
        <f t="shared" si="1"/>
        <v/>
      </c>
    </row>
    <row r="90" spans="1:9" ht="20.100000000000001" customHeight="1">
      <c r="A90" s="621"/>
      <c r="B90" s="678"/>
      <c r="C90" s="623"/>
      <c r="D90" s="679"/>
      <c r="E90" s="624"/>
      <c r="F90" s="624"/>
      <c r="G90" s="626"/>
      <c r="H90" s="626"/>
      <c r="I90" s="790" t="str">
        <f t="shared" si="1"/>
        <v/>
      </c>
    </row>
    <row r="91" spans="1:9" ht="20.100000000000001" customHeight="1">
      <c r="A91" s="621"/>
      <c r="B91" s="678"/>
      <c r="C91" s="623"/>
      <c r="D91" s="679"/>
      <c r="E91" s="624"/>
      <c r="F91" s="624"/>
      <c r="G91" s="626"/>
      <c r="H91" s="626"/>
      <c r="I91" s="790" t="str">
        <f t="shared" si="1"/>
        <v/>
      </c>
    </row>
    <row r="92" spans="1:9" ht="20.100000000000001" customHeight="1">
      <c r="A92" s="621"/>
      <c r="B92" s="678"/>
      <c r="C92" s="623"/>
      <c r="D92" s="679"/>
      <c r="E92" s="624"/>
      <c r="F92" s="624"/>
      <c r="G92" s="626"/>
      <c r="H92" s="626"/>
      <c r="I92" s="790" t="str">
        <f t="shared" si="1"/>
        <v/>
      </c>
    </row>
    <row r="93" spans="1:9" ht="20.100000000000001" customHeight="1">
      <c r="A93" s="621"/>
      <c r="B93" s="678"/>
      <c r="C93" s="623"/>
      <c r="D93" s="679"/>
      <c r="E93" s="624"/>
      <c r="F93" s="624"/>
      <c r="G93" s="626"/>
      <c r="H93" s="626"/>
      <c r="I93" s="790" t="str">
        <f t="shared" si="1"/>
        <v/>
      </c>
    </row>
    <row r="94" spans="1:9" ht="20.100000000000001" customHeight="1">
      <c r="A94" s="621"/>
      <c r="B94" s="678"/>
      <c r="C94" s="623"/>
      <c r="D94" s="679"/>
      <c r="E94" s="624"/>
      <c r="F94" s="624"/>
      <c r="G94" s="626"/>
      <c r="H94" s="626"/>
      <c r="I94" s="790" t="str">
        <f t="shared" si="1"/>
        <v/>
      </c>
    </row>
    <row r="95" spans="1:9" ht="20.100000000000001" customHeight="1">
      <c r="A95" s="621"/>
      <c r="B95" s="678"/>
      <c r="C95" s="623"/>
      <c r="D95" s="679"/>
      <c r="E95" s="624"/>
      <c r="F95" s="624"/>
      <c r="G95" s="626"/>
      <c r="H95" s="626"/>
      <c r="I95" s="790" t="str">
        <f t="shared" si="1"/>
        <v/>
      </c>
    </row>
    <row r="96" spans="1:9" ht="20.100000000000001" customHeight="1">
      <c r="A96" s="621"/>
      <c r="B96" s="678"/>
      <c r="C96" s="623"/>
      <c r="D96" s="679"/>
      <c r="E96" s="624"/>
      <c r="F96" s="624"/>
      <c r="G96" s="626"/>
      <c r="H96" s="626"/>
      <c r="I96" s="790" t="str">
        <f t="shared" si="1"/>
        <v/>
      </c>
    </row>
    <row r="97" spans="1:9" ht="20.100000000000001" customHeight="1">
      <c r="A97" s="621"/>
      <c r="B97" s="678"/>
      <c r="C97" s="623"/>
      <c r="D97" s="679"/>
      <c r="E97" s="624"/>
      <c r="F97" s="624"/>
      <c r="G97" s="626"/>
      <c r="H97" s="626"/>
      <c r="I97" s="790" t="str">
        <f t="shared" si="1"/>
        <v/>
      </c>
    </row>
    <row r="98" spans="1:9" ht="20.100000000000001" customHeight="1">
      <c r="A98" s="621"/>
      <c r="B98" s="678"/>
      <c r="C98" s="623"/>
      <c r="D98" s="679"/>
      <c r="E98" s="624"/>
      <c r="F98" s="624"/>
      <c r="G98" s="650"/>
      <c r="H98" s="650"/>
      <c r="I98" s="791" t="str">
        <f t="shared" si="1"/>
        <v/>
      </c>
    </row>
    <row r="99" spans="1:9" ht="20.100000000000001" customHeight="1">
      <c r="A99" s="621"/>
      <c r="B99" s="1145" t="s">
        <v>396</v>
      </c>
      <c r="C99" s="1145"/>
      <c r="D99" s="1145"/>
      <c r="E99" s="639"/>
      <c r="F99" s="639"/>
      <c r="G99" s="682">
        <f>SUM(G4:G98)</f>
        <v>0</v>
      </c>
      <c r="H99" s="682">
        <f>SUM(H4:H98)</f>
        <v>0</v>
      </c>
      <c r="I99" s="821">
        <f>G99-H99</f>
        <v>0</v>
      </c>
    </row>
    <row r="100" spans="1:9" ht="20.100000000000001" customHeight="1" thickBot="1">
      <c r="A100" s="630"/>
      <c r="B100" s="1123" t="str">
        <f>IF(A98="","損益","次 項 繰 越")</f>
        <v>損益</v>
      </c>
      <c r="C100" s="1124"/>
      <c r="D100" s="1125"/>
      <c r="E100" s="642"/>
      <c r="F100" s="642"/>
      <c r="G100" s="643">
        <f>IF(I99&gt;0,"",ABS(I99))</f>
        <v>0</v>
      </c>
      <c r="H100" s="644">
        <f>IF(I99&lt;0,"",ABS(I99))</f>
        <v>0</v>
      </c>
      <c r="I100" s="637"/>
    </row>
    <row r="101" spans="1:9" ht="24.95" customHeight="1">
      <c r="B101" s="645"/>
      <c r="C101" s="646"/>
      <c r="D101" s="646"/>
      <c r="E101" s="647"/>
      <c r="F101" s="647"/>
      <c r="G101" s="648">
        <f>SUM(G99:G100)</f>
        <v>0</v>
      </c>
      <c r="H101" s="648">
        <f>SUM(H99:H100)</f>
        <v>0</v>
      </c>
      <c r="I101" s="638" t="str">
        <f>IF(G101=H101,"","【要確認】")</f>
        <v/>
      </c>
    </row>
  </sheetData>
  <sheetProtection sheet="1" objects="1" scenarios="1"/>
  <mergeCells count="4">
    <mergeCell ref="A1:I1"/>
    <mergeCell ref="B3:D3"/>
    <mergeCell ref="B99:D99"/>
    <mergeCell ref="B100:D100"/>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設定メニュー!$B$5:$B$21</xm:f>
          </x14:formula1>
          <xm:sqref>F4:F5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008080"/>
  </sheetPr>
  <dimension ref="A1:I23"/>
  <sheetViews>
    <sheetView zoomScale="110" zoomScaleNormal="110" workbookViewId="0">
      <selection activeCell="A4" sqref="A4"/>
    </sheetView>
  </sheetViews>
  <sheetFormatPr defaultColWidth="8.875" defaultRowHeight="18.75"/>
  <cols>
    <col min="1" max="1" width="10.625" style="2" customWidth="1"/>
    <col min="2" max="2" width="15.625" style="2" customWidth="1"/>
    <col min="3" max="3" width="14.625" style="2" customWidth="1"/>
    <col min="4" max="4" width="5.625" style="2" customWidth="1"/>
    <col min="5" max="5" width="3.625" style="2" customWidth="1"/>
    <col min="6" max="9" width="11.625" style="2" customWidth="1"/>
    <col min="10" max="16384" width="8.875" style="2"/>
  </cols>
  <sheetData>
    <row r="1" spans="1:9" s="603" customFormat="1" ht="32.1" customHeight="1">
      <c r="A1" s="1113" t="s">
        <v>303</v>
      </c>
      <c r="B1" s="1113"/>
      <c r="C1" s="1113"/>
      <c r="D1" s="1113"/>
      <c r="E1" s="1113"/>
      <c r="F1" s="1113"/>
      <c r="G1" s="1113"/>
      <c r="H1" s="1113"/>
      <c r="I1" s="1113"/>
    </row>
    <row r="2" spans="1:9" s="612" customFormat="1" ht="12.95" customHeight="1" thickBot="1">
      <c r="A2" s="604"/>
      <c r="B2" s="605"/>
      <c r="C2" s="606"/>
      <c r="D2" s="607"/>
      <c r="E2" s="608"/>
      <c r="F2" s="608"/>
      <c r="G2" s="609"/>
      <c r="H2" s="610"/>
      <c r="I2" s="611"/>
    </row>
    <row r="3" spans="1:9" s="618" customFormat="1" ht="30" customHeight="1" thickTop="1" thickBot="1">
      <c r="A3" s="775">
        <f>設定メニュー!$B$2</f>
        <v>42736</v>
      </c>
      <c r="B3" s="1146" t="s">
        <v>1</v>
      </c>
      <c r="C3" s="1147"/>
      <c r="D3" s="1148"/>
      <c r="E3" s="776" t="s">
        <v>28</v>
      </c>
      <c r="F3" s="777" t="s">
        <v>63</v>
      </c>
      <c r="G3" s="777" t="s">
        <v>4</v>
      </c>
      <c r="H3" s="778" t="s">
        <v>72</v>
      </c>
      <c r="I3" s="779" t="s">
        <v>29</v>
      </c>
    </row>
    <row r="4" spans="1:9" s="603" customFormat="1" ht="20.100000000000001" customHeight="1">
      <c r="A4" s="785">
        <f>設定メニュー!$B$2</f>
        <v>42736</v>
      </c>
      <c r="B4" s="1117" t="s">
        <v>6</v>
      </c>
      <c r="C4" s="1118"/>
      <c r="D4" s="1119"/>
      <c r="E4" s="786"/>
      <c r="F4" s="787"/>
      <c r="G4" s="788">
        <f>VLOOKUP($A$1,合計残高試算表!$A$5:$G$44,2,0)</f>
        <v>0</v>
      </c>
      <c r="H4" s="788">
        <f>VLOOKUP($A$1,合計残高試算表!$A$5:$G$44,3,0)</f>
        <v>0</v>
      </c>
      <c r="I4" s="792">
        <f>G4-H4</f>
        <v>0</v>
      </c>
    </row>
    <row r="5" spans="1:9" s="603" customFormat="1" ht="20.100000000000001" customHeight="1">
      <c r="A5" s="621"/>
      <c r="B5" s="822"/>
      <c r="C5" s="822"/>
      <c r="D5" s="822"/>
      <c r="E5" s="624"/>
      <c r="F5" s="625"/>
      <c r="G5" s="626"/>
      <c r="H5" s="627"/>
      <c r="I5" s="620"/>
    </row>
    <row r="6" spans="1:9" s="603" customFormat="1" ht="20.100000000000001" customHeight="1">
      <c r="A6" s="621"/>
      <c r="B6" s="822"/>
      <c r="C6" s="822"/>
      <c r="D6" s="822"/>
      <c r="E6" s="624"/>
      <c r="F6" s="625"/>
      <c r="G6" s="626"/>
      <c r="H6" s="627"/>
      <c r="I6" s="620"/>
    </row>
    <row r="7" spans="1:9" s="603" customFormat="1" ht="20.100000000000001" customHeight="1">
      <c r="A7" s="621"/>
      <c r="B7" s="622"/>
      <c r="C7" s="623"/>
      <c r="D7" s="623"/>
      <c r="E7" s="624"/>
      <c r="F7" s="625"/>
      <c r="G7" s="626"/>
      <c r="H7" s="627"/>
      <c r="I7" s="634" t="str">
        <f>IF(OR(G7&lt;&gt;"",H7&lt;&gt;""),I4+G7-H7,"")</f>
        <v/>
      </c>
    </row>
    <row r="8" spans="1:9" s="603" customFormat="1" ht="20.100000000000001" customHeight="1">
      <c r="A8" s="621"/>
      <c r="B8" s="622"/>
      <c r="C8" s="623"/>
      <c r="D8" s="623"/>
      <c r="E8" s="624"/>
      <c r="F8" s="625"/>
      <c r="G8" s="626"/>
      <c r="H8" s="627"/>
      <c r="I8" s="634" t="str">
        <f>IF(OR(G8&lt;&gt;"",H8&lt;&gt;""),I7+G8-H8,"")</f>
        <v/>
      </c>
    </row>
    <row r="9" spans="1:9" ht="20.100000000000001" customHeight="1">
      <c r="A9" s="621"/>
      <c r="B9" s="622"/>
      <c r="C9" s="623"/>
      <c r="D9" s="623"/>
      <c r="E9" s="624"/>
      <c r="F9" s="625"/>
      <c r="G9" s="650"/>
      <c r="H9" s="651"/>
      <c r="I9" s="653" t="str">
        <f>IF(OR(G9&lt;&gt;"",H9&lt;&gt;""),I8+G9-H9,"")</f>
        <v/>
      </c>
    </row>
    <row r="10" spans="1:9" ht="20.100000000000001" customHeight="1">
      <c r="A10" s="621"/>
      <c r="B10" s="1149" t="s">
        <v>282</v>
      </c>
      <c r="C10" s="1150"/>
      <c r="D10" s="1151"/>
      <c r="E10" s="639"/>
      <c r="F10" s="640"/>
      <c r="G10" s="682">
        <f>SUM(G4:G9)</f>
        <v>0</v>
      </c>
      <c r="H10" s="682">
        <f>SUM(H4:H9)</f>
        <v>0</v>
      </c>
      <c r="I10" s="680">
        <f>G10-H10</f>
        <v>0</v>
      </c>
    </row>
    <row r="11" spans="1:9" ht="20.100000000000001" customHeight="1" thickBot="1">
      <c r="A11" s="630"/>
      <c r="B11" s="1110" t="s">
        <v>515</v>
      </c>
      <c r="C11" s="1111"/>
      <c r="D11" s="1112"/>
      <c r="E11" s="642"/>
      <c r="F11" s="642"/>
      <c r="G11" s="643">
        <f>IF(I10&gt;0,"",ABS(I10))</f>
        <v>0</v>
      </c>
      <c r="H11" s="644">
        <f>IF(I10&lt;0,"",ABS(I10))</f>
        <v>0</v>
      </c>
      <c r="I11" s="637"/>
    </row>
    <row r="12" spans="1:9" ht="20.100000000000001" customHeight="1">
      <c r="A12" s="631"/>
      <c r="B12" s="645"/>
      <c r="C12" s="646"/>
      <c r="D12" s="646"/>
      <c r="E12" s="647"/>
      <c r="F12" s="647"/>
      <c r="G12" s="780">
        <f>SUM(G10:G11)</f>
        <v>0</v>
      </c>
      <c r="H12" s="780">
        <f>SUM(H10:H11)</f>
        <v>0</v>
      </c>
      <c r="I12" s="638" t="str">
        <f>IF(G12=H12,"","【要確認】")</f>
        <v/>
      </c>
    </row>
    <row r="13" spans="1:9" ht="20.100000000000001" customHeight="1"/>
    <row r="14" spans="1:9" ht="20.100000000000001" customHeight="1"/>
    <row r="15" spans="1:9" ht="20.100000000000001" customHeight="1"/>
    <row r="16" spans="1:9"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4.95" customHeight="1"/>
  </sheetData>
  <sheetProtection sheet="1" objects="1" scenarios="1"/>
  <mergeCells count="5">
    <mergeCell ref="A1:I1"/>
    <mergeCell ref="B3:D3"/>
    <mergeCell ref="B4:D4"/>
    <mergeCell ref="B10:D10"/>
    <mergeCell ref="B11:D11"/>
  </mergeCells>
  <phoneticPr fontId="2"/>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ignoredErrors>
    <ignoredError sqref="G4:I4" unlockedFormula="1"/>
  </ignoredError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CCFFFF"/>
  </sheetPr>
  <dimension ref="A1:H101"/>
  <sheetViews>
    <sheetView showWhiteSpace="0" zoomScale="120" zoomScaleNormal="120" workbookViewId="0">
      <pane ySplit="3" topLeftCell="A4" activePane="bottomLeft" state="frozen"/>
      <selection activeCell="O13" sqref="O13"/>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31</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 t="shared" ref="H5:H36" si="0">IF(OR(F5&lt;&gt;"",G5&lt;&gt;""),H4+F5-G5,"")</f>
        <v/>
      </c>
    </row>
    <row r="6" spans="1:8" ht="20.100000000000001" customHeight="1">
      <c r="A6" s="621"/>
      <c r="B6" s="678"/>
      <c r="C6" s="623"/>
      <c r="D6" s="679"/>
      <c r="E6" s="625"/>
      <c r="F6" s="626"/>
      <c r="G6" s="627"/>
      <c r="H6" s="634" t="str">
        <f t="shared" si="0"/>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ref="H37:H68" si="1">IF(OR(F37&lt;&gt;"",G37&lt;&gt;""),H36+F37-G37,"")</f>
        <v/>
      </c>
    </row>
    <row r="38" spans="1:8" ht="20.100000000000001" customHeight="1">
      <c r="A38" s="621"/>
      <c r="B38" s="678"/>
      <c r="C38" s="623"/>
      <c r="D38" s="679"/>
      <c r="E38" s="625"/>
      <c r="F38" s="626"/>
      <c r="G38" s="627"/>
      <c r="H38" s="634" t="str">
        <f t="shared" si="1"/>
        <v/>
      </c>
    </row>
    <row r="39" spans="1:8" ht="20.100000000000001" customHeight="1">
      <c r="A39" s="621"/>
      <c r="B39" s="678"/>
      <c r="C39" s="623"/>
      <c r="D39" s="679"/>
      <c r="E39" s="625"/>
      <c r="F39" s="626"/>
      <c r="G39" s="627"/>
      <c r="H39" s="634" t="str">
        <f t="shared" si="1"/>
        <v/>
      </c>
    </row>
    <row r="40" spans="1:8" ht="20.100000000000001" customHeight="1">
      <c r="A40" s="621"/>
      <c r="B40" s="678"/>
      <c r="C40" s="623"/>
      <c r="D40" s="679"/>
      <c r="E40" s="625"/>
      <c r="F40" s="626"/>
      <c r="G40" s="627"/>
      <c r="H40" s="634" t="str">
        <f t="shared" si="1"/>
        <v/>
      </c>
    </row>
    <row r="41" spans="1:8" ht="20.100000000000001" customHeight="1">
      <c r="A41" s="621"/>
      <c r="B41" s="678"/>
      <c r="C41" s="623"/>
      <c r="D41" s="679"/>
      <c r="E41" s="625"/>
      <c r="F41" s="626"/>
      <c r="G41" s="627"/>
      <c r="H41" s="634" t="str">
        <f t="shared" si="1"/>
        <v/>
      </c>
    </row>
    <row r="42" spans="1:8" ht="20.100000000000001" customHeight="1">
      <c r="A42" s="621"/>
      <c r="B42" s="678"/>
      <c r="C42" s="623"/>
      <c r="D42" s="679"/>
      <c r="E42" s="625"/>
      <c r="F42" s="626"/>
      <c r="G42" s="627"/>
      <c r="H42" s="634" t="str">
        <f t="shared" si="1"/>
        <v/>
      </c>
    </row>
    <row r="43" spans="1:8" ht="20.100000000000001" customHeight="1">
      <c r="A43" s="621"/>
      <c r="B43" s="678"/>
      <c r="C43" s="623"/>
      <c r="D43" s="679"/>
      <c r="E43" s="625"/>
      <c r="F43" s="626"/>
      <c r="G43" s="627"/>
      <c r="H43" s="634" t="str">
        <f t="shared" si="1"/>
        <v/>
      </c>
    </row>
    <row r="44" spans="1:8" ht="20.100000000000001" customHeight="1">
      <c r="A44" s="621"/>
      <c r="B44" s="678"/>
      <c r="C44" s="623"/>
      <c r="D44" s="679"/>
      <c r="E44" s="625"/>
      <c r="F44" s="626"/>
      <c r="G44" s="627"/>
      <c r="H44" s="634" t="str">
        <f t="shared" si="1"/>
        <v/>
      </c>
    </row>
    <row r="45" spans="1:8" ht="20.100000000000001" customHeight="1">
      <c r="A45" s="621"/>
      <c r="B45" s="678"/>
      <c r="C45" s="623"/>
      <c r="D45" s="679"/>
      <c r="E45" s="625"/>
      <c r="F45" s="626"/>
      <c r="G45" s="627"/>
      <c r="H45" s="634" t="str">
        <f t="shared" si="1"/>
        <v/>
      </c>
    </row>
    <row r="46" spans="1:8" ht="20.100000000000001" customHeight="1">
      <c r="A46" s="621"/>
      <c r="B46" s="678"/>
      <c r="C46" s="623"/>
      <c r="D46" s="679"/>
      <c r="E46" s="625"/>
      <c r="F46" s="626"/>
      <c r="G46" s="627"/>
      <c r="H46" s="634" t="str">
        <f t="shared" si="1"/>
        <v/>
      </c>
    </row>
    <row r="47" spans="1:8" ht="20.100000000000001" customHeight="1">
      <c r="A47" s="621"/>
      <c r="B47" s="678"/>
      <c r="C47" s="623"/>
      <c r="D47" s="679"/>
      <c r="E47" s="625"/>
      <c r="F47" s="626"/>
      <c r="G47" s="627"/>
      <c r="H47" s="634" t="str">
        <f t="shared" si="1"/>
        <v/>
      </c>
    </row>
    <row r="48" spans="1:8" ht="20.100000000000001" customHeight="1">
      <c r="A48" s="621"/>
      <c r="B48" s="678"/>
      <c r="C48" s="623"/>
      <c r="D48" s="679"/>
      <c r="E48" s="625"/>
      <c r="F48" s="626"/>
      <c r="G48" s="627"/>
      <c r="H48" s="634" t="str">
        <f t="shared" si="1"/>
        <v/>
      </c>
    </row>
    <row r="49" spans="1:8" ht="20.100000000000001" customHeight="1">
      <c r="A49" s="621"/>
      <c r="B49" s="678"/>
      <c r="C49" s="623"/>
      <c r="D49" s="679"/>
      <c r="E49" s="625"/>
      <c r="F49" s="626"/>
      <c r="G49" s="627"/>
      <c r="H49" s="634" t="str">
        <f t="shared" si="1"/>
        <v/>
      </c>
    </row>
    <row r="50" spans="1:8" ht="20.100000000000001" customHeight="1">
      <c r="A50" s="621"/>
      <c r="B50" s="678"/>
      <c r="C50" s="623"/>
      <c r="D50" s="679"/>
      <c r="E50" s="625"/>
      <c r="F50" s="626"/>
      <c r="G50" s="627"/>
      <c r="H50" s="634" t="str">
        <f t="shared" si="1"/>
        <v/>
      </c>
    </row>
    <row r="51" spans="1:8" ht="20.100000000000001" customHeight="1">
      <c r="A51" s="621"/>
      <c r="B51" s="678"/>
      <c r="C51" s="623"/>
      <c r="D51" s="679"/>
      <c r="E51" s="625"/>
      <c r="F51" s="626"/>
      <c r="G51" s="627"/>
      <c r="H51" s="634" t="str">
        <f t="shared" si="1"/>
        <v/>
      </c>
    </row>
    <row r="52" spans="1:8" ht="20.100000000000001" customHeight="1">
      <c r="A52" s="621"/>
      <c r="B52" s="678"/>
      <c r="C52" s="623"/>
      <c r="D52" s="679"/>
      <c r="E52" s="625"/>
      <c r="F52" s="626"/>
      <c r="G52" s="627"/>
      <c r="H52" s="634" t="str">
        <f t="shared" si="1"/>
        <v/>
      </c>
    </row>
    <row r="53" spans="1:8" ht="20.100000000000001" customHeight="1">
      <c r="A53" s="621"/>
      <c r="B53" s="678"/>
      <c r="C53" s="623"/>
      <c r="D53" s="679"/>
      <c r="E53" s="625"/>
      <c r="F53" s="626"/>
      <c r="G53" s="627"/>
      <c r="H53" s="634" t="str">
        <f t="shared" si="1"/>
        <v/>
      </c>
    </row>
    <row r="54" spans="1:8" ht="20.100000000000001" customHeight="1">
      <c r="A54" s="621"/>
      <c r="B54" s="678"/>
      <c r="C54" s="623"/>
      <c r="D54" s="679"/>
      <c r="E54" s="625"/>
      <c r="F54" s="626"/>
      <c r="G54" s="627"/>
      <c r="H54" s="634" t="str">
        <f t="shared" si="1"/>
        <v/>
      </c>
    </row>
    <row r="55" spans="1:8" ht="20.100000000000001" customHeight="1">
      <c r="A55" s="621"/>
      <c r="B55" s="678"/>
      <c r="C55" s="623"/>
      <c r="D55" s="679"/>
      <c r="E55" s="625"/>
      <c r="F55" s="626"/>
      <c r="G55" s="627"/>
      <c r="H55" s="634" t="str">
        <f t="shared" si="1"/>
        <v/>
      </c>
    </row>
    <row r="56" spans="1:8" ht="20.100000000000001" customHeight="1">
      <c r="A56" s="621"/>
      <c r="B56" s="678"/>
      <c r="C56" s="623"/>
      <c r="D56" s="679"/>
      <c r="E56" s="625"/>
      <c r="F56" s="626"/>
      <c r="G56" s="627"/>
      <c r="H56" s="634" t="str">
        <f t="shared" si="1"/>
        <v/>
      </c>
    </row>
    <row r="57" spans="1:8" ht="20.100000000000001" customHeight="1">
      <c r="A57" s="621"/>
      <c r="B57" s="678"/>
      <c r="C57" s="623"/>
      <c r="D57" s="679"/>
      <c r="E57" s="625"/>
      <c r="F57" s="626"/>
      <c r="G57" s="627"/>
      <c r="H57" s="634" t="str">
        <f t="shared" si="1"/>
        <v/>
      </c>
    </row>
    <row r="58" spans="1:8" ht="20.100000000000001" customHeight="1">
      <c r="A58" s="621"/>
      <c r="B58" s="678"/>
      <c r="C58" s="623"/>
      <c r="D58" s="679"/>
      <c r="E58" s="625"/>
      <c r="F58" s="626"/>
      <c r="G58" s="627"/>
      <c r="H58" s="634" t="str">
        <f t="shared" si="1"/>
        <v/>
      </c>
    </row>
    <row r="59" spans="1:8" ht="20.100000000000001" customHeight="1">
      <c r="A59" s="621"/>
      <c r="B59" s="678"/>
      <c r="C59" s="623"/>
      <c r="D59" s="679"/>
      <c r="E59" s="625"/>
      <c r="F59" s="626"/>
      <c r="G59" s="627"/>
      <c r="H59" s="634" t="str">
        <f t="shared" si="1"/>
        <v/>
      </c>
    </row>
    <row r="60" spans="1:8" ht="20.100000000000001" customHeight="1">
      <c r="A60" s="621"/>
      <c r="B60" s="678"/>
      <c r="C60" s="623"/>
      <c r="D60" s="679"/>
      <c r="E60" s="625"/>
      <c r="F60" s="626"/>
      <c r="G60" s="627"/>
      <c r="H60" s="634" t="str">
        <f t="shared" si="1"/>
        <v/>
      </c>
    </row>
    <row r="61" spans="1:8" ht="20.100000000000001" customHeight="1">
      <c r="A61" s="621"/>
      <c r="B61" s="678"/>
      <c r="C61" s="623"/>
      <c r="D61" s="679"/>
      <c r="E61" s="625"/>
      <c r="F61" s="626"/>
      <c r="G61" s="627"/>
      <c r="H61" s="634" t="str">
        <f t="shared" si="1"/>
        <v/>
      </c>
    </row>
    <row r="62" spans="1:8" ht="20.100000000000001" customHeight="1">
      <c r="A62" s="621"/>
      <c r="B62" s="678"/>
      <c r="C62" s="623"/>
      <c r="D62" s="679"/>
      <c r="E62" s="625"/>
      <c r="F62" s="626"/>
      <c r="G62" s="627"/>
      <c r="H62" s="634" t="str">
        <f t="shared" si="1"/>
        <v/>
      </c>
    </row>
    <row r="63" spans="1:8" ht="20.100000000000001" customHeight="1">
      <c r="A63" s="621"/>
      <c r="B63" s="678"/>
      <c r="C63" s="623"/>
      <c r="D63" s="679"/>
      <c r="E63" s="625"/>
      <c r="F63" s="626"/>
      <c r="G63" s="627"/>
      <c r="H63" s="634" t="str">
        <f t="shared" si="1"/>
        <v/>
      </c>
    </row>
    <row r="64" spans="1:8" ht="20.100000000000001" customHeight="1">
      <c r="A64" s="621"/>
      <c r="B64" s="678"/>
      <c r="C64" s="623"/>
      <c r="D64" s="679"/>
      <c r="E64" s="625"/>
      <c r="F64" s="626"/>
      <c r="G64" s="627"/>
      <c r="H64" s="634" t="str">
        <f t="shared" si="1"/>
        <v/>
      </c>
    </row>
    <row r="65" spans="1:8" ht="20.100000000000001" customHeight="1">
      <c r="A65" s="621"/>
      <c r="B65" s="678"/>
      <c r="C65" s="623"/>
      <c r="D65" s="679"/>
      <c r="E65" s="625"/>
      <c r="F65" s="626"/>
      <c r="G65" s="627"/>
      <c r="H65" s="634" t="str">
        <f t="shared" si="1"/>
        <v/>
      </c>
    </row>
    <row r="66" spans="1:8" ht="20.100000000000001" customHeight="1">
      <c r="A66" s="621"/>
      <c r="B66" s="678"/>
      <c r="C66" s="623"/>
      <c r="D66" s="679"/>
      <c r="E66" s="625"/>
      <c r="F66" s="626"/>
      <c r="G66" s="627"/>
      <c r="H66" s="634" t="str">
        <f t="shared" si="1"/>
        <v/>
      </c>
    </row>
    <row r="67" spans="1:8" ht="20.100000000000001" customHeight="1">
      <c r="A67" s="621"/>
      <c r="B67" s="678"/>
      <c r="C67" s="623"/>
      <c r="D67" s="679"/>
      <c r="E67" s="625"/>
      <c r="F67" s="626"/>
      <c r="G67" s="627"/>
      <c r="H67" s="634" t="str">
        <f t="shared" si="1"/>
        <v/>
      </c>
    </row>
    <row r="68" spans="1:8" ht="20.100000000000001" customHeight="1">
      <c r="A68" s="621"/>
      <c r="B68" s="678"/>
      <c r="C68" s="623"/>
      <c r="D68" s="679"/>
      <c r="E68" s="625"/>
      <c r="F68" s="626"/>
      <c r="G68" s="627"/>
      <c r="H68" s="634" t="str">
        <f t="shared" si="1"/>
        <v/>
      </c>
    </row>
    <row r="69" spans="1:8" ht="20.100000000000001" customHeight="1">
      <c r="A69" s="621"/>
      <c r="B69" s="678"/>
      <c r="C69" s="623"/>
      <c r="D69" s="679"/>
      <c r="E69" s="625"/>
      <c r="F69" s="626"/>
      <c r="G69" s="627"/>
      <c r="H69" s="634" t="str">
        <f t="shared" ref="H69:H98" si="2">IF(OR(F69&lt;&gt;"",G69&lt;&gt;""),H68+F69-G69,"")</f>
        <v/>
      </c>
    </row>
    <row r="70" spans="1:8" ht="20.100000000000001" customHeight="1">
      <c r="A70" s="621"/>
      <c r="B70" s="678"/>
      <c r="C70" s="623"/>
      <c r="D70" s="679"/>
      <c r="E70" s="625"/>
      <c r="F70" s="626"/>
      <c r="G70" s="627"/>
      <c r="H70" s="634" t="str">
        <f t="shared" si="2"/>
        <v/>
      </c>
    </row>
    <row r="71" spans="1:8" ht="20.100000000000001" customHeight="1">
      <c r="A71" s="621"/>
      <c r="B71" s="678"/>
      <c r="C71" s="623"/>
      <c r="D71" s="679"/>
      <c r="E71" s="625"/>
      <c r="F71" s="626"/>
      <c r="G71" s="627"/>
      <c r="H71" s="634" t="str">
        <f t="shared" si="2"/>
        <v/>
      </c>
    </row>
    <row r="72" spans="1:8" ht="20.100000000000001" customHeight="1">
      <c r="A72" s="621"/>
      <c r="B72" s="678"/>
      <c r="C72" s="623"/>
      <c r="D72" s="679"/>
      <c r="E72" s="625"/>
      <c r="F72" s="626"/>
      <c r="G72" s="627"/>
      <c r="H72" s="634" t="str">
        <f t="shared" si="2"/>
        <v/>
      </c>
    </row>
    <row r="73" spans="1:8" ht="20.100000000000001" customHeight="1">
      <c r="A73" s="621"/>
      <c r="B73" s="678"/>
      <c r="C73" s="623"/>
      <c r="D73" s="679"/>
      <c r="E73" s="625"/>
      <c r="F73" s="626"/>
      <c r="G73" s="627"/>
      <c r="H73" s="634" t="str">
        <f t="shared" si="2"/>
        <v/>
      </c>
    </row>
    <row r="74" spans="1:8" ht="20.100000000000001" customHeight="1">
      <c r="A74" s="621"/>
      <c r="B74" s="678"/>
      <c r="C74" s="623"/>
      <c r="D74" s="679"/>
      <c r="E74" s="625"/>
      <c r="F74" s="626"/>
      <c r="G74" s="627"/>
      <c r="H74" s="634" t="str">
        <f t="shared" si="2"/>
        <v/>
      </c>
    </row>
    <row r="75" spans="1:8" ht="20.100000000000001" customHeight="1">
      <c r="A75" s="621"/>
      <c r="B75" s="678"/>
      <c r="C75" s="623"/>
      <c r="D75" s="679"/>
      <c r="E75" s="625"/>
      <c r="F75" s="626"/>
      <c r="G75" s="627"/>
      <c r="H75" s="634" t="str">
        <f t="shared" si="2"/>
        <v/>
      </c>
    </row>
    <row r="76" spans="1:8" ht="20.100000000000001" customHeight="1">
      <c r="A76" s="621"/>
      <c r="B76" s="678"/>
      <c r="C76" s="623"/>
      <c r="D76" s="679"/>
      <c r="E76" s="625"/>
      <c r="F76" s="626"/>
      <c r="G76" s="627"/>
      <c r="H76" s="634" t="str">
        <f t="shared" si="2"/>
        <v/>
      </c>
    </row>
    <row r="77" spans="1:8" ht="20.100000000000001" customHeight="1">
      <c r="A77" s="621"/>
      <c r="B77" s="678"/>
      <c r="C77" s="623"/>
      <c r="D77" s="679"/>
      <c r="E77" s="625"/>
      <c r="F77" s="626"/>
      <c r="G77" s="627"/>
      <c r="H77" s="634" t="str">
        <f t="shared" si="2"/>
        <v/>
      </c>
    </row>
    <row r="78" spans="1:8" ht="20.100000000000001" customHeight="1">
      <c r="A78" s="621"/>
      <c r="B78" s="678"/>
      <c r="C78" s="623"/>
      <c r="D78" s="679"/>
      <c r="E78" s="625"/>
      <c r="F78" s="626"/>
      <c r="G78" s="627"/>
      <c r="H78" s="634" t="str">
        <f t="shared" si="2"/>
        <v/>
      </c>
    </row>
    <row r="79" spans="1:8" ht="20.100000000000001" customHeight="1">
      <c r="A79" s="621"/>
      <c r="B79" s="678"/>
      <c r="C79" s="623"/>
      <c r="D79" s="679"/>
      <c r="E79" s="625"/>
      <c r="F79" s="626"/>
      <c r="G79" s="627"/>
      <c r="H79" s="634" t="str">
        <f t="shared" si="2"/>
        <v/>
      </c>
    </row>
    <row r="80" spans="1:8" ht="20.100000000000001" customHeight="1">
      <c r="A80" s="621"/>
      <c r="B80" s="678"/>
      <c r="C80" s="623"/>
      <c r="D80" s="679"/>
      <c r="E80" s="625"/>
      <c r="F80" s="626"/>
      <c r="G80" s="627"/>
      <c r="H80" s="634" t="str">
        <f t="shared" si="2"/>
        <v/>
      </c>
    </row>
    <row r="81" spans="1:8" ht="20.100000000000001" customHeight="1">
      <c r="A81" s="621"/>
      <c r="B81" s="678"/>
      <c r="C81" s="623"/>
      <c r="D81" s="679"/>
      <c r="E81" s="625"/>
      <c r="F81" s="626"/>
      <c r="G81" s="627"/>
      <c r="H81" s="634" t="str">
        <f t="shared" si="2"/>
        <v/>
      </c>
    </row>
    <row r="82" spans="1:8" ht="20.100000000000001" customHeight="1">
      <c r="A82" s="621"/>
      <c r="B82" s="678"/>
      <c r="C82" s="623"/>
      <c r="D82" s="679"/>
      <c r="E82" s="625"/>
      <c r="F82" s="626"/>
      <c r="G82" s="627"/>
      <c r="H82" s="634" t="str">
        <f t="shared" si="2"/>
        <v/>
      </c>
    </row>
    <row r="83" spans="1:8" ht="20.100000000000001" customHeight="1">
      <c r="A83" s="621"/>
      <c r="B83" s="678"/>
      <c r="C83" s="623"/>
      <c r="D83" s="679"/>
      <c r="E83" s="625"/>
      <c r="F83" s="626"/>
      <c r="G83" s="627"/>
      <c r="H83" s="634" t="str">
        <f t="shared" si="2"/>
        <v/>
      </c>
    </row>
    <row r="84" spans="1:8" ht="20.100000000000001" customHeight="1">
      <c r="A84" s="621"/>
      <c r="B84" s="678"/>
      <c r="C84" s="623"/>
      <c r="D84" s="679"/>
      <c r="E84" s="625"/>
      <c r="F84" s="626"/>
      <c r="G84" s="627"/>
      <c r="H84" s="634" t="str">
        <f t="shared" si="2"/>
        <v/>
      </c>
    </row>
    <row r="85" spans="1:8" ht="20.100000000000001" customHeight="1">
      <c r="A85" s="621"/>
      <c r="B85" s="678"/>
      <c r="C85" s="623"/>
      <c r="D85" s="679"/>
      <c r="E85" s="625"/>
      <c r="F85" s="626"/>
      <c r="G85" s="627"/>
      <c r="H85" s="634" t="str">
        <f t="shared" si="2"/>
        <v/>
      </c>
    </row>
    <row r="86" spans="1:8" ht="20.100000000000001" customHeight="1">
      <c r="A86" s="621"/>
      <c r="B86" s="678"/>
      <c r="C86" s="623"/>
      <c r="D86" s="679"/>
      <c r="E86" s="625"/>
      <c r="F86" s="626"/>
      <c r="G86" s="627"/>
      <c r="H86" s="634" t="str">
        <f t="shared" si="2"/>
        <v/>
      </c>
    </row>
    <row r="87" spans="1:8" ht="20.100000000000001" customHeight="1">
      <c r="A87" s="621"/>
      <c r="B87" s="678"/>
      <c r="C87" s="623"/>
      <c r="D87" s="679"/>
      <c r="E87" s="625"/>
      <c r="F87" s="626"/>
      <c r="G87" s="627"/>
      <c r="H87" s="634" t="str">
        <f t="shared" si="2"/>
        <v/>
      </c>
    </row>
    <row r="88" spans="1:8" ht="20.100000000000001" customHeight="1">
      <c r="A88" s="621"/>
      <c r="B88" s="678"/>
      <c r="C88" s="623"/>
      <c r="D88" s="679"/>
      <c r="E88" s="625"/>
      <c r="F88" s="626"/>
      <c r="G88" s="627"/>
      <c r="H88" s="634" t="str">
        <f t="shared" si="2"/>
        <v/>
      </c>
    </row>
    <row r="89" spans="1:8" ht="20.100000000000001" customHeight="1">
      <c r="A89" s="621"/>
      <c r="B89" s="678"/>
      <c r="C89" s="623"/>
      <c r="D89" s="679"/>
      <c r="E89" s="625"/>
      <c r="F89" s="626"/>
      <c r="G89" s="627"/>
      <c r="H89" s="634" t="str">
        <f t="shared" si="2"/>
        <v/>
      </c>
    </row>
    <row r="90" spans="1:8" ht="20.100000000000001" customHeight="1">
      <c r="A90" s="621"/>
      <c r="B90" s="678"/>
      <c r="C90" s="623"/>
      <c r="D90" s="679"/>
      <c r="E90" s="625"/>
      <c r="F90" s="626"/>
      <c r="G90" s="627"/>
      <c r="H90" s="634" t="str">
        <f t="shared" si="2"/>
        <v/>
      </c>
    </row>
    <row r="91" spans="1:8" ht="20.100000000000001" customHeight="1">
      <c r="A91" s="621"/>
      <c r="B91" s="678"/>
      <c r="C91" s="623"/>
      <c r="D91" s="679"/>
      <c r="E91" s="625"/>
      <c r="F91" s="626"/>
      <c r="G91" s="627"/>
      <c r="H91" s="634" t="str">
        <f t="shared" si="2"/>
        <v/>
      </c>
    </row>
    <row r="92" spans="1:8" ht="20.100000000000001" customHeight="1">
      <c r="A92" s="621"/>
      <c r="B92" s="678"/>
      <c r="C92" s="623"/>
      <c r="D92" s="679"/>
      <c r="E92" s="625"/>
      <c r="F92" s="626"/>
      <c r="G92" s="627"/>
      <c r="H92" s="634" t="str">
        <f t="shared" si="2"/>
        <v/>
      </c>
    </row>
    <row r="93" spans="1:8" ht="20.100000000000001" customHeight="1">
      <c r="A93" s="621"/>
      <c r="B93" s="678"/>
      <c r="C93" s="623"/>
      <c r="D93" s="679"/>
      <c r="E93" s="625"/>
      <c r="F93" s="626"/>
      <c r="G93" s="627"/>
      <c r="H93" s="634" t="str">
        <f t="shared" si="2"/>
        <v/>
      </c>
    </row>
    <row r="94" spans="1:8" ht="20.100000000000001" customHeight="1">
      <c r="A94" s="621"/>
      <c r="B94" s="678"/>
      <c r="C94" s="623"/>
      <c r="D94" s="679"/>
      <c r="E94" s="625"/>
      <c r="F94" s="626"/>
      <c r="G94" s="627"/>
      <c r="H94" s="634" t="str">
        <f t="shared" si="2"/>
        <v/>
      </c>
    </row>
    <row r="95" spans="1:8" ht="20.100000000000001" customHeight="1">
      <c r="A95" s="621"/>
      <c r="B95" s="678"/>
      <c r="C95" s="623"/>
      <c r="D95" s="679"/>
      <c r="E95" s="625"/>
      <c r="F95" s="626"/>
      <c r="G95" s="627"/>
      <c r="H95" s="634" t="str">
        <f t="shared" si="2"/>
        <v/>
      </c>
    </row>
    <row r="96" spans="1:8" ht="20.100000000000001" customHeight="1">
      <c r="A96" s="621"/>
      <c r="B96" s="678"/>
      <c r="C96" s="623"/>
      <c r="D96" s="679"/>
      <c r="E96" s="625"/>
      <c r="F96" s="626"/>
      <c r="G96" s="627"/>
      <c r="H96" s="634" t="str">
        <f t="shared" si="2"/>
        <v/>
      </c>
    </row>
    <row r="97" spans="1:8" ht="20.100000000000001" customHeight="1">
      <c r="A97" s="621"/>
      <c r="B97" s="678"/>
      <c r="C97" s="623"/>
      <c r="D97" s="679"/>
      <c r="E97" s="625"/>
      <c r="F97" s="626"/>
      <c r="G97" s="627"/>
      <c r="H97" s="634" t="str">
        <f t="shared" si="2"/>
        <v/>
      </c>
    </row>
    <row r="98" spans="1:8" ht="20.100000000000001" customHeight="1">
      <c r="A98" s="621"/>
      <c r="B98" s="678"/>
      <c r="C98" s="623"/>
      <c r="D98" s="679"/>
      <c r="E98" s="625"/>
      <c r="F98" s="650"/>
      <c r="G98" s="651"/>
      <c r="H98" s="653" t="str">
        <f t="shared" si="2"/>
        <v/>
      </c>
    </row>
    <row r="99" spans="1:8" ht="20.100000000000001" customHeight="1">
      <c r="A99" s="621"/>
      <c r="B99" s="1133" t="s">
        <v>282</v>
      </c>
      <c r="C99" s="1134"/>
      <c r="D99" s="1135"/>
      <c r="E99" s="640"/>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112</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59" t="s">
        <v>6</v>
      </c>
      <c r="C4" s="1159"/>
      <c r="D4" s="1159"/>
      <c r="E4" s="786"/>
      <c r="F4" s="788">
        <f>VLOOKUP($A$1,合計残高試算表!$A$5:$G$44,2,0)</f>
        <v>0</v>
      </c>
      <c r="G4" s="788">
        <f>VLOOKUP($A$1,合計残高試算表!$A$5:$G$44,3,0)</f>
        <v>0</v>
      </c>
      <c r="H4" s="820">
        <f>F4-G4</f>
        <v>0</v>
      </c>
    </row>
    <row r="5" spans="1:8" ht="20.100000000000001" customHeight="1">
      <c r="A5" s="621"/>
      <c r="B5" s="678"/>
      <c r="C5" s="623"/>
      <c r="D5" s="679"/>
      <c r="E5" s="624"/>
      <c r="F5" s="626"/>
      <c r="G5" s="626"/>
      <c r="H5" s="790" t="str">
        <f t="shared" ref="H5:H36" si="0">IF(OR(F5&lt;&gt;"",G5&lt;&gt;""),H4+F5-G5,"")</f>
        <v/>
      </c>
    </row>
    <row r="6" spans="1:8" ht="20.100000000000001" customHeight="1">
      <c r="A6" s="621"/>
      <c r="B6" s="678"/>
      <c r="C6" s="623"/>
      <c r="D6" s="679"/>
      <c r="E6" s="624"/>
      <c r="F6" s="626"/>
      <c r="G6" s="626"/>
      <c r="H6" s="790" t="str">
        <f t="shared" si="0"/>
        <v/>
      </c>
    </row>
    <row r="7" spans="1:8" ht="20.100000000000001" customHeight="1">
      <c r="A7" s="621"/>
      <c r="B7" s="678"/>
      <c r="C7" s="623"/>
      <c r="D7" s="679"/>
      <c r="E7" s="624"/>
      <c r="F7" s="626"/>
      <c r="G7" s="626"/>
      <c r="H7" s="790" t="str">
        <f t="shared" si="0"/>
        <v/>
      </c>
    </row>
    <row r="8" spans="1:8" ht="20.100000000000001" customHeight="1">
      <c r="A8" s="621"/>
      <c r="B8" s="678"/>
      <c r="C8" s="623"/>
      <c r="D8" s="679"/>
      <c r="E8" s="624"/>
      <c r="F8" s="626"/>
      <c r="G8" s="626"/>
      <c r="H8" s="790" t="str">
        <f t="shared" si="0"/>
        <v/>
      </c>
    </row>
    <row r="9" spans="1:8" ht="20.100000000000001" customHeight="1">
      <c r="A9" s="621"/>
      <c r="B9" s="678"/>
      <c r="C9" s="623"/>
      <c r="D9" s="679"/>
      <c r="E9" s="624"/>
      <c r="F9" s="626"/>
      <c r="G9" s="626"/>
      <c r="H9" s="790" t="str">
        <f t="shared" si="0"/>
        <v/>
      </c>
    </row>
    <row r="10" spans="1:8" ht="20.100000000000001" customHeight="1">
      <c r="A10" s="621"/>
      <c r="B10" s="678"/>
      <c r="C10" s="623"/>
      <c r="D10" s="679"/>
      <c r="E10" s="624"/>
      <c r="F10" s="626"/>
      <c r="G10" s="626"/>
      <c r="H10" s="790" t="str">
        <f t="shared" si="0"/>
        <v/>
      </c>
    </row>
    <row r="11" spans="1:8" ht="20.100000000000001" customHeight="1">
      <c r="A11" s="621"/>
      <c r="B11" s="678"/>
      <c r="C11" s="623"/>
      <c r="D11" s="679"/>
      <c r="E11" s="624"/>
      <c r="F11" s="626"/>
      <c r="G11" s="626"/>
      <c r="H11" s="790" t="str">
        <f t="shared" si="0"/>
        <v/>
      </c>
    </row>
    <row r="12" spans="1:8" ht="20.100000000000001" customHeight="1">
      <c r="A12" s="621"/>
      <c r="B12" s="678"/>
      <c r="C12" s="623"/>
      <c r="D12" s="679"/>
      <c r="E12" s="624"/>
      <c r="F12" s="626"/>
      <c r="G12" s="626"/>
      <c r="H12" s="790" t="str">
        <f t="shared" si="0"/>
        <v/>
      </c>
    </row>
    <row r="13" spans="1:8" ht="20.100000000000001" customHeight="1">
      <c r="A13" s="621"/>
      <c r="B13" s="678"/>
      <c r="C13" s="623"/>
      <c r="D13" s="679"/>
      <c r="E13" s="624"/>
      <c r="F13" s="626"/>
      <c r="G13" s="626"/>
      <c r="H13" s="790" t="str">
        <f t="shared" si="0"/>
        <v/>
      </c>
    </row>
    <row r="14" spans="1:8" ht="20.100000000000001" customHeight="1">
      <c r="A14" s="621"/>
      <c r="B14" s="678"/>
      <c r="C14" s="623"/>
      <c r="D14" s="679"/>
      <c r="E14" s="624"/>
      <c r="F14" s="626"/>
      <c r="G14" s="626"/>
      <c r="H14" s="790" t="str">
        <f t="shared" si="0"/>
        <v/>
      </c>
    </row>
    <row r="15" spans="1:8" ht="20.100000000000001" customHeight="1">
      <c r="A15" s="621"/>
      <c r="B15" s="678"/>
      <c r="C15" s="623"/>
      <c r="D15" s="679"/>
      <c r="E15" s="624"/>
      <c r="F15" s="626"/>
      <c r="G15" s="626"/>
      <c r="H15" s="790" t="str">
        <f t="shared" si="0"/>
        <v/>
      </c>
    </row>
    <row r="16" spans="1:8" ht="20.100000000000001" customHeight="1">
      <c r="A16" s="621"/>
      <c r="B16" s="678"/>
      <c r="C16" s="623"/>
      <c r="D16" s="679"/>
      <c r="E16" s="624"/>
      <c r="F16" s="626"/>
      <c r="G16" s="626"/>
      <c r="H16" s="790" t="str">
        <f t="shared" si="0"/>
        <v/>
      </c>
    </row>
    <row r="17" spans="1:8" ht="20.100000000000001" customHeight="1">
      <c r="A17" s="621"/>
      <c r="B17" s="678"/>
      <c r="C17" s="623"/>
      <c r="D17" s="679"/>
      <c r="E17" s="624"/>
      <c r="F17" s="626"/>
      <c r="G17" s="626"/>
      <c r="H17" s="790" t="str">
        <f t="shared" si="0"/>
        <v/>
      </c>
    </row>
    <row r="18" spans="1:8" ht="20.100000000000001" customHeight="1">
      <c r="A18" s="621"/>
      <c r="B18" s="678"/>
      <c r="C18" s="623"/>
      <c r="D18" s="679"/>
      <c r="E18" s="624"/>
      <c r="F18" s="626"/>
      <c r="G18" s="626"/>
      <c r="H18" s="790" t="str">
        <f t="shared" si="0"/>
        <v/>
      </c>
    </row>
    <row r="19" spans="1:8" ht="20.100000000000001" customHeight="1">
      <c r="A19" s="621"/>
      <c r="B19" s="678"/>
      <c r="C19" s="623"/>
      <c r="D19" s="679"/>
      <c r="E19" s="624"/>
      <c r="F19" s="626"/>
      <c r="G19" s="626"/>
      <c r="H19" s="790" t="str">
        <f t="shared" si="0"/>
        <v/>
      </c>
    </row>
    <row r="20" spans="1:8" ht="20.100000000000001" customHeight="1">
      <c r="A20" s="621"/>
      <c r="B20" s="678"/>
      <c r="C20" s="623"/>
      <c r="D20" s="679"/>
      <c r="E20" s="624"/>
      <c r="F20" s="626"/>
      <c r="G20" s="626"/>
      <c r="H20" s="790" t="str">
        <f t="shared" si="0"/>
        <v/>
      </c>
    </row>
    <row r="21" spans="1:8" ht="20.100000000000001" customHeight="1">
      <c r="A21" s="621"/>
      <c r="B21" s="678"/>
      <c r="C21" s="623"/>
      <c r="D21" s="679"/>
      <c r="E21" s="624"/>
      <c r="F21" s="626"/>
      <c r="G21" s="626"/>
      <c r="H21" s="790" t="str">
        <f t="shared" si="0"/>
        <v/>
      </c>
    </row>
    <row r="22" spans="1:8" ht="20.100000000000001" customHeight="1">
      <c r="A22" s="621"/>
      <c r="B22" s="678"/>
      <c r="C22" s="623"/>
      <c r="D22" s="679"/>
      <c r="E22" s="624"/>
      <c r="F22" s="626"/>
      <c r="G22" s="626"/>
      <c r="H22" s="790" t="str">
        <f t="shared" si="0"/>
        <v/>
      </c>
    </row>
    <row r="23" spans="1:8" ht="20.100000000000001" customHeight="1">
      <c r="A23" s="621"/>
      <c r="B23" s="678"/>
      <c r="C23" s="623"/>
      <c r="D23" s="679"/>
      <c r="E23" s="624"/>
      <c r="F23" s="626"/>
      <c r="G23" s="626"/>
      <c r="H23" s="790" t="str">
        <f t="shared" si="0"/>
        <v/>
      </c>
    </row>
    <row r="24" spans="1:8" ht="20.100000000000001" customHeight="1">
      <c r="A24" s="621"/>
      <c r="B24" s="678"/>
      <c r="C24" s="623"/>
      <c r="D24" s="679"/>
      <c r="E24" s="624"/>
      <c r="F24" s="626"/>
      <c r="G24" s="626"/>
      <c r="H24" s="790" t="str">
        <f t="shared" si="0"/>
        <v/>
      </c>
    </row>
    <row r="25" spans="1:8" ht="20.100000000000001" customHeight="1">
      <c r="A25" s="621"/>
      <c r="B25" s="678"/>
      <c r="C25" s="623"/>
      <c r="D25" s="679"/>
      <c r="E25" s="624"/>
      <c r="F25" s="626"/>
      <c r="G25" s="626"/>
      <c r="H25" s="790" t="str">
        <f t="shared" si="0"/>
        <v/>
      </c>
    </row>
    <row r="26" spans="1:8" ht="20.100000000000001" customHeight="1">
      <c r="A26" s="621"/>
      <c r="B26" s="678"/>
      <c r="C26" s="623"/>
      <c r="D26" s="679"/>
      <c r="E26" s="624"/>
      <c r="F26" s="626"/>
      <c r="G26" s="626"/>
      <c r="H26" s="790" t="str">
        <f t="shared" si="0"/>
        <v/>
      </c>
    </row>
    <row r="27" spans="1:8" ht="20.100000000000001" customHeight="1">
      <c r="A27" s="621"/>
      <c r="B27" s="678"/>
      <c r="C27" s="623"/>
      <c r="D27" s="679"/>
      <c r="E27" s="624"/>
      <c r="F27" s="626"/>
      <c r="G27" s="626"/>
      <c r="H27" s="790" t="str">
        <f t="shared" si="0"/>
        <v/>
      </c>
    </row>
    <row r="28" spans="1:8" ht="20.100000000000001" customHeight="1">
      <c r="A28" s="621"/>
      <c r="B28" s="678"/>
      <c r="C28" s="623"/>
      <c r="D28" s="679"/>
      <c r="E28" s="624"/>
      <c r="F28" s="626"/>
      <c r="G28" s="626"/>
      <c r="H28" s="790" t="str">
        <f t="shared" si="0"/>
        <v/>
      </c>
    </row>
    <row r="29" spans="1:8" ht="20.100000000000001" customHeight="1">
      <c r="A29" s="621"/>
      <c r="B29" s="678"/>
      <c r="C29" s="623"/>
      <c r="D29" s="679"/>
      <c r="E29" s="624"/>
      <c r="F29" s="626"/>
      <c r="G29" s="626"/>
      <c r="H29" s="790" t="str">
        <f t="shared" si="0"/>
        <v/>
      </c>
    </row>
    <row r="30" spans="1:8" ht="20.100000000000001" customHeight="1">
      <c r="A30" s="621"/>
      <c r="B30" s="678"/>
      <c r="C30" s="623"/>
      <c r="D30" s="679"/>
      <c r="E30" s="624"/>
      <c r="F30" s="626"/>
      <c r="G30" s="626"/>
      <c r="H30" s="790" t="str">
        <f t="shared" si="0"/>
        <v/>
      </c>
    </row>
    <row r="31" spans="1:8" ht="20.100000000000001" customHeight="1">
      <c r="A31" s="621"/>
      <c r="B31" s="678"/>
      <c r="C31" s="623"/>
      <c r="D31" s="679"/>
      <c r="E31" s="624"/>
      <c r="F31" s="626"/>
      <c r="G31" s="626"/>
      <c r="H31" s="790" t="str">
        <f t="shared" si="0"/>
        <v/>
      </c>
    </row>
    <row r="32" spans="1:8" ht="20.100000000000001" customHeight="1">
      <c r="A32" s="621"/>
      <c r="B32" s="678"/>
      <c r="C32" s="623"/>
      <c r="D32" s="679"/>
      <c r="E32" s="624"/>
      <c r="F32" s="626"/>
      <c r="G32" s="626"/>
      <c r="H32" s="790" t="str">
        <f t="shared" si="0"/>
        <v/>
      </c>
    </row>
    <row r="33" spans="1:8" ht="20.100000000000001" customHeight="1">
      <c r="A33" s="621"/>
      <c r="B33" s="678"/>
      <c r="C33" s="623"/>
      <c r="D33" s="679"/>
      <c r="E33" s="624"/>
      <c r="F33" s="626"/>
      <c r="G33" s="626"/>
      <c r="H33" s="790" t="str">
        <f t="shared" si="0"/>
        <v/>
      </c>
    </row>
    <row r="34" spans="1:8" ht="20.100000000000001" customHeight="1">
      <c r="A34" s="621"/>
      <c r="B34" s="678"/>
      <c r="C34" s="623"/>
      <c r="D34" s="679"/>
      <c r="E34" s="624"/>
      <c r="F34" s="626"/>
      <c r="G34" s="626"/>
      <c r="H34" s="790" t="str">
        <f t="shared" si="0"/>
        <v/>
      </c>
    </row>
    <row r="35" spans="1:8" ht="20.100000000000001" customHeight="1">
      <c r="A35" s="621"/>
      <c r="B35" s="678"/>
      <c r="C35" s="623"/>
      <c r="D35" s="679"/>
      <c r="E35" s="624"/>
      <c r="F35" s="626"/>
      <c r="G35" s="626"/>
      <c r="H35" s="790" t="str">
        <f t="shared" si="0"/>
        <v/>
      </c>
    </row>
    <row r="36" spans="1:8" ht="20.100000000000001" customHeight="1">
      <c r="A36" s="621"/>
      <c r="B36" s="678"/>
      <c r="C36" s="623"/>
      <c r="D36" s="679"/>
      <c r="E36" s="624"/>
      <c r="F36" s="626"/>
      <c r="G36" s="626"/>
      <c r="H36" s="790" t="str">
        <f t="shared" si="0"/>
        <v/>
      </c>
    </row>
    <row r="37" spans="1:8" ht="20.100000000000001" customHeight="1">
      <c r="A37" s="621"/>
      <c r="B37" s="678"/>
      <c r="C37" s="623"/>
      <c r="D37" s="679"/>
      <c r="E37" s="624"/>
      <c r="F37" s="626"/>
      <c r="G37" s="626"/>
      <c r="H37" s="790" t="str">
        <f t="shared" ref="H37:H68" si="1">IF(OR(F37&lt;&gt;"",G37&lt;&gt;""),H36+F37-G37,"")</f>
        <v/>
      </c>
    </row>
    <row r="38" spans="1:8" ht="20.100000000000001" customHeight="1">
      <c r="A38" s="621"/>
      <c r="B38" s="678"/>
      <c r="C38" s="623"/>
      <c r="D38" s="679"/>
      <c r="E38" s="624"/>
      <c r="F38" s="626"/>
      <c r="G38" s="626"/>
      <c r="H38" s="790" t="str">
        <f t="shared" si="1"/>
        <v/>
      </c>
    </row>
    <row r="39" spans="1:8" ht="20.100000000000001" customHeight="1">
      <c r="A39" s="621"/>
      <c r="B39" s="678"/>
      <c r="C39" s="623"/>
      <c r="D39" s="679"/>
      <c r="E39" s="624"/>
      <c r="F39" s="626"/>
      <c r="G39" s="626"/>
      <c r="H39" s="790" t="str">
        <f t="shared" si="1"/>
        <v/>
      </c>
    </row>
    <row r="40" spans="1:8" ht="20.100000000000001" customHeight="1">
      <c r="A40" s="621"/>
      <c r="B40" s="678"/>
      <c r="C40" s="623"/>
      <c r="D40" s="679"/>
      <c r="E40" s="624"/>
      <c r="F40" s="626"/>
      <c r="G40" s="626"/>
      <c r="H40" s="790" t="str">
        <f t="shared" si="1"/>
        <v/>
      </c>
    </row>
    <row r="41" spans="1:8" ht="20.100000000000001" customHeight="1">
      <c r="A41" s="621"/>
      <c r="B41" s="678"/>
      <c r="C41" s="623"/>
      <c r="D41" s="679"/>
      <c r="E41" s="624"/>
      <c r="F41" s="626"/>
      <c r="G41" s="626"/>
      <c r="H41" s="790" t="str">
        <f t="shared" si="1"/>
        <v/>
      </c>
    </row>
    <row r="42" spans="1:8" ht="20.100000000000001" customHeight="1">
      <c r="A42" s="621"/>
      <c r="B42" s="678"/>
      <c r="C42" s="623"/>
      <c r="D42" s="679"/>
      <c r="E42" s="624"/>
      <c r="F42" s="626"/>
      <c r="G42" s="626"/>
      <c r="H42" s="790" t="str">
        <f t="shared" si="1"/>
        <v/>
      </c>
    </row>
    <row r="43" spans="1:8" ht="20.100000000000001" customHeight="1">
      <c r="A43" s="621"/>
      <c r="B43" s="678"/>
      <c r="C43" s="623"/>
      <c r="D43" s="679"/>
      <c r="E43" s="624"/>
      <c r="F43" s="626"/>
      <c r="G43" s="626"/>
      <c r="H43" s="790" t="str">
        <f t="shared" si="1"/>
        <v/>
      </c>
    </row>
    <row r="44" spans="1:8" ht="20.100000000000001" customHeight="1">
      <c r="A44" s="621"/>
      <c r="B44" s="678"/>
      <c r="C44" s="623"/>
      <c r="D44" s="679"/>
      <c r="E44" s="624"/>
      <c r="F44" s="626"/>
      <c r="G44" s="626"/>
      <c r="H44" s="790" t="str">
        <f t="shared" si="1"/>
        <v/>
      </c>
    </row>
    <row r="45" spans="1:8" ht="20.100000000000001" customHeight="1">
      <c r="A45" s="621"/>
      <c r="B45" s="678"/>
      <c r="C45" s="623"/>
      <c r="D45" s="679"/>
      <c r="E45" s="624"/>
      <c r="F45" s="626"/>
      <c r="G45" s="626"/>
      <c r="H45" s="790" t="str">
        <f t="shared" si="1"/>
        <v/>
      </c>
    </row>
    <row r="46" spans="1:8" ht="20.100000000000001" customHeight="1">
      <c r="A46" s="621"/>
      <c r="B46" s="678"/>
      <c r="C46" s="623"/>
      <c r="D46" s="679"/>
      <c r="E46" s="624"/>
      <c r="F46" s="626"/>
      <c r="G46" s="626"/>
      <c r="H46" s="790" t="str">
        <f t="shared" si="1"/>
        <v/>
      </c>
    </row>
    <row r="47" spans="1:8" ht="20.100000000000001" customHeight="1">
      <c r="A47" s="621"/>
      <c r="B47" s="678"/>
      <c r="C47" s="623"/>
      <c r="D47" s="679"/>
      <c r="E47" s="624"/>
      <c r="F47" s="626"/>
      <c r="G47" s="626"/>
      <c r="H47" s="790" t="str">
        <f t="shared" si="1"/>
        <v/>
      </c>
    </row>
    <row r="48" spans="1:8" ht="20.100000000000001" customHeight="1">
      <c r="A48" s="621"/>
      <c r="B48" s="678"/>
      <c r="C48" s="623"/>
      <c r="D48" s="679"/>
      <c r="E48" s="624"/>
      <c r="F48" s="626"/>
      <c r="G48" s="626"/>
      <c r="H48" s="790" t="str">
        <f t="shared" si="1"/>
        <v/>
      </c>
    </row>
    <row r="49" spans="1:8" ht="20.100000000000001" customHeight="1">
      <c r="A49" s="621"/>
      <c r="B49" s="678"/>
      <c r="C49" s="623"/>
      <c r="D49" s="679"/>
      <c r="E49" s="624"/>
      <c r="F49" s="626"/>
      <c r="G49" s="626"/>
      <c r="H49" s="790" t="str">
        <f t="shared" si="1"/>
        <v/>
      </c>
    </row>
    <row r="50" spans="1:8" ht="20.100000000000001" customHeight="1">
      <c r="A50" s="621"/>
      <c r="B50" s="678"/>
      <c r="C50" s="623"/>
      <c r="D50" s="679"/>
      <c r="E50" s="624"/>
      <c r="F50" s="626"/>
      <c r="G50" s="626"/>
      <c r="H50" s="790" t="str">
        <f t="shared" si="1"/>
        <v/>
      </c>
    </row>
    <row r="51" spans="1:8" ht="20.100000000000001" customHeight="1">
      <c r="A51" s="621"/>
      <c r="B51" s="678"/>
      <c r="C51" s="623"/>
      <c r="D51" s="679"/>
      <c r="E51" s="624"/>
      <c r="F51" s="626"/>
      <c r="G51" s="626"/>
      <c r="H51" s="790" t="str">
        <f t="shared" si="1"/>
        <v/>
      </c>
    </row>
    <row r="52" spans="1:8" ht="20.100000000000001" customHeight="1">
      <c r="A52" s="621"/>
      <c r="B52" s="678"/>
      <c r="C52" s="623"/>
      <c r="D52" s="679"/>
      <c r="E52" s="624"/>
      <c r="F52" s="626"/>
      <c r="G52" s="626"/>
      <c r="H52" s="790" t="str">
        <f t="shared" si="1"/>
        <v/>
      </c>
    </row>
    <row r="53" spans="1:8" ht="20.100000000000001" customHeight="1">
      <c r="A53" s="621"/>
      <c r="B53" s="678"/>
      <c r="C53" s="623"/>
      <c r="D53" s="679"/>
      <c r="E53" s="624"/>
      <c r="F53" s="626"/>
      <c r="G53" s="626"/>
      <c r="H53" s="790" t="str">
        <f t="shared" si="1"/>
        <v/>
      </c>
    </row>
    <row r="54" spans="1:8" ht="20.100000000000001" customHeight="1">
      <c r="A54" s="621"/>
      <c r="B54" s="678"/>
      <c r="C54" s="623"/>
      <c r="D54" s="679"/>
      <c r="E54" s="624"/>
      <c r="F54" s="626"/>
      <c r="G54" s="626"/>
      <c r="H54" s="790" t="str">
        <f t="shared" si="1"/>
        <v/>
      </c>
    </row>
    <row r="55" spans="1:8" ht="20.100000000000001" customHeight="1">
      <c r="A55" s="621"/>
      <c r="B55" s="678"/>
      <c r="C55" s="623"/>
      <c r="D55" s="679"/>
      <c r="E55" s="624"/>
      <c r="F55" s="626"/>
      <c r="G55" s="626"/>
      <c r="H55" s="790" t="str">
        <f t="shared" si="1"/>
        <v/>
      </c>
    </row>
    <row r="56" spans="1:8" ht="20.100000000000001" customHeight="1">
      <c r="A56" s="621"/>
      <c r="B56" s="678"/>
      <c r="C56" s="623"/>
      <c r="D56" s="679"/>
      <c r="E56" s="624"/>
      <c r="F56" s="626"/>
      <c r="G56" s="626"/>
      <c r="H56" s="790" t="str">
        <f t="shared" si="1"/>
        <v/>
      </c>
    </row>
    <row r="57" spans="1:8" ht="20.100000000000001" customHeight="1">
      <c r="A57" s="621"/>
      <c r="B57" s="678"/>
      <c r="C57" s="623"/>
      <c r="D57" s="679"/>
      <c r="E57" s="624"/>
      <c r="F57" s="626"/>
      <c r="G57" s="626"/>
      <c r="H57" s="790" t="str">
        <f t="shared" si="1"/>
        <v/>
      </c>
    </row>
    <row r="58" spans="1:8" ht="20.100000000000001" customHeight="1">
      <c r="A58" s="621"/>
      <c r="B58" s="678"/>
      <c r="C58" s="623"/>
      <c r="D58" s="679"/>
      <c r="E58" s="624"/>
      <c r="F58" s="626"/>
      <c r="G58" s="626"/>
      <c r="H58" s="790" t="str">
        <f t="shared" si="1"/>
        <v/>
      </c>
    </row>
    <row r="59" spans="1:8" ht="20.100000000000001" customHeight="1">
      <c r="A59" s="621"/>
      <c r="B59" s="678"/>
      <c r="C59" s="623"/>
      <c r="D59" s="679"/>
      <c r="E59" s="624"/>
      <c r="F59" s="626"/>
      <c r="G59" s="626"/>
      <c r="H59" s="790" t="str">
        <f t="shared" si="1"/>
        <v/>
      </c>
    </row>
    <row r="60" spans="1:8" ht="20.100000000000001" customHeight="1">
      <c r="A60" s="621"/>
      <c r="B60" s="678"/>
      <c r="C60" s="623"/>
      <c r="D60" s="679"/>
      <c r="E60" s="624"/>
      <c r="F60" s="626"/>
      <c r="G60" s="626"/>
      <c r="H60" s="790" t="str">
        <f t="shared" si="1"/>
        <v/>
      </c>
    </row>
    <row r="61" spans="1:8" ht="20.100000000000001" customHeight="1">
      <c r="A61" s="621"/>
      <c r="B61" s="678"/>
      <c r="C61" s="623"/>
      <c r="D61" s="679"/>
      <c r="E61" s="624"/>
      <c r="F61" s="626"/>
      <c r="G61" s="626"/>
      <c r="H61" s="790" t="str">
        <f t="shared" si="1"/>
        <v/>
      </c>
    </row>
    <row r="62" spans="1:8" ht="20.100000000000001" customHeight="1">
      <c r="A62" s="621"/>
      <c r="B62" s="678"/>
      <c r="C62" s="623"/>
      <c r="D62" s="679"/>
      <c r="E62" s="624"/>
      <c r="F62" s="626"/>
      <c r="G62" s="626"/>
      <c r="H62" s="790" t="str">
        <f t="shared" si="1"/>
        <v/>
      </c>
    </row>
    <row r="63" spans="1:8" ht="20.100000000000001" customHeight="1">
      <c r="A63" s="621"/>
      <c r="B63" s="678"/>
      <c r="C63" s="623"/>
      <c r="D63" s="679"/>
      <c r="E63" s="624"/>
      <c r="F63" s="626"/>
      <c r="G63" s="626"/>
      <c r="H63" s="790" t="str">
        <f t="shared" si="1"/>
        <v/>
      </c>
    </row>
    <row r="64" spans="1:8" ht="20.100000000000001" customHeight="1">
      <c r="A64" s="621"/>
      <c r="B64" s="678"/>
      <c r="C64" s="623"/>
      <c r="D64" s="679"/>
      <c r="E64" s="624"/>
      <c r="F64" s="626"/>
      <c r="G64" s="626"/>
      <c r="H64" s="790" t="str">
        <f t="shared" si="1"/>
        <v/>
      </c>
    </row>
    <row r="65" spans="1:8" ht="20.100000000000001" customHeight="1">
      <c r="A65" s="621"/>
      <c r="B65" s="678"/>
      <c r="C65" s="623"/>
      <c r="D65" s="679"/>
      <c r="E65" s="624"/>
      <c r="F65" s="626"/>
      <c r="G65" s="626"/>
      <c r="H65" s="790" t="str">
        <f t="shared" si="1"/>
        <v/>
      </c>
    </row>
    <row r="66" spans="1:8" ht="20.100000000000001" customHeight="1">
      <c r="A66" s="621"/>
      <c r="B66" s="678"/>
      <c r="C66" s="623"/>
      <c r="D66" s="679"/>
      <c r="E66" s="624"/>
      <c r="F66" s="626"/>
      <c r="G66" s="626"/>
      <c r="H66" s="790" t="str">
        <f t="shared" si="1"/>
        <v/>
      </c>
    </row>
    <row r="67" spans="1:8" ht="20.100000000000001" customHeight="1">
      <c r="A67" s="621"/>
      <c r="B67" s="678"/>
      <c r="C67" s="623"/>
      <c r="D67" s="679"/>
      <c r="E67" s="624"/>
      <c r="F67" s="626"/>
      <c r="G67" s="626"/>
      <c r="H67" s="790" t="str">
        <f t="shared" si="1"/>
        <v/>
      </c>
    </row>
    <row r="68" spans="1:8" ht="20.100000000000001" customHeight="1">
      <c r="A68" s="621"/>
      <c r="B68" s="678"/>
      <c r="C68" s="623"/>
      <c r="D68" s="679"/>
      <c r="E68" s="624"/>
      <c r="F68" s="626"/>
      <c r="G68" s="626"/>
      <c r="H68" s="790" t="str">
        <f t="shared" si="1"/>
        <v/>
      </c>
    </row>
    <row r="69" spans="1:8" ht="20.100000000000001" customHeight="1">
      <c r="A69" s="621"/>
      <c r="B69" s="678"/>
      <c r="C69" s="623"/>
      <c r="D69" s="679"/>
      <c r="E69" s="624"/>
      <c r="F69" s="626"/>
      <c r="G69" s="626"/>
      <c r="H69" s="790" t="str">
        <f t="shared" ref="H69:H98" si="2">IF(OR(F69&lt;&gt;"",G69&lt;&gt;""),H68+F69-G69,"")</f>
        <v/>
      </c>
    </row>
    <row r="70" spans="1:8" ht="20.100000000000001" customHeight="1">
      <c r="A70" s="621"/>
      <c r="B70" s="678"/>
      <c r="C70" s="623"/>
      <c r="D70" s="679"/>
      <c r="E70" s="624"/>
      <c r="F70" s="626"/>
      <c r="G70" s="626"/>
      <c r="H70" s="790" t="str">
        <f t="shared" si="2"/>
        <v/>
      </c>
    </row>
    <row r="71" spans="1:8" ht="20.100000000000001" customHeight="1">
      <c r="A71" s="621"/>
      <c r="B71" s="678"/>
      <c r="C71" s="623"/>
      <c r="D71" s="679"/>
      <c r="E71" s="624"/>
      <c r="F71" s="626"/>
      <c r="G71" s="626"/>
      <c r="H71" s="790" t="str">
        <f t="shared" si="2"/>
        <v/>
      </c>
    </row>
    <row r="72" spans="1:8" ht="20.100000000000001" customHeight="1">
      <c r="A72" s="621"/>
      <c r="B72" s="678"/>
      <c r="C72" s="623"/>
      <c r="D72" s="679"/>
      <c r="E72" s="624"/>
      <c r="F72" s="626"/>
      <c r="G72" s="626"/>
      <c r="H72" s="790" t="str">
        <f t="shared" si="2"/>
        <v/>
      </c>
    </row>
    <row r="73" spans="1:8" ht="20.100000000000001" customHeight="1">
      <c r="A73" s="621"/>
      <c r="B73" s="678"/>
      <c r="C73" s="623"/>
      <c r="D73" s="679"/>
      <c r="E73" s="624"/>
      <c r="F73" s="626"/>
      <c r="G73" s="626"/>
      <c r="H73" s="790" t="str">
        <f t="shared" si="2"/>
        <v/>
      </c>
    </row>
    <row r="74" spans="1:8" ht="20.100000000000001" customHeight="1">
      <c r="A74" s="621"/>
      <c r="B74" s="678"/>
      <c r="C74" s="623"/>
      <c r="D74" s="679"/>
      <c r="E74" s="624"/>
      <c r="F74" s="626"/>
      <c r="G74" s="626"/>
      <c r="H74" s="790" t="str">
        <f t="shared" si="2"/>
        <v/>
      </c>
    </row>
    <row r="75" spans="1:8" ht="20.100000000000001" customHeight="1">
      <c r="A75" s="621"/>
      <c r="B75" s="678"/>
      <c r="C75" s="623"/>
      <c r="D75" s="679"/>
      <c r="E75" s="624"/>
      <c r="F75" s="626"/>
      <c r="G75" s="626"/>
      <c r="H75" s="790" t="str">
        <f t="shared" si="2"/>
        <v/>
      </c>
    </row>
    <row r="76" spans="1:8" ht="20.100000000000001" customHeight="1">
      <c r="A76" s="621"/>
      <c r="B76" s="678"/>
      <c r="C76" s="623"/>
      <c r="D76" s="679"/>
      <c r="E76" s="624"/>
      <c r="F76" s="626"/>
      <c r="G76" s="626"/>
      <c r="H76" s="790" t="str">
        <f t="shared" si="2"/>
        <v/>
      </c>
    </row>
    <row r="77" spans="1:8" ht="20.100000000000001" customHeight="1">
      <c r="A77" s="621"/>
      <c r="B77" s="678"/>
      <c r="C77" s="623"/>
      <c r="D77" s="679"/>
      <c r="E77" s="624"/>
      <c r="F77" s="626"/>
      <c r="G77" s="626"/>
      <c r="H77" s="790" t="str">
        <f t="shared" si="2"/>
        <v/>
      </c>
    </row>
    <row r="78" spans="1:8" ht="20.100000000000001" customHeight="1">
      <c r="A78" s="621"/>
      <c r="B78" s="678"/>
      <c r="C78" s="623"/>
      <c r="D78" s="679"/>
      <c r="E78" s="624"/>
      <c r="F78" s="626"/>
      <c r="G78" s="626"/>
      <c r="H78" s="790" t="str">
        <f t="shared" si="2"/>
        <v/>
      </c>
    </row>
    <row r="79" spans="1:8" ht="20.100000000000001" customHeight="1">
      <c r="A79" s="621"/>
      <c r="B79" s="678"/>
      <c r="C79" s="623"/>
      <c r="D79" s="679"/>
      <c r="E79" s="624"/>
      <c r="F79" s="626"/>
      <c r="G79" s="626"/>
      <c r="H79" s="790" t="str">
        <f t="shared" si="2"/>
        <v/>
      </c>
    </row>
    <row r="80" spans="1:8" ht="20.100000000000001" customHeight="1">
      <c r="A80" s="621"/>
      <c r="B80" s="678"/>
      <c r="C80" s="623"/>
      <c r="D80" s="679"/>
      <c r="E80" s="624"/>
      <c r="F80" s="626"/>
      <c r="G80" s="626"/>
      <c r="H80" s="790" t="str">
        <f t="shared" si="2"/>
        <v/>
      </c>
    </row>
    <row r="81" spans="1:8" ht="20.100000000000001" customHeight="1">
      <c r="A81" s="621"/>
      <c r="B81" s="678"/>
      <c r="C81" s="623"/>
      <c r="D81" s="679"/>
      <c r="E81" s="624"/>
      <c r="F81" s="626"/>
      <c r="G81" s="626"/>
      <c r="H81" s="790" t="str">
        <f t="shared" si="2"/>
        <v/>
      </c>
    </row>
    <row r="82" spans="1:8" ht="20.100000000000001" customHeight="1">
      <c r="A82" s="621"/>
      <c r="B82" s="678"/>
      <c r="C82" s="623"/>
      <c r="D82" s="679"/>
      <c r="E82" s="624"/>
      <c r="F82" s="626"/>
      <c r="G82" s="626"/>
      <c r="H82" s="790" t="str">
        <f t="shared" si="2"/>
        <v/>
      </c>
    </row>
    <row r="83" spans="1:8" ht="20.100000000000001" customHeight="1">
      <c r="A83" s="621"/>
      <c r="B83" s="678"/>
      <c r="C83" s="623"/>
      <c r="D83" s="679"/>
      <c r="E83" s="624"/>
      <c r="F83" s="626"/>
      <c r="G83" s="626"/>
      <c r="H83" s="790" t="str">
        <f t="shared" si="2"/>
        <v/>
      </c>
    </row>
    <row r="84" spans="1:8" ht="20.100000000000001" customHeight="1">
      <c r="A84" s="621"/>
      <c r="B84" s="678"/>
      <c r="C84" s="623"/>
      <c r="D84" s="679"/>
      <c r="E84" s="624"/>
      <c r="F84" s="626"/>
      <c r="G84" s="626"/>
      <c r="H84" s="790" t="str">
        <f t="shared" si="2"/>
        <v/>
      </c>
    </row>
    <row r="85" spans="1:8" ht="20.100000000000001" customHeight="1">
      <c r="A85" s="621"/>
      <c r="B85" s="678"/>
      <c r="C85" s="623"/>
      <c r="D85" s="679"/>
      <c r="E85" s="624"/>
      <c r="F85" s="626"/>
      <c r="G85" s="626"/>
      <c r="H85" s="790" t="str">
        <f t="shared" si="2"/>
        <v/>
      </c>
    </row>
    <row r="86" spans="1:8" ht="20.100000000000001" customHeight="1">
      <c r="A86" s="621"/>
      <c r="B86" s="678"/>
      <c r="C86" s="623"/>
      <c r="D86" s="679"/>
      <c r="E86" s="624"/>
      <c r="F86" s="626"/>
      <c r="G86" s="626"/>
      <c r="H86" s="790" t="str">
        <f t="shared" si="2"/>
        <v/>
      </c>
    </row>
    <row r="87" spans="1:8" ht="20.100000000000001" customHeight="1">
      <c r="A87" s="621"/>
      <c r="B87" s="678"/>
      <c r="C87" s="623"/>
      <c r="D87" s="679"/>
      <c r="E87" s="624"/>
      <c r="F87" s="626"/>
      <c r="G87" s="626"/>
      <c r="H87" s="790" t="str">
        <f t="shared" si="2"/>
        <v/>
      </c>
    </row>
    <row r="88" spans="1:8" ht="20.100000000000001" customHeight="1">
      <c r="A88" s="621"/>
      <c r="B88" s="678"/>
      <c r="C88" s="623"/>
      <c r="D88" s="679"/>
      <c r="E88" s="624"/>
      <c r="F88" s="626"/>
      <c r="G88" s="626"/>
      <c r="H88" s="790" t="str">
        <f t="shared" si="2"/>
        <v/>
      </c>
    </row>
    <row r="89" spans="1:8" ht="20.100000000000001" customHeight="1">
      <c r="A89" s="621"/>
      <c r="B89" s="678"/>
      <c r="C89" s="623"/>
      <c r="D89" s="679"/>
      <c r="E89" s="624"/>
      <c r="F89" s="626"/>
      <c r="G89" s="626"/>
      <c r="H89" s="790" t="str">
        <f t="shared" si="2"/>
        <v/>
      </c>
    </row>
    <row r="90" spans="1:8" ht="20.100000000000001" customHeight="1">
      <c r="A90" s="621"/>
      <c r="B90" s="678"/>
      <c r="C90" s="623"/>
      <c r="D90" s="679"/>
      <c r="E90" s="624"/>
      <c r="F90" s="626"/>
      <c r="G90" s="626"/>
      <c r="H90" s="790" t="str">
        <f t="shared" si="2"/>
        <v/>
      </c>
    </row>
    <row r="91" spans="1:8" ht="20.100000000000001" customHeight="1">
      <c r="A91" s="621"/>
      <c r="B91" s="678"/>
      <c r="C91" s="623"/>
      <c r="D91" s="679"/>
      <c r="E91" s="624"/>
      <c r="F91" s="626"/>
      <c r="G91" s="626"/>
      <c r="H91" s="790" t="str">
        <f t="shared" si="2"/>
        <v/>
      </c>
    </row>
    <row r="92" spans="1:8" ht="20.100000000000001" customHeight="1">
      <c r="A92" s="621"/>
      <c r="B92" s="678"/>
      <c r="C92" s="623"/>
      <c r="D92" s="679"/>
      <c r="E92" s="624"/>
      <c r="F92" s="626"/>
      <c r="G92" s="626"/>
      <c r="H92" s="790" t="str">
        <f t="shared" si="2"/>
        <v/>
      </c>
    </row>
    <row r="93" spans="1:8" ht="20.100000000000001" customHeight="1">
      <c r="A93" s="621"/>
      <c r="B93" s="678"/>
      <c r="C93" s="623"/>
      <c r="D93" s="679"/>
      <c r="E93" s="624"/>
      <c r="F93" s="626"/>
      <c r="G93" s="626"/>
      <c r="H93" s="790" t="str">
        <f t="shared" si="2"/>
        <v/>
      </c>
    </row>
    <row r="94" spans="1:8" ht="20.100000000000001" customHeight="1">
      <c r="A94" s="621"/>
      <c r="B94" s="678"/>
      <c r="C94" s="623"/>
      <c r="D94" s="679"/>
      <c r="E94" s="624"/>
      <c r="F94" s="626"/>
      <c r="G94" s="626"/>
      <c r="H94" s="790" t="str">
        <f t="shared" si="2"/>
        <v/>
      </c>
    </row>
    <row r="95" spans="1:8" ht="20.100000000000001" customHeight="1">
      <c r="A95" s="621"/>
      <c r="B95" s="678"/>
      <c r="C95" s="623"/>
      <c r="D95" s="679"/>
      <c r="E95" s="624"/>
      <c r="F95" s="626"/>
      <c r="G95" s="626"/>
      <c r="H95" s="790" t="str">
        <f t="shared" si="2"/>
        <v/>
      </c>
    </row>
    <row r="96" spans="1:8" ht="20.100000000000001" customHeight="1">
      <c r="A96" s="621"/>
      <c r="B96" s="678"/>
      <c r="C96" s="623"/>
      <c r="D96" s="679"/>
      <c r="E96" s="624"/>
      <c r="F96" s="626"/>
      <c r="G96" s="626"/>
      <c r="H96" s="790" t="str">
        <f t="shared" si="2"/>
        <v/>
      </c>
    </row>
    <row r="97" spans="1:8" ht="20.100000000000001" customHeight="1">
      <c r="A97" s="621"/>
      <c r="B97" s="678"/>
      <c r="C97" s="623"/>
      <c r="D97" s="679"/>
      <c r="E97" s="624"/>
      <c r="F97" s="626"/>
      <c r="G97" s="626"/>
      <c r="H97" s="790" t="str">
        <f t="shared" si="2"/>
        <v/>
      </c>
    </row>
    <row r="98" spans="1:8" ht="20.100000000000001" customHeight="1">
      <c r="A98" s="621"/>
      <c r="B98" s="678"/>
      <c r="C98" s="623"/>
      <c r="D98" s="679"/>
      <c r="E98" s="624"/>
      <c r="F98" s="650"/>
      <c r="G98" s="650"/>
      <c r="H98" s="791" t="str">
        <f t="shared" si="2"/>
        <v/>
      </c>
    </row>
    <row r="99" spans="1:8" ht="20.100000000000001" customHeight="1">
      <c r="A99" s="621"/>
      <c r="B99" s="1145" t="s">
        <v>282</v>
      </c>
      <c r="C99" s="1145"/>
      <c r="D99" s="1145"/>
      <c r="E99" s="639"/>
      <c r="F99" s="682">
        <f>SUM(F4:F98)</f>
        <v>0</v>
      </c>
      <c r="G99" s="682">
        <f>SUM(G4:G98)</f>
        <v>0</v>
      </c>
      <c r="H99" s="821">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disablePrompts="1"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32</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59" t="s">
        <v>6</v>
      </c>
      <c r="C4" s="1159"/>
      <c r="D4" s="1159"/>
      <c r="E4" s="786"/>
      <c r="F4" s="788">
        <f>VLOOKUP($A$1,合計残高試算表!$A$5:$G$44,2,0)</f>
        <v>0</v>
      </c>
      <c r="G4" s="788">
        <f>VLOOKUP($A$1,合計残高試算表!$A$5:$G$44,3,0)</f>
        <v>0</v>
      </c>
      <c r="H4" s="820">
        <f>F4-G4</f>
        <v>0</v>
      </c>
    </row>
    <row r="5" spans="1:8" ht="20.100000000000001" customHeight="1">
      <c r="A5" s="621"/>
      <c r="B5" s="678"/>
      <c r="C5" s="623"/>
      <c r="D5" s="679"/>
      <c r="E5" s="624"/>
      <c r="F5" s="626"/>
      <c r="G5" s="626"/>
      <c r="H5" s="790" t="str">
        <f t="shared" ref="H5:H36" si="0">IF(OR(F5&lt;&gt;"",G5&lt;&gt;""),H4+F5-G5,"")</f>
        <v/>
      </c>
    </row>
    <row r="6" spans="1:8" ht="20.100000000000001" customHeight="1">
      <c r="A6" s="621"/>
      <c r="B6" s="678"/>
      <c r="C6" s="623"/>
      <c r="D6" s="679"/>
      <c r="E6" s="624"/>
      <c r="F6" s="626"/>
      <c r="G6" s="626"/>
      <c r="H6" s="790" t="str">
        <f t="shared" si="0"/>
        <v/>
      </c>
    </row>
    <row r="7" spans="1:8" ht="20.100000000000001" customHeight="1">
      <c r="A7" s="621"/>
      <c r="B7" s="678"/>
      <c r="C7" s="623"/>
      <c r="D7" s="679"/>
      <c r="E7" s="624"/>
      <c r="F7" s="626"/>
      <c r="G7" s="626"/>
      <c r="H7" s="790" t="str">
        <f t="shared" si="0"/>
        <v/>
      </c>
    </row>
    <row r="8" spans="1:8" ht="20.100000000000001" customHeight="1">
      <c r="A8" s="621"/>
      <c r="B8" s="678"/>
      <c r="C8" s="623"/>
      <c r="D8" s="679"/>
      <c r="E8" s="624"/>
      <c r="F8" s="626"/>
      <c r="G8" s="626"/>
      <c r="H8" s="790" t="str">
        <f t="shared" si="0"/>
        <v/>
      </c>
    </row>
    <row r="9" spans="1:8" ht="20.100000000000001" customHeight="1">
      <c r="A9" s="621"/>
      <c r="B9" s="678"/>
      <c r="C9" s="623"/>
      <c r="D9" s="679"/>
      <c r="E9" s="624"/>
      <c r="F9" s="626"/>
      <c r="G9" s="626"/>
      <c r="H9" s="790" t="str">
        <f t="shared" si="0"/>
        <v/>
      </c>
    </row>
    <row r="10" spans="1:8" ht="20.100000000000001" customHeight="1">
      <c r="A10" s="621"/>
      <c r="B10" s="678"/>
      <c r="C10" s="623"/>
      <c r="D10" s="679"/>
      <c r="E10" s="624"/>
      <c r="F10" s="626"/>
      <c r="G10" s="626"/>
      <c r="H10" s="790" t="str">
        <f t="shared" si="0"/>
        <v/>
      </c>
    </row>
    <row r="11" spans="1:8" ht="20.100000000000001" customHeight="1">
      <c r="A11" s="621"/>
      <c r="B11" s="678"/>
      <c r="C11" s="623"/>
      <c r="D11" s="679"/>
      <c r="E11" s="624"/>
      <c r="F11" s="626"/>
      <c r="G11" s="626"/>
      <c r="H11" s="790" t="str">
        <f t="shared" si="0"/>
        <v/>
      </c>
    </row>
    <row r="12" spans="1:8" ht="20.100000000000001" customHeight="1">
      <c r="A12" s="621"/>
      <c r="B12" s="678"/>
      <c r="C12" s="623"/>
      <c r="D12" s="679"/>
      <c r="E12" s="624"/>
      <c r="F12" s="626"/>
      <c r="G12" s="626"/>
      <c r="H12" s="790" t="str">
        <f t="shared" si="0"/>
        <v/>
      </c>
    </row>
    <row r="13" spans="1:8" ht="20.100000000000001" customHeight="1">
      <c r="A13" s="621"/>
      <c r="B13" s="678"/>
      <c r="C13" s="623"/>
      <c r="D13" s="679"/>
      <c r="E13" s="624"/>
      <c r="F13" s="626"/>
      <c r="G13" s="626"/>
      <c r="H13" s="790" t="str">
        <f t="shared" si="0"/>
        <v/>
      </c>
    </row>
    <row r="14" spans="1:8" ht="20.100000000000001" customHeight="1">
      <c r="A14" s="621"/>
      <c r="B14" s="678"/>
      <c r="C14" s="623"/>
      <c r="D14" s="679"/>
      <c r="E14" s="624"/>
      <c r="F14" s="626"/>
      <c r="G14" s="626"/>
      <c r="H14" s="790" t="str">
        <f t="shared" si="0"/>
        <v/>
      </c>
    </row>
    <row r="15" spans="1:8" ht="20.100000000000001" customHeight="1">
      <c r="A15" s="621"/>
      <c r="B15" s="678"/>
      <c r="C15" s="623"/>
      <c r="D15" s="679"/>
      <c r="E15" s="624"/>
      <c r="F15" s="626"/>
      <c r="G15" s="626"/>
      <c r="H15" s="790" t="str">
        <f t="shared" si="0"/>
        <v/>
      </c>
    </row>
    <row r="16" spans="1:8" ht="20.100000000000001" customHeight="1">
      <c r="A16" s="621"/>
      <c r="B16" s="678"/>
      <c r="C16" s="623"/>
      <c r="D16" s="679"/>
      <c r="E16" s="624"/>
      <c r="F16" s="626"/>
      <c r="G16" s="626"/>
      <c r="H16" s="790" t="str">
        <f t="shared" si="0"/>
        <v/>
      </c>
    </row>
    <row r="17" spans="1:8" ht="20.100000000000001" customHeight="1">
      <c r="A17" s="621"/>
      <c r="B17" s="678"/>
      <c r="C17" s="623"/>
      <c r="D17" s="679"/>
      <c r="E17" s="624"/>
      <c r="F17" s="626"/>
      <c r="G17" s="626"/>
      <c r="H17" s="790" t="str">
        <f t="shared" si="0"/>
        <v/>
      </c>
    </row>
    <row r="18" spans="1:8" ht="20.100000000000001" customHeight="1">
      <c r="A18" s="621"/>
      <c r="B18" s="678"/>
      <c r="C18" s="623"/>
      <c r="D18" s="679"/>
      <c r="E18" s="624"/>
      <c r="F18" s="626"/>
      <c r="G18" s="626"/>
      <c r="H18" s="790" t="str">
        <f t="shared" si="0"/>
        <v/>
      </c>
    </row>
    <row r="19" spans="1:8" ht="20.100000000000001" customHeight="1">
      <c r="A19" s="621"/>
      <c r="B19" s="678"/>
      <c r="C19" s="623"/>
      <c r="D19" s="679"/>
      <c r="E19" s="624"/>
      <c r="F19" s="626"/>
      <c r="G19" s="626"/>
      <c r="H19" s="790" t="str">
        <f t="shared" si="0"/>
        <v/>
      </c>
    </row>
    <row r="20" spans="1:8" ht="20.100000000000001" customHeight="1">
      <c r="A20" s="621"/>
      <c r="B20" s="678"/>
      <c r="C20" s="623"/>
      <c r="D20" s="679"/>
      <c r="E20" s="624"/>
      <c r="F20" s="626"/>
      <c r="G20" s="626"/>
      <c r="H20" s="790" t="str">
        <f t="shared" si="0"/>
        <v/>
      </c>
    </row>
    <row r="21" spans="1:8" ht="20.100000000000001" customHeight="1">
      <c r="A21" s="621"/>
      <c r="B21" s="678"/>
      <c r="C21" s="623"/>
      <c r="D21" s="679"/>
      <c r="E21" s="624"/>
      <c r="F21" s="626"/>
      <c r="G21" s="626"/>
      <c r="H21" s="790" t="str">
        <f t="shared" si="0"/>
        <v/>
      </c>
    </row>
    <row r="22" spans="1:8" ht="20.100000000000001" customHeight="1">
      <c r="A22" s="621"/>
      <c r="B22" s="678"/>
      <c r="C22" s="623"/>
      <c r="D22" s="679"/>
      <c r="E22" s="624"/>
      <c r="F22" s="626"/>
      <c r="G22" s="626"/>
      <c r="H22" s="790" t="str">
        <f t="shared" si="0"/>
        <v/>
      </c>
    </row>
    <row r="23" spans="1:8" ht="20.100000000000001" customHeight="1">
      <c r="A23" s="621"/>
      <c r="B23" s="678"/>
      <c r="C23" s="623"/>
      <c r="D23" s="679"/>
      <c r="E23" s="624"/>
      <c r="F23" s="626"/>
      <c r="G23" s="626"/>
      <c r="H23" s="790" t="str">
        <f t="shared" si="0"/>
        <v/>
      </c>
    </row>
    <row r="24" spans="1:8" ht="20.100000000000001" customHeight="1">
      <c r="A24" s="621"/>
      <c r="B24" s="678"/>
      <c r="C24" s="623"/>
      <c r="D24" s="679"/>
      <c r="E24" s="624"/>
      <c r="F24" s="626"/>
      <c r="G24" s="626"/>
      <c r="H24" s="790" t="str">
        <f t="shared" si="0"/>
        <v/>
      </c>
    </row>
    <row r="25" spans="1:8" ht="20.100000000000001" customHeight="1">
      <c r="A25" s="621"/>
      <c r="B25" s="678"/>
      <c r="C25" s="623"/>
      <c r="D25" s="679"/>
      <c r="E25" s="624"/>
      <c r="F25" s="626"/>
      <c r="G25" s="626"/>
      <c r="H25" s="790" t="str">
        <f t="shared" si="0"/>
        <v/>
      </c>
    </row>
    <row r="26" spans="1:8" ht="20.100000000000001" customHeight="1">
      <c r="A26" s="621"/>
      <c r="B26" s="678"/>
      <c r="C26" s="623"/>
      <c r="D26" s="679"/>
      <c r="E26" s="624"/>
      <c r="F26" s="626"/>
      <c r="G26" s="626"/>
      <c r="H26" s="790" t="str">
        <f t="shared" si="0"/>
        <v/>
      </c>
    </row>
    <row r="27" spans="1:8" ht="20.100000000000001" customHeight="1">
      <c r="A27" s="621"/>
      <c r="B27" s="678"/>
      <c r="C27" s="623"/>
      <c r="D27" s="679"/>
      <c r="E27" s="624"/>
      <c r="F27" s="626"/>
      <c r="G27" s="626"/>
      <c r="H27" s="790" t="str">
        <f t="shared" si="0"/>
        <v/>
      </c>
    </row>
    <row r="28" spans="1:8" ht="20.100000000000001" customHeight="1">
      <c r="A28" s="621"/>
      <c r="B28" s="678"/>
      <c r="C28" s="623"/>
      <c r="D28" s="679"/>
      <c r="E28" s="624"/>
      <c r="F28" s="626"/>
      <c r="G28" s="626"/>
      <c r="H28" s="790" t="str">
        <f t="shared" si="0"/>
        <v/>
      </c>
    </row>
    <row r="29" spans="1:8" ht="20.100000000000001" customHeight="1">
      <c r="A29" s="621"/>
      <c r="B29" s="678"/>
      <c r="C29" s="623"/>
      <c r="D29" s="679"/>
      <c r="E29" s="624"/>
      <c r="F29" s="626"/>
      <c r="G29" s="626"/>
      <c r="H29" s="790" t="str">
        <f t="shared" si="0"/>
        <v/>
      </c>
    </row>
    <row r="30" spans="1:8" ht="20.100000000000001" customHeight="1">
      <c r="A30" s="621"/>
      <c r="B30" s="678"/>
      <c r="C30" s="623"/>
      <c r="D30" s="679"/>
      <c r="E30" s="624"/>
      <c r="F30" s="626"/>
      <c r="G30" s="626"/>
      <c r="H30" s="790" t="str">
        <f t="shared" si="0"/>
        <v/>
      </c>
    </row>
    <row r="31" spans="1:8" ht="20.100000000000001" customHeight="1">
      <c r="A31" s="621"/>
      <c r="B31" s="678"/>
      <c r="C31" s="623"/>
      <c r="D31" s="679"/>
      <c r="E31" s="624"/>
      <c r="F31" s="626"/>
      <c r="G31" s="626"/>
      <c r="H31" s="790" t="str">
        <f t="shared" si="0"/>
        <v/>
      </c>
    </row>
    <row r="32" spans="1:8" ht="20.100000000000001" customHeight="1">
      <c r="A32" s="621"/>
      <c r="B32" s="678"/>
      <c r="C32" s="623"/>
      <c r="D32" s="679"/>
      <c r="E32" s="624"/>
      <c r="F32" s="626"/>
      <c r="G32" s="626"/>
      <c r="H32" s="790" t="str">
        <f t="shared" si="0"/>
        <v/>
      </c>
    </row>
    <row r="33" spans="1:8" ht="20.100000000000001" customHeight="1">
      <c r="A33" s="621"/>
      <c r="B33" s="678"/>
      <c r="C33" s="623"/>
      <c r="D33" s="679"/>
      <c r="E33" s="624"/>
      <c r="F33" s="626"/>
      <c r="G33" s="626"/>
      <c r="H33" s="790" t="str">
        <f t="shared" si="0"/>
        <v/>
      </c>
    </row>
    <row r="34" spans="1:8" ht="20.100000000000001" customHeight="1">
      <c r="A34" s="621"/>
      <c r="B34" s="678"/>
      <c r="C34" s="623"/>
      <c r="D34" s="679"/>
      <c r="E34" s="624"/>
      <c r="F34" s="626"/>
      <c r="G34" s="626"/>
      <c r="H34" s="790" t="str">
        <f t="shared" si="0"/>
        <v/>
      </c>
    </row>
    <row r="35" spans="1:8" ht="20.100000000000001" customHeight="1">
      <c r="A35" s="621"/>
      <c r="B35" s="678"/>
      <c r="C35" s="623"/>
      <c r="D35" s="679"/>
      <c r="E35" s="624"/>
      <c r="F35" s="626"/>
      <c r="G35" s="626"/>
      <c r="H35" s="790" t="str">
        <f t="shared" si="0"/>
        <v/>
      </c>
    </row>
    <row r="36" spans="1:8" ht="20.100000000000001" customHeight="1">
      <c r="A36" s="621"/>
      <c r="B36" s="678"/>
      <c r="C36" s="623"/>
      <c r="D36" s="679"/>
      <c r="E36" s="624"/>
      <c r="F36" s="626"/>
      <c r="G36" s="626"/>
      <c r="H36" s="790" t="str">
        <f t="shared" si="0"/>
        <v/>
      </c>
    </row>
    <row r="37" spans="1:8" ht="20.100000000000001" customHeight="1">
      <c r="A37" s="621"/>
      <c r="B37" s="678"/>
      <c r="C37" s="623"/>
      <c r="D37" s="679"/>
      <c r="E37" s="624"/>
      <c r="F37" s="626"/>
      <c r="G37" s="626"/>
      <c r="H37" s="790" t="str">
        <f t="shared" ref="H37:H68" si="1">IF(OR(F37&lt;&gt;"",G37&lt;&gt;""),H36+F37-G37,"")</f>
        <v/>
      </c>
    </row>
    <row r="38" spans="1:8" ht="20.100000000000001" customHeight="1">
      <c r="A38" s="621"/>
      <c r="B38" s="678"/>
      <c r="C38" s="623"/>
      <c r="D38" s="679"/>
      <c r="E38" s="624"/>
      <c r="F38" s="626"/>
      <c r="G38" s="626"/>
      <c r="H38" s="790" t="str">
        <f t="shared" si="1"/>
        <v/>
      </c>
    </row>
    <row r="39" spans="1:8" ht="20.100000000000001" customHeight="1">
      <c r="A39" s="621"/>
      <c r="B39" s="678"/>
      <c r="C39" s="623"/>
      <c r="D39" s="679"/>
      <c r="E39" s="624"/>
      <c r="F39" s="626"/>
      <c r="G39" s="626"/>
      <c r="H39" s="790" t="str">
        <f t="shared" si="1"/>
        <v/>
      </c>
    </row>
    <row r="40" spans="1:8" ht="20.100000000000001" customHeight="1">
      <c r="A40" s="621"/>
      <c r="B40" s="678"/>
      <c r="C40" s="623"/>
      <c r="D40" s="679"/>
      <c r="E40" s="624"/>
      <c r="F40" s="626"/>
      <c r="G40" s="626"/>
      <c r="H40" s="790" t="str">
        <f t="shared" si="1"/>
        <v/>
      </c>
    </row>
    <row r="41" spans="1:8" ht="20.100000000000001" customHeight="1">
      <c r="A41" s="621"/>
      <c r="B41" s="678"/>
      <c r="C41" s="623"/>
      <c r="D41" s="679"/>
      <c r="E41" s="624"/>
      <c r="F41" s="626"/>
      <c r="G41" s="626"/>
      <c r="H41" s="790" t="str">
        <f t="shared" si="1"/>
        <v/>
      </c>
    </row>
    <row r="42" spans="1:8" ht="20.100000000000001" customHeight="1">
      <c r="A42" s="621"/>
      <c r="B42" s="678"/>
      <c r="C42" s="623"/>
      <c r="D42" s="679"/>
      <c r="E42" s="624"/>
      <c r="F42" s="626"/>
      <c r="G42" s="626"/>
      <c r="H42" s="790" t="str">
        <f t="shared" si="1"/>
        <v/>
      </c>
    </row>
    <row r="43" spans="1:8" ht="20.100000000000001" customHeight="1">
      <c r="A43" s="621"/>
      <c r="B43" s="678"/>
      <c r="C43" s="623"/>
      <c r="D43" s="679"/>
      <c r="E43" s="624"/>
      <c r="F43" s="626"/>
      <c r="G43" s="626"/>
      <c r="H43" s="790" t="str">
        <f t="shared" si="1"/>
        <v/>
      </c>
    </row>
    <row r="44" spans="1:8" ht="20.100000000000001" customHeight="1">
      <c r="A44" s="621"/>
      <c r="B44" s="678"/>
      <c r="C44" s="623"/>
      <c r="D44" s="679"/>
      <c r="E44" s="624"/>
      <c r="F44" s="626"/>
      <c r="G44" s="626"/>
      <c r="H44" s="790" t="str">
        <f t="shared" si="1"/>
        <v/>
      </c>
    </row>
    <row r="45" spans="1:8" ht="20.100000000000001" customHeight="1">
      <c r="A45" s="621"/>
      <c r="B45" s="678"/>
      <c r="C45" s="623"/>
      <c r="D45" s="679"/>
      <c r="E45" s="624"/>
      <c r="F45" s="626"/>
      <c r="G45" s="626"/>
      <c r="H45" s="790" t="str">
        <f t="shared" si="1"/>
        <v/>
      </c>
    </row>
    <row r="46" spans="1:8" ht="20.100000000000001" customHeight="1">
      <c r="A46" s="621"/>
      <c r="B46" s="678"/>
      <c r="C46" s="623"/>
      <c r="D46" s="679"/>
      <c r="E46" s="624"/>
      <c r="F46" s="626"/>
      <c r="G46" s="626"/>
      <c r="H46" s="790" t="str">
        <f t="shared" si="1"/>
        <v/>
      </c>
    </row>
    <row r="47" spans="1:8" ht="20.100000000000001" customHeight="1">
      <c r="A47" s="621"/>
      <c r="B47" s="678"/>
      <c r="C47" s="623"/>
      <c r="D47" s="679"/>
      <c r="E47" s="624"/>
      <c r="F47" s="626"/>
      <c r="G47" s="626"/>
      <c r="H47" s="790" t="str">
        <f t="shared" si="1"/>
        <v/>
      </c>
    </row>
    <row r="48" spans="1:8" ht="20.100000000000001" customHeight="1">
      <c r="A48" s="621"/>
      <c r="B48" s="678"/>
      <c r="C48" s="623"/>
      <c r="D48" s="679"/>
      <c r="E48" s="624"/>
      <c r="F48" s="626"/>
      <c r="G48" s="626"/>
      <c r="H48" s="790" t="str">
        <f t="shared" si="1"/>
        <v/>
      </c>
    </row>
    <row r="49" spans="1:8" ht="20.100000000000001" customHeight="1">
      <c r="A49" s="621"/>
      <c r="B49" s="678"/>
      <c r="C49" s="623"/>
      <c r="D49" s="679"/>
      <c r="E49" s="624"/>
      <c r="F49" s="626"/>
      <c r="G49" s="626"/>
      <c r="H49" s="790" t="str">
        <f t="shared" si="1"/>
        <v/>
      </c>
    </row>
    <row r="50" spans="1:8" ht="20.100000000000001" customHeight="1">
      <c r="A50" s="621"/>
      <c r="B50" s="678"/>
      <c r="C50" s="623"/>
      <c r="D50" s="679"/>
      <c r="E50" s="624"/>
      <c r="F50" s="626"/>
      <c r="G50" s="626"/>
      <c r="H50" s="790" t="str">
        <f t="shared" si="1"/>
        <v/>
      </c>
    </row>
    <row r="51" spans="1:8" ht="20.100000000000001" customHeight="1">
      <c r="A51" s="621"/>
      <c r="B51" s="678"/>
      <c r="C51" s="623"/>
      <c r="D51" s="679"/>
      <c r="E51" s="624"/>
      <c r="F51" s="626"/>
      <c r="G51" s="626"/>
      <c r="H51" s="790" t="str">
        <f t="shared" si="1"/>
        <v/>
      </c>
    </row>
    <row r="52" spans="1:8" ht="20.100000000000001" customHeight="1">
      <c r="A52" s="621"/>
      <c r="B52" s="678"/>
      <c r="C52" s="623"/>
      <c r="D52" s="679"/>
      <c r="E52" s="624"/>
      <c r="F52" s="626"/>
      <c r="G52" s="626"/>
      <c r="H52" s="790" t="str">
        <f t="shared" si="1"/>
        <v/>
      </c>
    </row>
    <row r="53" spans="1:8" ht="20.100000000000001" customHeight="1">
      <c r="A53" s="621"/>
      <c r="B53" s="678"/>
      <c r="C53" s="623"/>
      <c r="D53" s="679"/>
      <c r="E53" s="624"/>
      <c r="F53" s="626"/>
      <c r="G53" s="626"/>
      <c r="H53" s="790" t="str">
        <f t="shared" si="1"/>
        <v/>
      </c>
    </row>
    <row r="54" spans="1:8" ht="20.100000000000001" customHeight="1">
      <c r="A54" s="621"/>
      <c r="B54" s="678"/>
      <c r="C54" s="623"/>
      <c r="D54" s="679"/>
      <c r="E54" s="624"/>
      <c r="F54" s="626"/>
      <c r="G54" s="626"/>
      <c r="H54" s="790" t="str">
        <f t="shared" si="1"/>
        <v/>
      </c>
    </row>
    <row r="55" spans="1:8" ht="20.100000000000001" customHeight="1">
      <c r="A55" s="621"/>
      <c r="B55" s="678"/>
      <c r="C55" s="623"/>
      <c r="D55" s="679"/>
      <c r="E55" s="624"/>
      <c r="F55" s="626"/>
      <c r="G55" s="626"/>
      <c r="H55" s="790" t="str">
        <f t="shared" si="1"/>
        <v/>
      </c>
    </row>
    <row r="56" spans="1:8" ht="20.100000000000001" customHeight="1">
      <c r="A56" s="621"/>
      <c r="B56" s="678"/>
      <c r="C56" s="623"/>
      <c r="D56" s="679"/>
      <c r="E56" s="624"/>
      <c r="F56" s="626"/>
      <c r="G56" s="626"/>
      <c r="H56" s="790" t="str">
        <f t="shared" si="1"/>
        <v/>
      </c>
    </row>
    <row r="57" spans="1:8" ht="20.100000000000001" customHeight="1">
      <c r="A57" s="621"/>
      <c r="B57" s="678"/>
      <c r="C57" s="623"/>
      <c r="D57" s="679"/>
      <c r="E57" s="624"/>
      <c r="F57" s="626"/>
      <c r="G57" s="626"/>
      <c r="H57" s="790" t="str">
        <f t="shared" si="1"/>
        <v/>
      </c>
    </row>
    <row r="58" spans="1:8" ht="20.100000000000001" customHeight="1">
      <c r="A58" s="621"/>
      <c r="B58" s="678"/>
      <c r="C58" s="623"/>
      <c r="D58" s="679"/>
      <c r="E58" s="624"/>
      <c r="F58" s="626"/>
      <c r="G58" s="626"/>
      <c r="H58" s="790" t="str">
        <f t="shared" si="1"/>
        <v/>
      </c>
    </row>
    <row r="59" spans="1:8" ht="20.100000000000001" customHeight="1">
      <c r="A59" s="621"/>
      <c r="B59" s="678"/>
      <c r="C59" s="623"/>
      <c r="D59" s="679"/>
      <c r="E59" s="624"/>
      <c r="F59" s="626"/>
      <c r="G59" s="626"/>
      <c r="H59" s="790" t="str">
        <f t="shared" si="1"/>
        <v/>
      </c>
    </row>
    <row r="60" spans="1:8" ht="20.100000000000001" customHeight="1">
      <c r="A60" s="621"/>
      <c r="B60" s="678"/>
      <c r="C60" s="623"/>
      <c r="D60" s="679"/>
      <c r="E60" s="624"/>
      <c r="F60" s="626"/>
      <c r="G60" s="626"/>
      <c r="H60" s="790" t="str">
        <f t="shared" si="1"/>
        <v/>
      </c>
    </row>
    <row r="61" spans="1:8" ht="20.100000000000001" customHeight="1">
      <c r="A61" s="621"/>
      <c r="B61" s="678"/>
      <c r="C61" s="623"/>
      <c r="D61" s="679"/>
      <c r="E61" s="624"/>
      <c r="F61" s="626"/>
      <c r="G61" s="626"/>
      <c r="H61" s="790" t="str">
        <f t="shared" si="1"/>
        <v/>
      </c>
    </row>
    <row r="62" spans="1:8" ht="20.100000000000001" customHeight="1">
      <c r="A62" s="621"/>
      <c r="B62" s="678"/>
      <c r="C62" s="623"/>
      <c r="D62" s="679"/>
      <c r="E62" s="624"/>
      <c r="F62" s="626"/>
      <c r="G62" s="626"/>
      <c r="H62" s="790" t="str">
        <f t="shared" si="1"/>
        <v/>
      </c>
    </row>
    <row r="63" spans="1:8" ht="20.100000000000001" customHeight="1">
      <c r="A63" s="621"/>
      <c r="B63" s="678"/>
      <c r="C63" s="623"/>
      <c r="D63" s="679"/>
      <c r="E63" s="624"/>
      <c r="F63" s="626"/>
      <c r="G63" s="626"/>
      <c r="H63" s="790" t="str">
        <f t="shared" si="1"/>
        <v/>
      </c>
    </row>
    <row r="64" spans="1:8" ht="20.100000000000001" customHeight="1">
      <c r="A64" s="621"/>
      <c r="B64" s="678"/>
      <c r="C64" s="623"/>
      <c r="D64" s="679"/>
      <c r="E64" s="624"/>
      <c r="F64" s="626"/>
      <c r="G64" s="626"/>
      <c r="H64" s="790" t="str">
        <f t="shared" si="1"/>
        <v/>
      </c>
    </row>
    <row r="65" spans="1:8" ht="20.100000000000001" customHeight="1">
      <c r="A65" s="621"/>
      <c r="B65" s="678"/>
      <c r="C65" s="623"/>
      <c r="D65" s="679"/>
      <c r="E65" s="624"/>
      <c r="F65" s="626"/>
      <c r="G65" s="626"/>
      <c r="H65" s="790" t="str">
        <f t="shared" si="1"/>
        <v/>
      </c>
    </row>
    <row r="66" spans="1:8" ht="20.100000000000001" customHeight="1">
      <c r="A66" s="621"/>
      <c r="B66" s="678"/>
      <c r="C66" s="623"/>
      <c r="D66" s="679"/>
      <c r="E66" s="624"/>
      <c r="F66" s="626"/>
      <c r="G66" s="626"/>
      <c r="H66" s="790" t="str">
        <f t="shared" si="1"/>
        <v/>
      </c>
    </row>
    <row r="67" spans="1:8" ht="20.100000000000001" customHeight="1">
      <c r="A67" s="621"/>
      <c r="B67" s="678"/>
      <c r="C67" s="623"/>
      <c r="D67" s="679"/>
      <c r="E67" s="624"/>
      <c r="F67" s="626"/>
      <c r="G67" s="626"/>
      <c r="H67" s="790" t="str">
        <f t="shared" si="1"/>
        <v/>
      </c>
    </row>
    <row r="68" spans="1:8" ht="20.100000000000001" customHeight="1">
      <c r="A68" s="621"/>
      <c r="B68" s="678"/>
      <c r="C68" s="623"/>
      <c r="D68" s="679"/>
      <c r="E68" s="624"/>
      <c r="F68" s="626"/>
      <c r="G68" s="626"/>
      <c r="H68" s="790" t="str">
        <f t="shared" si="1"/>
        <v/>
      </c>
    </row>
    <row r="69" spans="1:8" ht="20.100000000000001" customHeight="1">
      <c r="A69" s="621"/>
      <c r="B69" s="678"/>
      <c r="C69" s="623"/>
      <c r="D69" s="679"/>
      <c r="E69" s="624"/>
      <c r="F69" s="626"/>
      <c r="G69" s="626"/>
      <c r="H69" s="790" t="str">
        <f t="shared" ref="H69:H98" si="2">IF(OR(F69&lt;&gt;"",G69&lt;&gt;""),H68+F69-G69,"")</f>
        <v/>
      </c>
    </row>
    <row r="70" spans="1:8" ht="20.100000000000001" customHeight="1">
      <c r="A70" s="621"/>
      <c r="B70" s="678"/>
      <c r="C70" s="623"/>
      <c r="D70" s="679"/>
      <c r="E70" s="624"/>
      <c r="F70" s="626"/>
      <c r="G70" s="626"/>
      <c r="H70" s="790" t="str">
        <f t="shared" si="2"/>
        <v/>
      </c>
    </row>
    <row r="71" spans="1:8" ht="20.100000000000001" customHeight="1">
      <c r="A71" s="621"/>
      <c r="B71" s="678"/>
      <c r="C71" s="623"/>
      <c r="D71" s="679"/>
      <c r="E71" s="624"/>
      <c r="F71" s="626"/>
      <c r="G71" s="626"/>
      <c r="H71" s="790" t="str">
        <f t="shared" si="2"/>
        <v/>
      </c>
    </row>
    <row r="72" spans="1:8" ht="20.100000000000001" customHeight="1">
      <c r="A72" s="621"/>
      <c r="B72" s="678"/>
      <c r="C72" s="623"/>
      <c r="D72" s="679"/>
      <c r="E72" s="624"/>
      <c r="F72" s="626"/>
      <c r="G72" s="626"/>
      <c r="H72" s="790" t="str">
        <f t="shared" si="2"/>
        <v/>
      </c>
    </row>
    <row r="73" spans="1:8" ht="20.100000000000001" customHeight="1">
      <c r="A73" s="621"/>
      <c r="B73" s="678"/>
      <c r="C73" s="623"/>
      <c r="D73" s="679"/>
      <c r="E73" s="624"/>
      <c r="F73" s="626"/>
      <c r="G73" s="626"/>
      <c r="H73" s="790" t="str">
        <f t="shared" si="2"/>
        <v/>
      </c>
    </row>
    <row r="74" spans="1:8" ht="20.100000000000001" customHeight="1">
      <c r="A74" s="621"/>
      <c r="B74" s="678"/>
      <c r="C74" s="623"/>
      <c r="D74" s="679"/>
      <c r="E74" s="624"/>
      <c r="F74" s="626"/>
      <c r="G74" s="626"/>
      <c r="H74" s="790" t="str">
        <f t="shared" si="2"/>
        <v/>
      </c>
    </row>
    <row r="75" spans="1:8" ht="20.100000000000001" customHeight="1">
      <c r="A75" s="621"/>
      <c r="B75" s="678"/>
      <c r="C75" s="623"/>
      <c r="D75" s="679"/>
      <c r="E75" s="624"/>
      <c r="F75" s="626"/>
      <c r="G75" s="626"/>
      <c r="H75" s="790" t="str">
        <f t="shared" si="2"/>
        <v/>
      </c>
    </row>
    <row r="76" spans="1:8" ht="20.100000000000001" customHeight="1">
      <c r="A76" s="621"/>
      <c r="B76" s="678"/>
      <c r="C76" s="623"/>
      <c r="D76" s="679"/>
      <c r="E76" s="624"/>
      <c r="F76" s="626"/>
      <c r="G76" s="626"/>
      <c r="H76" s="790" t="str">
        <f t="shared" si="2"/>
        <v/>
      </c>
    </row>
    <row r="77" spans="1:8" ht="20.100000000000001" customHeight="1">
      <c r="A77" s="621"/>
      <c r="B77" s="678"/>
      <c r="C77" s="623"/>
      <c r="D77" s="679"/>
      <c r="E77" s="624"/>
      <c r="F77" s="626"/>
      <c r="G77" s="626"/>
      <c r="H77" s="790" t="str">
        <f t="shared" si="2"/>
        <v/>
      </c>
    </row>
    <row r="78" spans="1:8" ht="20.100000000000001" customHeight="1">
      <c r="A78" s="621"/>
      <c r="B78" s="678"/>
      <c r="C78" s="623"/>
      <c r="D78" s="679"/>
      <c r="E78" s="624"/>
      <c r="F78" s="626"/>
      <c r="G78" s="626"/>
      <c r="H78" s="790" t="str">
        <f t="shared" si="2"/>
        <v/>
      </c>
    </row>
    <row r="79" spans="1:8" ht="20.100000000000001" customHeight="1">
      <c r="A79" s="621"/>
      <c r="B79" s="678"/>
      <c r="C79" s="623"/>
      <c r="D79" s="679"/>
      <c r="E79" s="624"/>
      <c r="F79" s="626"/>
      <c r="G79" s="626"/>
      <c r="H79" s="790" t="str">
        <f t="shared" si="2"/>
        <v/>
      </c>
    </row>
    <row r="80" spans="1:8" ht="20.100000000000001" customHeight="1">
      <c r="A80" s="621"/>
      <c r="B80" s="678"/>
      <c r="C80" s="623"/>
      <c r="D80" s="679"/>
      <c r="E80" s="624"/>
      <c r="F80" s="626"/>
      <c r="G80" s="626"/>
      <c r="H80" s="790" t="str">
        <f t="shared" si="2"/>
        <v/>
      </c>
    </row>
    <row r="81" spans="1:8" ht="20.100000000000001" customHeight="1">
      <c r="A81" s="621"/>
      <c r="B81" s="678"/>
      <c r="C81" s="623"/>
      <c r="D81" s="679"/>
      <c r="E81" s="624"/>
      <c r="F81" s="626"/>
      <c r="G81" s="626"/>
      <c r="H81" s="790" t="str">
        <f t="shared" si="2"/>
        <v/>
      </c>
    </row>
    <row r="82" spans="1:8" ht="20.100000000000001" customHeight="1">
      <c r="A82" s="621"/>
      <c r="B82" s="678"/>
      <c r="C82" s="623"/>
      <c r="D82" s="679"/>
      <c r="E82" s="624"/>
      <c r="F82" s="626"/>
      <c r="G82" s="626"/>
      <c r="H82" s="790" t="str">
        <f t="shared" si="2"/>
        <v/>
      </c>
    </row>
    <row r="83" spans="1:8" ht="20.100000000000001" customHeight="1">
      <c r="A83" s="621"/>
      <c r="B83" s="678"/>
      <c r="C83" s="623"/>
      <c r="D83" s="679"/>
      <c r="E83" s="624"/>
      <c r="F83" s="626"/>
      <c r="G83" s="626"/>
      <c r="H83" s="790" t="str">
        <f t="shared" si="2"/>
        <v/>
      </c>
    </row>
    <row r="84" spans="1:8" ht="20.100000000000001" customHeight="1">
      <c r="A84" s="621"/>
      <c r="B84" s="678"/>
      <c r="C84" s="623"/>
      <c r="D84" s="679"/>
      <c r="E84" s="624"/>
      <c r="F84" s="626"/>
      <c r="G84" s="626"/>
      <c r="H84" s="790" t="str">
        <f t="shared" si="2"/>
        <v/>
      </c>
    </row>
    <row r="85" spans="1:8" ht="20.100000000000001" customHeight="1">
      <c r="A85" s="621"/>
      <c r="B85" s="678"/>
      <c r="C85" s="623"/>
      <c r="D85" s="679"/>
      <c r="E85" s="624"/>
      <c r="F85" s="626"/>
      <c r="G85" s="626"/>
      <c r="H85" s="790" t="str">
        <f t="shared" si="2"/>
        <v/>
      </c>
    </row>
    <row r="86" spans="1:8" ht="20.100000000000001" customHeight="1">
      <c r="A86" s="621"/>
      <c r="B86" s="678"/>
      <c r="C86" s="623"/>
      <c r="D86" s="679"/>
      <c r="E86" s="624"/>
      <c r="F86" s="626"/>
      <c r="G86" s="626"/>
      <c r="H86" s="790" t="str">
        <f t="shared" si="2"/>
        <v/>
      </c>
    </row>
    <row r="87" spans="1:8" ht="20.100000000000001" customHeight="1">
      <c r="A87" s="621"/>
      <c r="B87" s="678"/>
      <c r="C87" s="623"/>
      <c r="D87" s="679"/>
      <c r="E87" s="624"/>
      <c r="F87" s="626"/>
      <c r="G87" s="626"/>
      <c r="H87" s="790" t="str">
        <f t="shared" si="2"/>
        <v/>
      </c>
    </row>
    <row r="88" spans="1:8" ht="20.100000000000001" customHeight="1">
      <c r="A88" s="621"/>
      <c r="B88" s="678"/>
      <c r="C88" s="623"/>
      <c r="D88" s="679"/>
      <c r="E88" s="624"/>
      <c r="F88" s="626"/>
      <c r="G88" s="626"/>
      <c r="H88" s="790" t="str">
        <f t="shared" si="2"/>
        <v/>
      </c>
    </row>
    <row r="89" spans="1:8" ht="20.100000000000001" customHeight="1">
      <c r="A89" s="621"/>
      <c r="B89" s="678"/>
      <c r="C89" s="623"/>
      <c r="D89" s="679"/>
      <c r="E89" s="624"/>
      <c r="F89" s="626"/>
      <c r="G89" s="626"/>
      <c r="H89" s="790" t="str">
        <f t="shared" si="2"/>
        <v/>
      </c>
    </row>
    <row r="90" spans="1:8" ht="20.100000000000001" customHeight="1">
      <c r="A90" s="621"/>
      <c r="B90" s="678"/>
      <c r="C90" s="623"/>
      <c r="D90" s="679"/>
      <c r="E90" s="624"/>
      <c r="F90" s="626"/>
      <c r="G90" s="626"/>
      <c r="H90" s="790" t="str">
        <f t="shared" si="2"/>
        <v/>
      </c>
    </row>
    <row r="91" spans="1:8" ht="20.100000000000001" customHeight="1">
      <c r="A91" s="621"/>
      <c r="B91" s="678"/>
      <c r="C91" s="623"/>
      <c r="D91" s="679"/>
      <c r="E91" s="624"/>
      <c r="F91" s="626"/>
      <c r="G91" s="626"/>
      <c r="H91" s="790" t="str">
        <f t="shared" si="2"/>
        <v/>
      </c>
    </row>
    <row r="92" spans="1:8" ht="20.100000000000001" customHeight="1">
      <c r="A92" s="621"/>
      <c r="B92" s="678"/>
      <c r="C92" s="623"/>
      <c r="D92" s="679"/>
      <c r="E92" s="624"/>
      <c r="F92" s="626"/>
      <c r="G92" s="626"/>
      <c r="H92" s="790" t="str">
        <f t="shared" si="2"/>
        <v/>
      </c>
    </row>
    <row r="93" spans="1:8" ht="20.100000000000001" customHeight="1">
      <c r="A93" s="621"/>
      <c r="B93" s="678"/>
      <c r="C93" s="623"/>
      <c r="D93" s="679"/>
      <c r="E93" s="624"/>
      <c r="F93" s="626"/>
      <c r="G93" s="626"/>
      <c r="H93" s="790" t="str">
        <f t="shared" si="2"/>
        <v/>
      </c>
    </row>
    <row r="94" spans="1:8" ht="20.100000000000001" customHeight="1">
      <c r="A94" s="621"/>
      <c r="B94" s="678"/>
      <c r="C94" s="623"/>
      <c r="D94" s="679"/>
      <c r="E94" s="624"/>
      <c r="F94" s="626"/>
      <c r="G94" s="626"/>
      <c r="H94" s="790" t="str">
        <f t="shared" si="2"/>
        <v/>
      </c>
    </row>
    <row r="95" spans="1:8" ht="20.100000000000001" customHeight="1">
      <c r="A95" s="621"/>
      <c r="B95" s="678"/>
      <c r="C95" s="623"/>
      <c r="D95" s="679"/>
      <c r="E95" s="624"/>
      <c r="F95" s="626"/>
      <c r="G95" s="626"/>
      <c r="H95" s="790" t="str">
        <f t="shared" si="2"/>
        <v/>
      </c>
    </row>
    <row r="96" spans="1:8" ht="20.100000000000001" customHeight="1">
      <c r="A96" s="621"/>
      <c r="B96" s="678"/>
      <c r="C96" s="623"/>
      <c r="D96" s="679"/>
      <c r="E96" s="624"/>
      <c r="F96" s="626"/>
      <c r="G96" s="626"/>
      <c r="H96" s="790" t="str">
        <f t="shared" si="2"/>
        <v/>
      </c>
    </row>
    <row r="97" spans="1:8" ht="20.100000000000001" customHeight="1">
      <c r="A97" s="621"/>
      <c r="B97" s="678"/>
      <c r="C97" s="623"/>
      <c r="D97" s="679"/>
      <c r="E97" s="624"/>
      <c r="F97" s="626"/>
      <c r="G97" s="626"/>
      <c r="H97" s="790" t="str">
        <f t="shared" si="2"/>
        <v/>
      </c>
    </row>
    <row r="98" spans="1:8" ht="20.100000000000001" customHeight="1">
      <c r="A98" s="621"/>
      <c r="B98" s="678"/>
      <c r="C98" s="623"/>
      <c r="D98" s="679"/>
      <c r="E98" s="624"/>
      <c r="F98" s="650"/>
      <c r="G98" s="650"/>
      <c r="H98" s="791" t="str">
        <f t="shared" si="2"/>
        <v/>
      </c>
    </row>
    <row r="99" spans="1:8" ht="20.100000000000001" customHeight="1">
      <c r="A99" s="621"/>
      <c r="B99" s="1145" t="s">
        <v>282</v>
      </c>
      <c r="C99" s="1145"/>
      <c r="D99" s="1145"/>
      <c r="E99" s="639"/>
      <c r="F99" s="682">
        <f>SUM(F4:F98)</f>
        <v>0</v>
      </c>
      <c r="G99" s="682">
        <f>SUM(G4:G98)</f>
        <v>0</v>
      </c>
      <c r="H99" s="821">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33</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 t="shared" ref="H5:H36" si="0">IF(OR(F5&lt;&gt;"",G5&lt;&gt;""),H4+F5-G5,"")</f>
        <v/>
      </c>
    </row>
    <row r="6" spans="1:8" ht="20.100000000000001" customHeight="1">
      <c r="A6" s="621"/>
      <c r="B6" s="678"/>
      <c r="C6" s="623"/>
      <c r="D6" s="679"/>
      <c r="E6" s="625"/>
      <c r="F6" s="626"/>
      <c r="G6" s="627"/>
      <c r="H6" s="634" t="str">
        <f t="shared" si="0"/>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ref="H37:H68" si="1">IF(OR(F37&lt;&gt;"",G37&lt;&gt;""),H36+F37-G37,"")</f>
        <v/>
      </c>
    </row>
    <row r="38" spans="1:8" ht="20.100000000000001" customHeight="1">
      <c r="A38" s="621"/>
      <c r="B38" s="678"/>
      <c r="C38" s="623"/>
      <c r="D38" s="679"/>
      <c r="E38" s="625"/>
      <c r="F38" s="626"/>
      <c r="G38" s="627"/>
      <c r="H38" s="634" t="str">
        <f t="shared" si="1"/>
        <v/>
      </c>
    </row>
    <row r="39" spans="1:8" ht="20.100000000000001" customHeight="1">
      <c r="A39" s="621"/>
      <c r="B39" s="678"/>
      <c r="C39" s="623"/>
      <c r="D39" s="679"/>
      <c r="E39" s="625"/>
      <c r="F39" s="626"/>
      <c r="G39" s="627"/>
      <c r="H39" s="634" t="str">
        <f t="shared" si="1"/>
        <v/>
      </c>
    </row>
    <row r="40" spans="1:8" ht="20.100000000000001" customHeight="1">
      <c r="A40" s="621"/>
      <c r="B40" s="678"/>
      <c r="C40" s="623"/>
      <c r="D40" s="679"/>
      <c r="E40" s="625"/>
      <c r="F40" s="626"/>
      <c r="G40" s="627"/>
      <c r="H40" s="634" t="str">
        <f t="shared" si="1"/>
        <v/>
      </c>
    </row>
    <row r="41" spans="1:8" ht="20.100000000000001" customHeight="1">
      <c r="A41" s="621"/>
      <c r="B41" s="678"/>
      <c r="C41" s="623"/>
      <c r="D41" s="679"/>
      <c r="E41" s="625"/>
      <c r="F41" s="626"/>
      <c r="G41" s="627"/>
      <c r="H41" s="634" t="str">
        <f t="shared" si="1"/>
        <v/>
      </c>
    </row>
    <row r="42" spans="1:8" ht="20.100000000000001" customHeight="1">
      <c r="A42" s="621"/>
      <c r="B42" s="678"/>
      <c r="C42" s="623"/>
      <c r="D42" s="679"/>
      <c r="E42" s="625"/>
      <c r="F42" s="626"/>
      <c r="G42" s="627"/>
      <c r="H42" s="634" t="str">
        <f t="shared" si="1"/>
        <v/>
      </c>
    </row>
    <row r="43" spans="1:8" ht="20.100000000000001" customHeight="1">
      <c r="A43" s="621"/>
      <c r="B43" s="678"/>
      <c r="C43" s="623"/>
      <c r="D43" s="679"/>
      <c r="E43" s="625"/>
      <c r="F43" s="626"/>
      <c r="G43" s="627"/>
      <c r="H43" s="634" t="str">
        <f t="shared" si="1"/>
        <v/>
      </c>
    </row>
    <row r="44" spans="1:8" ht="20.100000000000001" customHeight="1">
      <c r="A44" s="621"/>
      <c r="B44" s="678"/>
      <c r="C44" s="623"/>
      <c r="D44" s="679"/>
      <c r="E44" s="625"/>
      <c r="F44" s="626"/>
      <c r="G44" s="627"/>
      <c r="H44" s="634" t="str">
        <f t="shared" si="1"/>
        <v/>
      </c>
    </row>
    <row r="45" spans="1:8" ht="20.100000000000001" customHeight="1">
      <c r="A45" s="621"/>
      <c r="B45" s="678"/>
      <c r="C45" s="623"/>
      <c r="D45" s="679"/>
      <c r="E45" s="625"/>
      <c r="F45" s="626"/>
      <c r="G45" s="627"/>
      <c r="H45" s="634" t="str">
        <f t="shared" si="1"/>
        <v/>
      </c>
    </row>
    <row r="46" spans="1:8" ht="20.100000000000001" customHeight="1">
      <c r="A46" s="621"/>
      <c r="B46" s="678"/>
      <c r="C46" s="623"/>
      <c r="D46" s="679"/>
      <c r="E46" s="625"/>
      <c r="F46" s="626"/>
      <c r="G46" s="627"/>
      <c r="H46" s="634" t="str">
        <f t="shared" si="1"/>
        <v/>
      </c>
    </row>
    <row r="47" spans="1:8" ht="20.100000000000001" customHeight="1">
      <c r="A47" s="621"/>
      <c r="B47" s="678"/>
      <c r="C47" s="623"/>
      <c r="D47" s="679"/>
      <c r="E47" s="625"/>
      <c r="F47" s="626"/>
      <c r="G47" s="627"/>
      <c r="H47" s="634" t="str">
        <f t="shared" si="1"/>
        <v/>
      </c>
    </row>
    <row r="48" spans="1:8" ht="20.100000000000001" customHeight="1">
      <c r="A48" s="621"/>
      <c r="B48" s="678"/>
      <c r="C48" s="623"/>
      <c r="D48" s="679"/>
      <c r="E48" s="625"/>
      <c r="F48" s="626"/>
      <c r="G48" s="627"/>
      <c r="H48" s="634" t="str">
        <f t="shared" si="1"/>
        <v/>
      </c>
    </row>
    <row r="49" spans="1:8" ht="20.100000000000001" customHeight="1">
      <c r="A49" s="621"/>
      <c r="B49" s="678"/>
      <c r="C49" s="623"/>
      <c r="D49" s="679"/>
      <c r="E49" s="625"/>
      <c r="F49" s="626"/>
      <c r="G49" s="627"/>
      <c r="H49" s="634" t="str">
        <f t="shared" si="1"/>
        <v/>
      </c>
    </row>
    <row r="50" spans="1:8" ht="20.100000000000001" customHeight="1">
      <c r="A50" s="621"/>
      <c r="B50" s="678"/>
      <c r="C50" s="623"/>
      <c r="D50" s="679"/>
      <c r="E50" s="625"/>
      <c r="F50" s="626"/>
      <c r="G50" s="627"/>
      <c r="H50" s="634" t="str">
        <f t="shared" si="1"/>
        <v/>
      </c>
    </row>
    <row r="51" spans="1:8" ht="20.100000000000001" customHeight="1">
      <c r="A51" s="621"/>
      <c r="B51" s="678"/>
      <c r="C51" s="623"/>
      <c r="D51" s="679"/>
      <c r="E51" s="625"/>
      <c r="F51" s="626"/>
      <c r="G51" s="627"/>
      <c r="H51" s="634" t="str">
        <f t="shared" si="1"/>
        <v/>
      </c>
    </row>
    <row r="52" spans="1:8" ht="20.100000000000001" customHeight="1">
      <c r="A52" s="621"/>
      <c r="B52" s="678"/>
      <c r="C52" s="623"/>
      <c r="D52" s="679"/>
      <c r="E52" s="625"/>
      <c r="F52" s="626"/>
      <c r="G52" s="627"/>
      <c r="H52" s="634" t="str">
        <f t="shared" si="1"/>
        <v/>
      </c>
    </row>
    <row r="53" spans="1:8" ht="20.100000000000001" customHeight="1">
      <c r="A53" s="621"/>
      <c r="B53" s="678"/>
      <c r="C53" s="623"/>
      <c r="D53" s="679"/>
      <c r="E53" s="625"/>
      <c r="F53" s="626"/>
      <c r="G53" s="627"/>
      <c r="H53" s="634" t="str">
        <f t="shared" si="1"/>
        <v/>
      </c>
    </row>
    <row r="54" spans="1:8" ht="20.100000000000001" customHeight="1">
      <c r="A54" s="621"/>
      <c r="B54" s="678"/>
      <c r="C54" s="623"/>
      <c r="D54" s="679"/>
      <c r="E54" s="625"/>
      <c r="F54" s="626"/>
      <c r="G54" s="627"/>
      <c r="H54" s="634" t="str">
        <f t="shared" si="1"/>
        <v/>
      </c>
    </row>
    <row r="55" spans="1:8" ht="20.100000000000001" customHeight="1">
      <c r="A55" s="621"/>
      <c r="B55" s="678"/>
      <c r="C55" s="623"/>
      <c r="D55" s="679"/>
      <c r="E55" s="625"/>
      <c r="F55" s="626"/>
      <c r="G55" s="627"/>
      <c r="H55" s="634" t="str">
        <f t="shared" si="1"/>
        <v/>
      </c>
    </row>
    <row r="56" spans="1:8" ht="20.100000000000001" customHeight="1">
      <c r="A56" s="621"/>
      <c r="B56" s="678"/>
      <c r="C56" s="623"/>
      <c r="D56" s="679"/>
      <c r="E56" s="625"/>
      <c r="F56" s="626"/>
      <c r="G56" s="627"/>
      <c r="H56" s="634" t="str">
        <f t="shared" si="1"/>
        <v/>
      </c>
    </row>
    <row r="57" spans="1:8" ht="20.100000000000001" customHeight="1">
      <c r="A57" s="621"/>
      <c r="B57" s="678"/>
      <c r="C57" s="623"/>
      <c r="D57" s="679"/>
      <c r="E57" s="625"/>
      <c r="F57" s="626"/>
      <c r="G57" s="627"/>
      <c r="H57" s="634" t="str">
        <f t="shared" si="1"/>
        <v/>
      </c>
    </row>
    <row r="58" spans="1:8" ht="20.100000000000001" customHeight="1">
      <c r="A58" s="621"/>
      <c r="B58" s="678"/>
      <c r="C58" s="623"/>
      <c r="D58" s="679"/>
      <c r="E58" s="625"/>
      <c r="F58" s="626"/>
      <c r="G58" s="627"/>
      <c r="H58" s="634" t="str">
        <f t="shared" si="1"/>
        <v/>
      </c>
    </row>
    <row r="59" spans="1:8" ht="20.100000000000001" customHeight="1">
      <c r="A59" s="621"/>
      <c r="B59" s="678"/>
      <c r="C59" s="623"/>
      <c r="D59" s="679"/>
      <c r="E59" s="625"/>
      <c r="F59" s="626"/>
      <c r="G59" s="627"/>
      <c r="H59" s="634" t="str">
        <f t="shared" si="1"/>
        <v/>
      </c>
    </row>
    <row r="60" spans="1:8" ht="20.100000000000001" customHeight="1">
      <c r="A60" s="621"/>
      <c r="B60" s="678"/>
      <c r="C60" s="623"/>
      <c r="D60" s="679"/>
      <c r="E60" s="625"/>
      <c r="F60" s="626"/>
      <c r="G60" s="627"/>
      <c r="H60" s="634" t="str">
        <f t="shared" si="1"/>
        <v/>
      </c>
    </row>
    <row r="61" spans="1:8" ht="20.100000000000001" customHeight="1">
      <c r="A61" s="621"/>
      <c r="B61" s="678"/>
      <c r="C61" s="623"/>
      <c r="D61" s="679"/>
      <c r="E61" s="625"/>
      <c r="F61" s="626"/>
      <c r="G61" s="627"/>
      <c r="H61" s="634" t="str">
        <f t="shared" si="1"/>
        <v/>
      </c>
    </row>
    <row r="62" spans="1:8" ht="20.100000000000001" customHeight="1">
      <c r="A62" s="621"/>
      <c r="B62" s="678"/>
      <c r="C62" s="623"/>
      <c r="D62" s="679"/>
      <c r="E62" s="625"/>
      <c r="F62" s="626"/>
      <c r="G62" s="627"/>
      <c r="H62" s="634" t="str">
        <f t="shared" si="1"/>
        <v/>
      </c>
    </row>
    <row r="63" spans="1:8" ht="20.100000000000001" customHeight="1">
      <c r="A63" s="621"/>
      <c r="B63" s="678"/>
      <c r="C63" s="623"/>
      <c r="D63" s="679"/>
      <c r="E63" s="625"/>
      <c r="F63" s="626"/>
      <c r="G63" s="627"/>
      <c r="H63" s="634" t="str">
        <f t="shared" si="1"/>
        <v/>
      </c>
    </row>
    <row r="64" spans="1:8" ht="20.100000000000001" customHeight="1">
      <c r="A64" s="621"/>
      <c r="B64" s="678"/>
      <c r="C64" s="623"/>
      <c r="D64" s="679"/>
      <c r="E64" s="625"/>
      <c r="F64" s="626"/>
      <c r="G64" s="627"/>
      <c r="H64" s="634" t="str">
        <f t="shared" si="1"/>
        <v/>
      </c>
    </row>
    <row r="65" spans="1:8" ht="20.100000000000001" customHeight="1">
      <c r="A65" s="621"/>
      <c r="B65" s="678"/>
      <c r="C65" s="623"/>
      <c r="D65" s="679"/>
      <c r="E65" s="625"/>
      <c r="F65" s="626"/>
      <c r="G65" s="627"/>
      <c r="H65" s="634" t="str">
        <f t="shared" si="1"/>
        <v/>
      </c>
    </row>
    <row r="66" spans="1:8" ht="20.100000000000001" customHeight="1">
      <c r="A66" s="621"/>
      <c r="B66" s="678"/>
      <c r="C66" s="623"/>
      <c r="D66" s="679"/>
      <c r="E66" s="625"/>
      <c r="F66" s="626"/>
      <c r="G66" s="627"/>
      <c r="H66" s="634" t="str">
        <f t="shared" si="1"/>
        <v/>
      </c>
    </row>
    <row r="67" spans="1:8" ht="20.100000000000001" customHeight="1">
      <c r="A67" s="621"/>
      <c r="B67" s="678"/>
      <c r="C67" s="623"/>
      <c r="D67" s="679"/>
      <c r="E67" s="625"/>
      <c r="F67" s="626"/>
      <c r="G67" s="627"/>
      <c r="H67" s="634" t="str">
        <f t="shared" si="1"/>
        <v/>
      </c>
    </row>
    <row r="68" spans="1:8" ht="20.100000000000001" customHeight="1">
      <c r="A68" s="621"/>
      <c r="B68" s="678"/>
      <c r="C68" s="623"/>
      <c r="D68" s="679"/>
      <c r="E68" s="625"/>
      <c r="F68" s="626"/>
      <c r="G68" s="627"/>
      <c r="H68" s="634" t="str">
        <f t="shared" si="1"/>
        <v/>
      </c>
    </row>
    <row r="69" spans="1:8" ht="20.100000000000001" customHeight="1">
      <c r="A69" s="621"/>
      <c r="B69" s="678"/>
      <c r="C69" s="623"/>
      <c r="D69" s="679"/>
      <c r="E69" s="625"/>
      <c r="F69" s="626"/>
      <c r="G69" s="627"/>
      <c r="H69" s="634" t="str">
        <f t="shared" ref="H69:H98" si="2">IF(OR(F69&lt;&gt;"",G69&lt;&gt;""),H68+F69-G69,"")</f>
        <v/>
      </c>
    </row>
    <row r="70" spans="1:8" ht="20.100000000000001" customHeight="1">
      <c r="A70" s="621"/>
      <c r="B70" s="678"/>
      <c r="C70" s="623"/>
      <c r="D70" s="679"/>
      <c r="E70" s="625"/>
      <c r="F70" s="626"/>
      <c r="G70" s="627"/>
      <c r="H70" s="634" t="str">
        <f t="shared" si="2"/>
        <v/>
      </c>
    </row>
    <row r="71" spans="1:8" ht="20.100000000000001" customHeight="1">
      <c r="A71" s="621"/>
      <c r="B71" s="678"/>
      <c r="C71" s="623"/>
      <c r="D71" s="679"/>
      <c r="E71" s="625"/>
      <c r="F71" s="626"/>
      <c r="G71" s="627"/>
      <c r="H71" s="634" t="str">
        <f t="shared" si="2"/>
        <v/>
      </c>
    </row>
    <row r="72" spans="1:8" ht="20.100000000000001" customHeight="1">
      <c r="A72" s="621"/>
      <c r="B72" s="678"/>
      <c r="C72" s="623"/>
      <c r="D72" s="679"/>
      <c r="E72" s="625"/>
      <c r="F72" s="626"/>
      <c r="G72" s="627"/>
      <c r="H72" s="634" t="str">
        <f t="shared" si="2"/>
        <v/>
      </c>
    </row>
    <row r="73" spans="1:8" ht="20.100000000000001" customHeight="1">
      <c r="A73" s="621"/>
      <c r="B73" s="678"/>
      <c r="C73" s="623"/>
      <c r="D73" s="679"/>
      <c r="E73" s="625"/>
      <c r="F73" s="626"/>
      <c r="G73" s="627"/>
      <c r="H73" s="634" t="str">
        <f t="shared" si="2"/>
        <v/>
      </c>
    </row>
    <row r="74" spans="1:8" ht="20.100000000000001" customHeight="1">
      <c r="A74" s="621"/>
      <c r="B74" s="678"/>
      <c r="C74" s="623"/>
      <c r="D74" s="679"/>
      <c r="E74" s="625"/>
      <c r="F74" s="626"/>
      <c r="G74" s="627"/>
      <c r="H74" s="634" t="str">
        <f t="shared" si="2"/>
        <v/>
      </c>
    </row>
    <row r="75" spans="1:8" ht="20.100000000000001" customHeight="1">
      <c r="A75" s="621"/>
      <c r="B75" s="678"/>
      <c r="C75" s="623"/>
      <c r="D75" s="679"/>
      <c r="E75" s="625"/>
      <c r="F75" s="626"/>
      <c r="G75" s="627"/>
      <c r="H75" s="634" t="str">
        <f t="shared" si="2"/>
        <v/>
      </c>
    </row>
    <row r="76" spans="1:8" ht="20.100000000000001" customHeight="1">
      <c r="A76" s="621"/>
      <c r="B76" s="678"/>
      <c r="C76" s="623"/>
      <c r="D76" s="679"/>
      <c r="E76" s="625"/>
      <c r="F76" s="626"/>
      <c r="G76" s="627"/>
      <c r="H76" s="634" t="str">
        <f t="shared" si="2"/>
        <v/>
      </c>
    </row>
    <row r="77" spans="1:8" ht="20.100000000000001" customHeight="1">
      <c r="A77" s="621"/>
      <c r="B77" s="678"/>
      <c r="C77" s="623"/>
      <c r="D77" s="679"/>
      <c r="E77" s="625"/>
      <c r="F77" s="626"/>
      <c r="G77" s="627"/>
      <c r="H77" s="634" t="str">
        <f t="shared" si="2"/>
        <v/>
      </c>
    </row>
    <row r="78" spans="1:8" ht="20.100000000000001" customHeight="1">
      <c r="A78" s="621"/>
      <c r="B78" s="678"/>
      <c r="C78" s="623"/>
      <c r="D78" s="679"/>
      <c r="E78" s="625"/>
      <c r="F78" s="626"/>
      <c r="G78" s="627"/>
      <c r="H78" s="634" t="str">
        <f t="shared" si="2"/>
        <v/>
      </c>
    </row>
    <row r="79" spans="1:8" ht="20.100000000000001" customHeight="1">
      <c r="A79" s="621"/>
      <c r="B79" s="678"/>
      <c r="C79" s="623"/>
      <c r="D79" s="679"/>
      <c r="E79" s="625"/>
      <c r="F79" s="626"/>
      <c r="G79" s="627"/>
      <c r="H79" s="634" t="str">
        <f t="shared" si="2"/>
        <v/>
      </c>
    </row>
    <row r="80" spans="1:8" ht="20.100000000000001" customHeight="1">
      <c r="A80" s="621"/>
      <c r="B80" s="678"/>
      <c r="C80" s="623"/>
      <c r="D80" s="679"/>
      <c r="E80" s="625"/>
      <c r="F80" s="626"/>
      <c r="G80" s="627"/>
      <c r="H80" s="634" t="str">
        <f t="shared" si="2"/>
        <v/>
      </c>
    </row>
    <row r="81" spans="1:8" ht="20.100000000000001" customHeight="1">
      <c r="A81" s="621"/>
      <c r="B81" s="678"/>
      <c r="C81" s="623"/>
      <c r="D81" s="679"/>
      <c r="E81" s="625"/>
      <c r="F81" s="626"/>
      <c r="G81" s="627"/>
      <c r="H81" s="634" t="str">
        <f t="shared" si="2"/>
        <v/>
      </c>
    </row>
    <row r="82" spans="1:8" ht="20.100000000000001" customHeight="1">
      <c r="A82" s="621"/>
      <c r="B82" s="678"/>
      <c r="C82" s="623"/>
      <c r="D82" s="679"/>
      <c r="E82" s="625"/>
      <c r="F82" s="626"/>
      <c r="G82" s="627"/>
      <c r="H82" s="634" t="str">
        <f t="shared" si="2"/>
        <v/>
      </c>
    </row>
    <row r="83" spans="1:8" ht="20.100000000000001" customHeight="1">
      <c r="A83" s="621"/>
      <c r="B83" s="678"/>
      <c r="C83" s="623"/>
      <c r="D83" s="679"/>
      <c r="E83" s="625"/>
      <c r="F83" s="626"/>
      <c r="G83" s="627"/>
      <c r="H83" s="634" t="str">
        <f t="shared" si="2"/>
        <v/>
      </c>
    </row>
    <row r="84" spans="1:8" ht="20.100000000000001" customHeight="1">
      <c r="A84" s="621"/>
      <c r="B84" s="678"/>
      <c r="C84" s="623"/>
      <c r="D84" s="679"/>
      <c r="E84" s="625"/>
      <c r="F84" s="626"/>
      <c r="G84" s="627"/>
      <c r="H84" s="634" t="str">
        <f t="shared" si="2"/>
        <v/>
      </c>
    </row>
    <row r="85" spans="1:8" ht="20.100000000000001" customHeight="1">
      <c r="A85" s="621"/>
      <c r="B85" s="678"/>
      <c r="C85" s="623"/>
      <c r="D85" s="679"/>
      <c r="E85" s="625"/>
      <c r="F85" s="626"/>
      <c r="G85" s="627"/>
      <c r="H85" s="634" t="str">
        <f t="shared" si="2"/>
        <v/>
      </c>
    </row>
    <row r="86" spans="1:8" ht="20.100000000000001" customHeight="1">
      <c r="A86" s="621"/>
      <c r="B86" s="678"/>
      <c r="C86" s="623"/>
      <c r="D86" s="679"/>
      <c r="E86" s="625"/>
      <c r="F86" s="626"/>
      <c r="G86" s="627"/>
      <c r="H86" s="634" t="str">
        <f t="shared" si="2"/>
        <v/>
      </c>
    </row>
    <row r="87" spans="1:8" ht="20.100000000000001" customHeight="1">
      <c r="A87" s="621"/>
      <c r="B87" s="678"/>
      <c r="C87" s="623"/>
      <c r="D87" s="679"/>
      <c r="E87" s="625"/>
      <c r="F87" s="626"/>
      <c r="G87" s="627"/>
      <c r="H87" s="634" t="str">
        <f t="shared" si="2"/>
        <v/>
      </c>
    </row>
    <row r="88" spans="1:8" ht="20.100000000000001" customHeight="1">
      <c r="A88" s="621"/>
      <c r="B88" s="678"/>
      <c r="C88" s="623"/>
      <c r="D88" s="679"/>
      <c r="E88" s="625"/>
      <c r="F88" s="626"/>
      <c r="G88" s="627"/>
      <c r="H88" s="634" t="str">
        <f t="shared" si="2"/>
        <v/>
      </c>
    </row>
    <row r="89" spans="1:8" ht="20.100000000000001" customHeight="1">
      <c r="A89" s="621"/>
      <c r="B89" s="678"/>
      <c r="C89" s="623"/>
      <c r="D89" s="679"/>
      <c r="E89" s="625"/>
      <c r="F89" s="626"/>
      <c r="G89" s="627"/>
      <c r="H89" s="634" t="str">
        <f t="shared" si="2"/>
        <v/>
      </c>
    </row>
    <row r="90" spans="1:8" ht="20.100000000000001" customHeight="1">
      <c r="A90" s="621"/>
      <c r="B90" s="678"/>
      <c r="C90" s="623"/>
      <c r="D90" s="679"/>
      <c r="E90" s="625"/>
      <c r="F90" s="626"/>
      <c r="G90" s="627"/>
      <c r="H90" s="634" t="str">
        <f t="shared" si="2"/>
        <v/>
      </c>
    </row>
    <row r="91" spans="1:8" ht="20.100000000000001" customHeight="1">
      <c r="A91" s="621"/>
      <c r="B91" s="678"/>
      <c r="C91" s="623"/>
      <c r="D91" s="679"/>
      <c r="E91" s="625"/>
      <c r="F91" s="626"/>
      <c r="G91" s="627"/>
      <c r="H91" s="634" t="str">
        <f t="shared" si="2"/>
        <v/>
      </c>
    </row>
    <row r="92" spans="1:8" ht="20.100000000000001" customHeight="1">
      <c r="A92" s="621"/>
      <c r="B92" s="678"/>
      <c r="C92" s="623"/>
      <c r="D92" s="679"/>
      <c r="E92" s="625"/>
      <c r="F92" s="626"/>
      <c r="G92" s="627"/>
      <c r="H92" s="634" t="str">
        <f t="shared" si="2"/>
        <v/>
      </c>
    </row>
    <row r="93" spans="1:8" ht="20.100000000000001" customHeight="1">
      <c r="A93" s="621"/>
      <c r="B93" s="678"/>
      <c r="C93" s="623"/>
      <c r="D93" s="679"/>
      <c r="E93" s="625"/>
      <c r="F93" s="626"/>
      <c r="G93" s="627"/>
      <c r="H93" s="634" t="str">
        <f t="shared" si="2"/>
        <v/>
      </c>
    </row>
    <row r="94" spans="1:8" ht="20.100000000000001" customHeight="1">
      <c r="A94" s="621"/>
      <c r="B94" s="678"/>
      <c r="C94" s="623"/>
      <c r="D94" s="679"/>
      <c r="E94" s="625"/>
      <c r="F94" s="626"/>
      <c r="G94" s="627"/>
      <c r="H94" s="634" t="str">
        <f t="shared" si="2"/>
        <v/>
      </c>
    </row>
    <row r="95" spans="1:8" ht="20.100000000000001" customHeight="1">
      <c r="A95" s="621"/>
      <c r="B95" s="678"/>
      <c r="C95" s="623"/>
      <c r="D95" s="679"/>
      <c r="E95" s="625"/>
      <c r="F95" s="626"/>
      <c r="G95" s="627"/>
      <c r="H95" s="634" t="str">
        <f t="shared" si="2"/>
        <v/>
      </c>
    </row>
    <row r="96" spans="1:8" ht="20.100000000000001" customHeight="1">
      <c r="A96" s="621"/>
      <c r="B96" s="678"/>
      <c r="C96" s="623"/>
      <c r="D96" s="679"/>
      <c r="E96" s="625"/>
      <c r="F96" s="626"/>
      <c r="G96" s="627"/>
      <c r="H96" s="634" t="str">
        <f t="shared" si="2"/>
        <v/>
      </c>
    </row>
    <row r="97" spans="1:8" ht="20.100000000000001" customHeight="1">
      <c r="A97" s="621"/>
      <c r="B97" s="678"/>
      <c r="C97" s="623"/>
      <c r="D97" s="679"/>
      <c r="E97" s="625"/>
      <c r="F97" s="626"/>
      <c r="G97" s="627"/>
      <c r="H97" s="634" t="str">
        <f t="shared" si="2"/>
        <v/>
      </c>
    </row>
    <row r="98" spans="1:8" ht="20.100000000000001" customHeight="1">
      <c r="A98" s="621"/>
      <c r="B98" s="678"/>
      <c r="C98" s="623"/>
      <c r="D98" s="679"/>
      <c r="E98" s="625"/>
      <c r="F98" s="650"/>
      <c r="G98" s="651"/>
      <c r="H98" s="653" t="str">
        <f t="shared" si="2"/>
        <v/>
      </c>
    </row>
    <row r="99" spans="1:8" ht="20.100000000000001" customHeight="1">
      <c r="A99" s="621"/>
      <c r="B99" s="1133" t="s">
        <v>282</v>
      </c>
      <c r="C99" s="1134"/>
      <c r="D99" s="1135"/>
      <c r="E99" s="640"/>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disablePrompts="1"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47</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 t="shared" ref="H5:H36" si="0">IF(OR(F5&lt;&gt;"",G5&lt;&gt;""),H4+F5-G5,"")</f>
        <v/>
      </c>
    </row>
    <row r="6" spans="1:8" ht="20.100000000000001" customHeight="1">
      <c r="A6" s="621"/>
      <c r="B6" s="678"/>
      <c r="C6" s="623"/>
      <c r="D6" s="679"/>
      <c r="E6" s="625"/>
      <c r="F6" s="626"/>
      <c r="G6" s="627"/>
      <c r="H6" s="634" t="str">
        <f t="shared" si="0"/>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ref="H37:H68" si="1">IF(OR(F37&lt;&gt;"",G37&lt;&gt;""),H36+F37-G37,"")</f>
        <v/>
      </c>
    </row>
    <row r="38" spans="1:8" ht="20.100000000000001" customHeight="1">
      <c r="A38" s="621"/>
      <c r="B38" s="678"/>
      <c r="C38" s="623"/>
      <c r="D38" s="679"/>
      <c r="E38" s="625"/>
      <c r="F38" s="626"/>
      <c r="G38" s="627"/>
      <c r="H38" s="634" t="str">
        <f t="shared" si="1"/>
        <v/>
      </c>
    </row>
    <row r="39" spans="1:8" ht="20.100000000000001" customHeight="1">
      <c r="A39" s="621"/>
      <c r="B39" s="678"/>
      <c r="C39" s="623"/>
      <c r="D39" s="679"/>
      <c r="E39" s="625"/>
      <c r="F39" s="626"/>
      <c r="G39" s="627"/>
      <c r="H39" s="634" t="str">
        <f t="shared" si="1"/>
        <v/>
      </c>
    </row>
    <row r="40" spans="1:8" ht="20.100000000000001" customHeight="1">
      <c r="A40" s="621"/>
      <c r="B40" s="678"/>
      <c r="C40" s="623"/>
      <c r="D40" s="679"/>
      <c r="E40" s="625"/>
      <c r="F40" s="626"/>
      <c r="G40" s="627"/>
      <c r="H40" s="634" t="str">
        <f t="shared" si="1"/>
        <v/>
      </c>
    </row>
    <row r="41" spans="1:8" ht="20.100000000000001" customHeight="1">
      <c r="A41" s="621"/>
      <c r="B41" s="678"/>
      <c r="C41" s="623"/>
      <c r="D41" s="679"/>
      <c r="E41" s="625"/>
      <c r="F41" s="626"/>
      <c r="G41" s="627"/>
      <c r="H41" s="634" t="str">
        <f t="shared" si="1"/>
        <v/>
      </c>
    </row>
    <row r="42" spans="1:8" ht="20.100000000000001" customHeight="1">
      <c r="A42" s="621"/>
      <c r="B42" s="678"/>
      <c r="C42" s="623"/>
      <c r="D42" s="679"/>
      <c r="E42" s="625"/>
      <c r="F42" s="626"/>
      <c r="G42" s="627"/>
      <c r="H42" s="634" t="str">
        <f t="shared" si="1"/>
        <v/>
      </c>
    </row>
    <row r="43" spans="1:8" ht="20.100000000000001" customHeight="1">
      <c r="A43" s="621"/>
      <c r="B43" s="678"/>
      <c r="C43" s="623"/>
      <c r="D43" s="679"/>
      <c r="E43" s="625"/>
      <c r="F43" s="626"/>
      <c r="G43" s="627"/>
      <c r="H43" s="634" t="str">
        <f t="shared" si="1"/>
        <v/>
      </c>
    </row>
    <row r="44" spans="1:8" ht="20.100000000000001" customHeight="1">
      <c r="A44" s="621"/>
      <c r="B44" s="678"/>
      <c r="C44" s="623"/>
      <c r="D44" s="679"/>
      <c r="E44" s="625"/>
      <c r="F44" s="626"/>
      <c r="G44" s="627"/>
      <c r="H44" s="634" t="str">
        <f t="shared" si="1"/>
        <v/>
      </c>
    </row>
    <row r="45" spans="1:8" ht="20.100000000000001" customHeight="1">
      <c r="A45" s="621"/>
      <c r="B45" s="678"/>
      <c r="C45" s="623"/>
      <c r="D45" s="679"/>
      <c r="E45" s="625"/>
      <c r="F45" s="626"/>
      <c r="G45" s="627"/>
      <c r="H45" s="634" t="str">
        <f t="shared" si="1"/>
        <v/>
      </c>
    </row>
    <row r="46" spans="1:8" ht="20.100000000000001" customHeight="1">
      <c r="A46" s="621"/>
      <c r="B46" s="678"/>
      <c r="C46" s="623"/>
      <c r="D46" s="679"/>
      <c r="E46" s="625"/>
      <c r="F46" s="626"/>
      <c r="G46" s="627"/>
      <c r="H46" s="634" t="str">
        <f t="shared" si="1"/>
        <v/>
      </c>
    </row>
    <row r="47" spans="1:8" ht="20.100000000000001" customHeight="1">
      <c r="A47" s="621"/>
      <c r="B47" s="678"/>
      <c r="C47" s="623"/>
      <c r="D47" s="679"/>
      <c r="E47" s="625"/>
      <c r="F47" s="626"/>
      <c r="G47" s="627"/>
      <c r="H47" s="634" t="str">
        <f t="shared" si="1"/>
        <v/>
      </c>
    </row>
    <row r="48" spans="1:8" ht="20.100000000000001" customHeight="1">
      <c r="A48" s="621"/>
      <c r="B48" s="678"/>
      <c r="C48" s="623"/>
      <c r="D48" s="679"/>
      <c r="E48" s="625"/>
      <c r="F48" s="626"/>
      <c r="G48" s="627"/>
      <c r="H48" s="634" t="str">
        <f t="shared" si="1"/>
        <v/>
      </c>
    </row>
    <row r="49" spans="1:8" ht="20.100000000000001" customHeight="1">
      <c r="A49" s="621"/>
      <c r="B49" s="678"/>
      <c r="C49" s="623"/>
      <c r="D49" s="679"/>
      <c r="E49" s="625"/>
      <c r="F49" s="626"/>
      <c r="G49" s="627"/>
      <c r="H49" s="634" t="str">
        <f t="shared" si="1"/>
        <v/>
      </c>
    </row>
    <row r="50" spans="1:8" ht="20.100000000000001" customHeight="1">
      <c r="A50" s="621"/>
      <c r="B50" s="678"/>
      <c r="C50" s="623"/>
      <c r="D50" s="679"/>
      <c r="E50" s="625"/>
      <c r="F50" s="626"/>
      <c r="G50" s="627"/>
      <c r="H50" s="634" t="str">
        <f t="shared" si="1"/>
        <v/>
      </c>
    </row>
    <row r="51" spans="1:8" ht="20.100000000000001" customHeight="1">
      <c r="A51" s="621"/>
      <c r="B51" s="678"/>
      <c r="C51" s="623"/>
      <c r="D51" s="679"/>
      <c r="E51" s="625"/>
      <c r="F51" s="626"/>
      <c r="G51" s="627"/>
      <c r="H51" s="634" t="str">
        <f t="shared" si="1"/>
        <v/>
      </c>
    </row>
    <row r="52" spans="1:8" ht="20.100000000000001" customHeight="1">
      <c r="A52" s="621"/>
      <c r="B52" s="678"/>
      <c r="C52" s="623"/>
      <c r="D52" s="679"/>
      <c r="E52" s="625"/>
      <c r="F52" s="626"/>
      <c r="G52" s="627"/>
      <c r="H52" s="634" t="str">
        <f t="shared" si="1"/>
        <v/>
      </c>
    </row>
    <row r="53" spans="1:8" ht="20.100000000000001" customHeight="1">
      <c r="A53" s="621"/>
      <c r="B53" s="678"/>
      <c r="C53" s="623"/>
      <c r="D53" s="679"/>
      <c r="E53" s="625"/>
      <c r="F53" s="626"/>
      <c r="G53" s="627"/>
      <c r="H53" s="634" t="str">
        <f t="shared" si="1"/>
        <v/>
      </c>
    </row>
    <row r="54" spans="1:8" ht="20.100000000000001" customHeight="1">
      <c r="A54" s="621"/>
      <c r="B54" s="678"/>
      <c r="C54" s="623"/>
      <c r="D54" s="679"/>
      <c r="E54" s="625"/>
      <c r="F54" s="626"/>
      <c r="G54" s="627"/>
      <c r="H54" s="634" t="str">
        <f t="shared" si="1"/>
        <v/>
      </c>
    </row>
    <row r="55" spans="1:8" ht="20.100000000000001" customHeight="1">
      <c r="A55" s="621"/>
      <c r="B55" s="678"/>
      <c r="C55" s="623"/>
      <c r="D55" s="679"/>
      <c r="E55" s="625"/>
      <c r="F55" s="626"/>
      <c r="G55" s="627"/>
      <c r="H55" s="634" t="str">
        <f t="shared" si="1"/>
        <v/>
      </c>
    </row>
    <row r="56" spans="1:8" ht="20.100000000000001" customHeight="1">
      <c r="A56" s="621"/>
      <c r="B56" s="678"/>
      <c r="C56" s="623"/>
      <c r="D56" s="679"/>
      <c r="E56" s="625"/>
      <c r="F56" s="626"/>
      <c r="G56" s="627"/>
      <c r="H56" s="634" t="str">
        <f t="shared" si="1"/>
        <v/>
      </c>
    </row>
    <row r="57" spans="1:8" ht="20.100000000000001" customHeight="1">
      <c r="A57" s="621"/>
      <c r="B57" s="678"/>
      <c r="C57" s="623"/>
      <c r="D57" s="679"/>
      <c r="E57" s="625"/>
      <c r="F57" s="626"/>
      <c r="G57" s="627"/>
      <c r="H57" s="634" t="str">
        <f t="shared" si="1"/>
        <v/>
      </c>
    </row>
    <row r="58" spans="1:8" ht="20.100000000000001" customHeight="1">
      <c r="A58" s="621"/>
      <c r="B58" s="678"/>
      <c r="C58" s="623"/>
      <c r="D58" s="679"/>
      <c r="E58" s="625"/>
      <c r="F58" s="626"/>
      <c r="G58" s="627"/>
      <c r="H58" s="634" t="str">
        <f t="shared" si="1"/>
        <v/>
      </c>
    </row>
    <row r="59" spans="1:8" ht="20.100000000000001" customHeight="1">
      <c r="A59" s="621"/>
      <c r="B59" s="678"/>
      <c r="C59" s="623"/>
      <c r="D59" s="679"/>
      <c r="E59" s="625"/>
      <c r="F59" s="626"/>
      <c r="G59" s="627"/>
      <c r="H59" s="634" t="str">
        <f t="shared" si="1"/>
        <v/>
      </c>
    </row>
    <row r="60" spans="1:8" ht="20.100000000000001" customHeight="1">
      <c r="A60" s="621"/>
      <c r="B60" s="678"/>
      <c r="C60" s="623"/>
      <c r="D60" s="679"/>
      <c r="E60" s="625"/>
      <c r="F60" s="626"/>
      <c r="G60" s="627"/>
      <c r="H60" s="634" t="str">
        <f t="shared" si="1"/>
        <v/>
      </c>
    </row>
    <row r="61" spans="1:8" ht="20.100000000000001" customHeight="1">
      <c r="A61" s="621"/>
      <c r="B61" s="678"/>
      <c r="C61" s="623"/>
      <c r="D61" s="679"/>
      <c r="E61" s="625"/>
      <c r="F61" s="626"/>
      <c r="G61" s="627"/>
      <c r="H61" s="634" t="str">
        <f t="shared" si="1"/>
        <v/>
      </c>
    </row>
    <row r="62" spans="1:8" ht="20.100000000000001" customHeight="1">
      <c r="A62" s="621"/>
      <c r="B62" s="678"/>
      <c r="C62" s="623"/>
      <c r="D62" s="679"/>
      <c r="E62" s="625"/>
      <c r="F62" s="626"/>
      <c r="G62" s="627"/>
      <c r="H62" s="634" t="str">
        <f t="shared" si="1"/>
        <v/>
      </c>
    </row>
    <row r="63" spans="1:8" ht="20.100000000000001" customHeight="1">
      <c r="A63" s="621"/>
      <c r="B63" s="678"/>
      <c r="C63" s="623"/>
      <c r="D63" s="679"/>
      <c r="E63" s="625"/>
      <c r="F63" s="626"/>
      <c r="G63" s="627"/>
      <c r="H63" s="634" t="str">
        <f t="shared" si="1"/>
        <v/>
      </c>
    </row>
    <row r="64" spans="1:8" ht="20.100000000000001" customHeight="1">
      <c r="A64" s="621"/>
      <c r="B64" s="678"/>
      <c r="C64" s="623"/>
      <c r="D64" s="679"/>
      <c r="E64" s="625"/>
      <c r="F64" s="626"/>
      <c r="G64" s="627"/>
      <c r="H64" s="634" t="str">
        <f t="shared" si="1"/>
        <v/>
      </c>
    </row>
    <row r="65" spans="1:8" ht="20.100000000000001" customHeight="1">
      <c r="A65" s="621"/>
      <c r="B65" s="678"/>
      <c r="C65" s="623"/>
      <c r="D65" s="679"/>
      <c r="E65" s="625"/>
      <c r="F65" s="626"/>
      <c r="G65" s="627"/>
      <c r="H65" s="634" t="str">
        <f t="shared" si="1"/>
        <v/>
      </c>
    </row>
    <row r="66" spans="1:8" ht="20.100000000000001" customHeight="1">
      <c r="A66" s="621"/>
      <c r="B66" s="678"/>
      <c r="C66" s="623"/>
      <c r="D66" s="679"/>
      <c r="E66" s="625"/>
      <c r="F66" s="626"/>
      <c r="G66" s="627"/>
      <c r="H66" s="634" t="str">
        <f t="shared" si="1"/>
        <v/>
      </c>
    </row>
    <row r="67" spans="1:8" ht="20.100000000000001" customHeight="1">
      <c r="A67" s="621"/>
      <c r="B67" s="678"/>
      <c r="C67" s="623"/>
      <c r="D67" s="679"/>
      <c r="E67" s="625"/>
      <c r="F67" s="626"/>
      <c r="G67" s="627"/>
      <c r="H67" s="634" t="str">
        <f t="shared" si="1"/>
        <v/>
      </c>
    </row>
    <row r="68" spans="1:8" ht="20.100000000000001" customHeight="1">
      <c r="A68" s="621"/>
      <c r="B68" s="678"/>
      <c r="C68" s="623"/>
      <c r="D68" s="679"/>
      <c r="E68" s="625"/>
      <c r="F68" s="626"/>
      <c r="G68" s="627"/>
      <c r="H68" s="634" t="str">
        <f t="shared" si="1"/>
        <v/>
      </c>
    </row>
    <row r="69" spans="1:8" ht="20.100000000000001" customHeight="1">
      <c r="A69" s="621"/>
      <c r="B69" s="678"/>
      <c r="C69" s="623"/>
      <c r="D69" s="679"/>
      <c r="E69" s="625"/>
      <c r="F69" s="626"/>
      <c r="G69" s="627"/>
      <c r="H69" s="634" t="str">
        <f t="shared" ref="H69:H98" si="2">IF(OR(F69&lt;&gt;"",G69&lt;&gt;""),H68+F69-G69,"")</f>
        <v/>
      </c>
    </row>
    <row r="70" spans="1:8" ht="20.100000000000001" customHeight="1">
      <c r="A70" s="621"/>
      <c r="B70" s="678"/>
      <c r="C70" s="623"/>
      <c r="D70" s="679"/>
      <c r="E70" s="625"/>
      <c r="F70" s="626"/>
      <c r="G70" s="627"/>
      <c r="H70" s="634" t="str">
        <f t="shared" si="2"/>
        <v/>
      </c>
    </row>
    <row r="71" spans="1:8" ht="20.100000000000001" customHeight="1">
      <c r="A71" s="621"/>
      <c r="B71" s="678"/>
      <c r="C71" s="623"/>
      <c r="D71" s="679"/>
      <c r="E71" s="625"/>
      <c r="F71" s="626"/>
      <c r="G71" s="627"/>
      <c r="H71" s="634" t="str">
        <f t="shared" si="2"/>
        <v/>
      </c>
    </row>
    <row r="72" spans="1:8" ht="20.100000000000001" customHeight="1">
      <c r="A72" s="621"/>
      <c r="B72" s="678"/>
      <c r="C72" s="623"/>
      <c r="D72" s="679"/>
      <c r="E72" s="625"/>
      <c r="F72" s="626"/>
      <c r="G72" s="627"/>
      <c r="H72" s="634" t="str">
        <f t="shared" si="2"/>
        <v/>
      </c>
    </row>
    <row r="73" spans="1:8" ht="20.100000000000001" customHeight="1">
      <c r="A73" s="621"/>
      <c r="B73" s="678"/>
      <c r="C73" s="623"/>
      <c r="D73" s="679"/>
      <c r="E73" s="625"/>
      <c r="F73" s="626"/>
      <c r="G73" s="627"/>
      <c r="H73" s="634" t="str">
        <f t="shared" si="2"/>
        <v/>
      </c>
    </row>
    <row r="74" spans="1:8" ht="20.100000000000001" customHeight="1">
      <c r="A74" s="621"/>
      <c r="B74" s="678"/>
      <c r="C74" s="623"/>
      <c r="D74" s="679"/>
      <c r="E74" s="625"/>
      <c r="F74" s="626"/>
      <c r="G74" s="627"/>
      <c r="H74" s="634" t="str">
        <f t="shared" si="2"/>
        <v/>
      </c>
    </row>
    <row r="75" spans="1:8" ht="20.100000000000001" customHeight="1">
      <c r="A75" s="621"/>
      <c r="B75" s="678"/>
      <c r="C75" s="623"/>
      <c r="D75" s="679"/>
      <c r="E75" s="625"/>
      <c r="F75" s="626"/>
      <c r="G75" s="627"/>
      <c r="H75" s="634" t="str">
        <f t="shared" si="2"/>
        <v/>
      </c>
    </row>
    <row r="76" spans="1:8" ht="20.100000000000001" customHeight="1">
      <c r="A76" s="621"/>
      <c r="B76" s="678"/>
      <c r="C76" s="623"/>
      <c r="D76" s="679"/>
      <c r="E76" s="625"/>
      <c r="F76" s="626"/>
      <c r="G76" s="627"/>
      <c r="H76" s="634" t="str">
        <f t="shared" si="2"/>
        <v/>
      </c>
    </row>
    <row r="77" spans="1:8" ht="20.100000000000001" customHeight="1">
      <c r="A77" s="621"/>
      <c r="B77" s="678"/>
      <c r="C77" s="623"/>
      <c r="D77" s="679"/>
      <c r="E77" s="625"/>
      <c r="F77" s="626"/>
      <c r="G77" s="627"/>
      <c r="H77" s="634" t="str">
        <f t="shared" si="2"/>
        <v/>
      </c>
    </row>
    <row r="78" spans="1:8" ht="20.100000000000001" customHeight="1">
      <c r="A78" s="621"/>
      <c r="B78" s="678"/>
      <c r="C78" s="623"/>
      <c r="D78" s="679"/>
      <c r="E78" s="625"/>
      <c r="F78" s="626"/>
      <c r="G78" s="627"/>
      <c r="H78" s="634" t="str">
        <f t="shared" si="2"/>
        <v/>
      </c>
    </row>
    <row r="79" spans="1:8" ht="20.100000000000001" customHeight="1">
      <c r="A79" s="621"/>
      <c r="B79" s="678"/>
      <c r="C79" s="623"/>
      <c r="D79" s="679"/>
      <c r="E79" s="625"/>
      <c r="F79" s="626"/>
      <c r="G79" s="627"/>
      <c r="H79" s="634" t="str">
        <f t="shared" si="2"/>
        <v/>
      </c>
    </row>
    <row r="80" spans="1:8" ht="20.100000000000001" customHeight="1">
      <c r="A80" s="621"/>
      <c r="B80" s="678"/>
      <c r="C80" s="623"/>
      <c r="D80" s="679"/>
      <c r="E80" s="625"/>
      <c r="F80" s="626"/>
      <c r="G80" s="627"/>
      <c r="H80" s="634" t="str">
        <f t="shared" si="2"/>
        <v/>
      </c>
    </row>
    <row r="81" spans="1:8" ht="20.100000000000001" customHeight="1">
      <c r="A81" s="621"/>
      <c r="B81" s="678"/>
      <c r="C81" s="623"/>
      <c r="D81" s="679"/>
      <c r="E81" s="625"/>
      <c r="F81" s="626"/>
      <c r="G81" s="627"/>
      <c r="H81" s="634" t="str">
        <f t="shared" si="2"/>
        <v/>
      </c>
    </row>
    <row r="82" spans="1:8" ht="20.100000000000001" customHeight="1">
      <c r="A82" s="621"/>
      <c r="B82" s="678"/>
      <c r="C82" s="623"/>
      <c r="D82" s="679"/>
      <c r="E82" s="625"/>
      <c r="F82" s="626"/>
      <c r="G82" s="627"/>
      <c r="H82" s="634" t="str">
        <f t="shared" si="2"/>
        <v/>
      </c>
    </row>
    <row r="83" spans="1:8" ht="20.100000000000001" customHeight="1">
      <c r="A83" s="621"/>
      <c r="B83" s="678"/>
      <c r="C83" s="623"/>
      <c r="D83" s="679"/>
      <c r="E83" s="625"/>
      <c r="F83" s="626"/>
      <c r="G83" s="627"/>
      <c r="H83" s="634" t="str">
        <f t="shared" si="2"/>
        <v/>
      </c>
    </row>
    <row r="84" spans="1:8" ht="20.100000000000001" customHeight="1">
      <c r="A84" s="621"/>
      <c r="B84" s="678"/>
      <c r="C84" s="623"/>
      <c r="D84" s="679"/>
      <c r="E84" s="625"/>
      <c r="F84" s="626"/>
      <c r="G84" s="627"/>
      <c r="H84" s="634" t="str">
        <f t="shared" si="2"/>
        <v/>
      </c>
    </row>
    <row r="85" spans="1:8" ht="20.100000000000001" customHeight="1">
      <c r="A85" s="621"/>
      <c r="B85" s="678"/>
      <c r="C85" s="623"/>
      <c r="D85" s="679"/>
      <c r="E85" s="625"/>
      <c r="F85" s="626"/>
      <c r="G85" s="627"/>
      <c r="H85" s="634" t="str">
        <f t="shared" si="2"/>
        <v/>
      </c>
    </row>
    <row r="86" spans="1:8" ht="20.100000000000001" customHeight="1">
      <c r="A86" s="621"/>
      <c r="B86" s="678"/>
      <c r="C86" s="623"/>
      <c r="D86" s="679"/>
      <c r="E86" s="625"/>
      <c r="F86" s="626"/>
      <c r="G86" s="627"/>
      <c r="H86" s="634" t="str">
        <f t="shared" si="2"/>
        <v/>
      </c>
    </row>
    <row r="87" spans="1:8" ht="20.100000000000001" customHeight="1">
      <c r="A87" s="621"/>
      <c r="B87" s="678"/>
      <c r="C87" s="623"/>
      <c r="D87" s="679"/>
      <c r="E87" s="625"/>
      <c r="F87" s="626"/>
      <c r="G87" s="627"/>
      <c r="H87" s="634" t="str">
        <f t="shared" si="2"/>
        <v/>
      </c>
    </row>
    <row r="88" spans="1:8" ht="20.100000000000001" customHeight="1">
      <c r="A88" s="621"/>
      <c r="B88" s="678"/>
      <c r="C88" s="623"/>
      <c r="D88" s="679"/>
      <c r="E88" s="625"/>
      <c r="F88" s="626"/>
      <c r="G88" s="627"/>
      <c r="H88" s="634" t="str">
        <f t="shared" si="2"/>
        <v/>
      </c>
    </row>
    <row r="89" spans="1:8" ht="20.100000000000001" customHeight="1">
      <c r="A89" s="621"/>
      <c r="B89" s="678"/>
      <c r="C89" s="623"/>
      <c r="D89" s="679"/>
      <c r="E89" s="625"/>
      <c r="F89" s="626"/>
      <c r="G89" s="627"/>
      <c r="H89" s="634" t="str">
        <f t="shared" si="2"/>
        <v/>
      </c>
    </row>
    <row r="90" spans="1:8" ht="20.100000000000001" customHeight="1">
      <c r="A90" s="621"/>
      <c r="B90" s="678"/>
      <c r="C90" s="623"/>
      <c r="D90" s="679"/>
      <c r="E90" s="625"/>
      <c r="F90" s="626"/>
      <c r="G90" s="627"/>
      <c r="H90" s="634" t="str">
        <f t="shared" si="2"/>
        <v/>
      </c>
    </row>
    <row r="91" spans="1:8" ht="20.100000000000001" customHeight="1">
      <c r="A91" s="621"/>
      <c r="B91" s="678"/>
      <c r="C91" s="623"/>
      <c r="D91" s="679"/>
      <c r="E91" s="625"/>
      <c r="F91" s="626"/>
      <c r="G91" s="627"/>
      <c r="H91" s="634" t="str">
        <f t="shared" si="2"/>
        <v/>
      </c>
    </row>
    <row r="92" spans="1:8" ht="20.100000000000001" customHeight="1">
      <c r="A92" s="621"/>
      <c r="B92" s="678"/>
      <c r="C92" s="623"/>
      <c r="D92" s="679"/>
      <c r="E92" s="625"/>
      <c r="F92" s="626"/>
      <c r="G92" s="627"/>
      <c r="H92" s="634" t="str">
        <f t="shared" si="2"/>
        <v/>
      </c>
    </row>
    <row r="93" spans="1:8" ht="20.100000000000001" customHeight="1">
      <c r="A93" s="621"/>
      <c r="B93" s="678"/>
      <c r="C93" s="623"/>
      <c r="D93" s="679"/>
      <c r="E93" s="625"/>
      <c r="F93" s="626"/>
      <c r="G93" s="627"/>
      <c r="H93" s="634" t="str">
        <f t="shared" si="2"/>
        <v/>
      </c>
    </row>
    <row r="94" spans="1:8" ht="20.100000000000001" customHeight="1">
      <c r="A94" s="621"/>
      <c r="B94" s="678"/>
      <c r="C94" s="623"/>
      <c r="D94" s="679"/>
      <c r="E94" s="625"/>
      <c r="F94" s="626"/>
      <c r="G94" s="627"/>
      <c r="H94" s="634" t="str">
        <f t="shared" si="2"/>
        <v/>
      </c>
    </row>
    <row r="95" spans="1:8" ht="20.100000000000001" customHeight="1">
      <c r="A95" s="621"/>
      <c r="B95" s="678"/>
      <c r="C95" s="623"/>
      <c r="D95" s="679"/>
      <c r="E95" s="625"/>
      <c r="F95" s="626"/>
      <c r="G95" s="627"/>
      <c r="H95" s="634" t="str">
        <f t="shared" si="2"/>
        <v/>
      </c>
    </row>
    <row r="96" spans="1:8" ht="20.100000000000001" customHeight="1">
      <c r="A96" s="621"/>
      <c r="B96" s="678"/>
      <c r="C96" s="623"/>
      <c r="D96" s="679"/>
      <c r="E96" s="625"/>
      <c r="F96" s="626"/>
      <c r="G96" s="627"/>
      <c r="H96" s="634" t="str">
        <f t="shared" si="2"/>
        <v/>
      </c>
    </row>
    <row r="97" spans="1:8" ht="20.100000000000001" customHeight="1">
      <c r="A97" s="621"/>
      <c r="B97" s="678"/>
      <c r="C97" s="623"/>
      <c r="D97" s="679"/>
      <c r="E97" s="625"/>
      <c r="F97" s="626"/>
      <c r="G97" s="627"/>
      <c r="H97" s="634" t="str">
        <f t="shared" si="2"/>
        <v/>
      </c>
    </row>
    <row r="98" spans="1:8" ht="20.100000000000001" customHeight="1">
      <c r="A98" s="621"/>
      <c r="B98" s="678"/>
      <c r="C98" s="623"/>
      <c r="D98" s="679"/>
      <c r="E98" s="625"/>
      <c r="F98" s="650"/>
      <c r="G98" s="651"/>
      <c r="H98" s="653" t="str">
        <f t="shared" si="2"/>
        <v/>
      </c>
    </row>
    <row r="99" spans="1:8" ht="20.100000000000001" customHeight="1">
      <c r="A99" s="621"/>
      <c r="B99" s="1133" t="s">
        <v>282</v>
      </c>
      <c r="C99" s="1134"/>
      <c r="D99" s="1135"/>
      <c r="E99" s="640"/>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CCFFFF"/>
  </sheetPr>
  <dimension ref="A1:H101"/>
  <sheetViews>
    <sheetView showWhiteSpace="0" zoomScale="120" zoomScaleNormal="120" workbookViewId="0">
      <pane ySplit="3" topLeftCell="A4" activePane="bottomLeft" state="frozen"/>
      <selection activeCell="A4" sqref="A4"/>
      <selection pane="bottomLeft" activeCell="N26" sqref="N26"/>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34</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59" t="s">
        <v>6</v>
      </c>
      <c r="C4" s="1159"/>
      <c r="D4" s="1159"/>
      <c r="E4" s="786"/>
      <c r="F4" s="788">
        <f>VLOOKUP($A$1,合計残高試算表!$A$5:$G$44,2,0)</f>
        <v>0</v>
      </c>
      <c r="G4" s="788">
        <f>VLOOKUP($A$1,合計残高試算表!$A$5:$G$44,3,0)</f>
        <v>0</v>
      </c>
      <c r="H4" s="820">
        <f>F4-G4</f>
        <v>0</v>
      </c>
    </row>
    <row r="5" spans="1:8" ht="20.100000000000001" customHeight="1">
      <c r="A5" s="621"/>
      <c r="B5" s="678"/>
      <c r="C5" s="623"/>
      <c r="D5" s="679"/>
      <c r="E5" s="624"/>
      <c r="F5" s="626"/>
      <c r="G5" s="626"/>
      <c r="H5" s="790" t="str">
        <f t="shared" ref="H5:H36" si="0">IF(OR(F5&lt;&gt;"",G5&lt;&gt;""),H4+F5-G5,"")</f>
        <v/>
      </c>
    </row>
    <row r="6" spans="1:8" ht="20.100000000000001" customHeight="1">
      <c r="A6" s="621"/>
      <c r="B6" s="678"/>
      <c r="C6" s="623"/>
      <c r="D6" s="679"/>
      <c r="E6" s="624"/>
      <c r="F6" s="626"/>
      <c r="G6" s="626"/>
      <c r="H6" s="790" t="str">
        <f t="shared" si="0"/>
        <v/>
      </c>
    </row>
    <row r="7" spans="1:8" ht="20.100000000000001" customHeight="1">
      <c r="A7" s="621"/>
      <c r="B7" s="678"/>
      <c r="C7" s="623"/>
      <c r="D7" s="679"/>
      <c r="E7" s="624"/>
      <c r="F7" s="626"/>
      <c r="G7" s="626"/>
      <c r="H7" s="790" t="str">
        <f t="shared" si="0"/>
        <v/>
      </c>
    </row>
    <row r="8" spans="1:8" ht="20.100000000000001" customHeight="1">
      <c r="A8" s="621"/>
      <c r="B8" s="678"/>
      <c r="C8" s="623"/>
      <c r="D8" s="679"/>
      <c r="E8" s="624"/>
      <c r="F8" s="626"/>
      <c r="G8" s="626"/>
      <c r="H8" s="790" t="str">
        <f t="shared" si="0"/>
        <v/>
      </c>
    </row>
    <row r="9" spans="1:8" ht="20.100000000000001" customHeight="1">
      <c r="A9" s="621"/>
      <c r="B9" s="678"/>
      <c r="C9" s="623"/>
      <c r="D9" s="679"/>
      <c r="E9" s="624"/>
      <c r="F9" s="626"/>
      <c r="G9" s="626"/>
      <c r="H9" s="790" t="str">
        <f t="shared" si="0"/>
        <v/>
      </c>
    </row>
    <row r="10" spans="1:8" ht="20.100000000000001" customHeight="1">
      <c r="A10" s="621"/>
      <c r="B10" s="678"/>
      <c r="C10" s="623"/>
      <c r="D10" s="679"/>
      <c r="E10" s="624"/>
      <c r="F10" s="626"/>
      <c r="G10" s="626"/>
      <c r="H10" s="790" t="str">
        <f t="shared" si="0"/>
        <v/>
      </c>
    </row>
    <row r="11" spans="1:8" ht="20.100000000000001" customHeight="1">
      <c r="A11" s="621"/>
      <c r="B11" s="678"/>
      <c r="C11" s="623"/>
      <c r="D11" s="679"/>
      <c r="E11" s="624"/>
      <c r="F11" s="626"/>
      <c r="G11" s="626"/>
      <c r="H11" s="790" t="str">
        <f t="shared" si="0"/>
        <v/>
      </c>
    </row>
    <row r="12" spans="1:8" ht="20.100000000000001" customHeight="1">
      <c r="A12" s="621"/>
      <c r="B12" s="678"/>
      <c r="C12" s="623"/>
      <c r="D12" s="679"/>
      <c r="E12" s="624"/>
      <c r="F12" s="626"/>
      <c r="G12" s="626"/>
      <c r="H12" s="790" t="str">
        <f t="shared" si="0"/>
        <v/>
      </c>
    </row>
    <row r="13" spans="1:8" ht="20.100000000000001" customHeight="1">
      <c r="A13" s="621"/>
      <c r="B13" s="678"/>
      <c r="C13" s="623"/>
      <c r="D13" s="679"/>
      <c r="E13" s="624"/>
      <c r="F13" s="626"/>
      <c r="G13" s="626"/>
      <c r="H13" s="790" t="str">
        <f t="shared" si="0"/>
        <v/>
      </c>
    </row>
    <row r="14" spans="1:8" ht="20.100000000000001" customHeight="1">
      <c r="A14" s="621"/>
      <c r="B14" s="678"/>
      <c r="C14" s="623"/>
      <c r="D14" s="679"/>
      <c r="E14" s="624"/>
      <c r="F14" s="626"/>
      <c r="G14" s="626"/>
      <c r="H14" s="790" t="str">
        <f t="shared" si="0"/>
        <v/>
      </c>
    </row>
    <row r="15" spans="1:8" ht="20.100000000000001" customHeight="1">
      <c r="A15" s="621"/>
      <c r="B15" s="678"/>
      <c r="C15" s="623"/>
      <c r="D15" s="679"/>
      <c r="E15" s="624"/>
      <c r="F15" s="626"/>
      <c r="G15" s="626"/>
      <c r="H15" s="790" t="str">
        <f t="shared" si="0"/>
        <v/>
      </c>
    </row>
    <row r="16" spans="1:8" ht="20.100000000000001" customHeight="1">
      <c r="A16" s="621"/>
      <c r="B16" s="678"/>
      <c r="C16" s="623"/>
      <c r="D16" s="679"/>
      <c r="E16" s="624"/>
      <c r="F16" s="626"/>
      <c r="G16" s="626"/>
      <c r="H16" s="790" t="str">
        <f t="shared" si="0"/>
        <v/>
      </c>
    </row>
    <row r="17" spans="1:8" ht="20.100000000000001" customHeight="1">
      <c r="A17" s="621"/>
      <c r="B17" s="678"/>
      <c r="C17" s="623"/>
      <c r="D17" s="679"/>
      <c r="E17" s="624"/>
      <c r="F17" s="626"/>
      <c r="G17" s="626"/>
      <c r="H17" s="790" t="str">
        <f t="shared" si="0"/>
        <v/>
      </c>
    </row>
    <row r="18" spans="1:8" ht="20.100000000000001" customHeight="1">
      <c r="A18" s="621"/>
      <c r="B18" s="678"/>
      <c r="C18" s="623"/>
      <c r="D18" s="679"/>
      <c r="E18" s="624"/>
      <c r="F18" s="626"/>
      <c r="G18" s="626"/>
      <c r="H18" s="790" t="str">
        <f t="shared" si="0"/>
        <v/>
      </c>
    </row>
    <row r="19" spans="1:8" ht="20.100000000000001" customHeight="1">
      <c r="A19" s="621"/>
      <c r="B19" s="678"/>
      <c r="C19" s="623"/>
      <c r="D19" s="679"/>
      <c r="E19" s="624"/>
      <c r="F19" s="626"/>
      <c r="G19" s="626"/>
      <c r="H19" s="790" t="str">
        <f t="shared" si="0"/>
        <v/>
      </c>
    </row>
    <row r="20" spans="1:8" ht="20.100000000000001" customHeight="1">
      <c r="A20" s="621"/>
      <c r="B20" s="678"/>
      <c r="C20" s="623"/>
      <c r="D20" s="679"/>
      <c r="E20" s="624"/>
      <c r="F20" s="626"/>
      <c r="G20" s="626"/>
      <c r="H20" s="790" t="str">
        <f t="shared" si="0"/>
        <v/>
      </c>
    </row>
    <row r="21" spans="1:8" ht="20.100000000000001" customHeight="1">
      <c r="A21" s="621"/>
      <c r="B21" s="678"/>
      <c r="C21" s="623"/>
      <c r="D21" s="679"/>
      <c r="E21" s="624"/>
      <c r="F21" s="626"/>
      <c r="G21" s="626"/>
      <c r="H21" s="790" t="str">
        <f t="shared" si="0"/>
        <v/>
      </c>
    </row>
    <row r="22" spans="1:8" ht="20.100000000000001" customHeight="1">
      <c r="A22" s="621"/>
      <c r="B22" s="678"/>
      <c r="C22" s="623"/>
      <c r="D22" s="679"/>
      <c r="E22" s="624"/>
      <c r="F22" s="626"/>
      <c r="G22" s="626"/>
      <c r="H22" s="790" t="str">
        <f t="shared" si="0"/>
        <v/>
      </c>
    </row>
    <row r="23" spans="1:8" ht="20.100000000000001" customHeight="1">
      <c r="A23" s="621"/>
      <c r="B23" s="678"/>
      <c r="C23" s="623"/>
      <c r="D23" s="679"/>
      <c r="E23" s="624"/>
      <c r="F23" s="626"/>
      <c r="G23" s="626"/>
      <c r="H23" s="790" t="str">
        <f t="shared" si="0"/>
        <v/>
      </c>
    </row>
    <row r="24" spans="1:8" ht="20.100000000000001" customHeight="1">
      <c r="A24" s="621"/>
      <c r="B24" s="678"/>
      <c r="C24" s="623"/>
      <c r="D24" s="679"/>
      <c r="E24" s="624"/>
      <c r="F24" s="626"/>
      <c r="G24" s="626"/>
      <c r="H24" s="790" t="str">
        <f t="shared" si="0"/>
        <v/>
      </c>
    </row>
    <row r="25" spans="1:8" ht="20.100000000000001" customHeight="1">
      <c r="A25" s="621"/>
      <c r="B25" s="678"/>
      <c r="C25" s="623"/>
      <c r="D25" s="679"/>
      <c r="E25" s="624"/>
      <c r="F25" s="626"/>
      <c r="G25" s="626"/>
      <c r="H25" s="790" t="str">
        <f t="shared" si="0"/>
        <v/>
      </c>
    </row>
    <row r="26" spans="1:8" ht="20.100000000000001" customHeight="1">
      <c r="A26" s="621"/>
      <c r="B26" s="678"/>
      <c r="C26" s="623"/>
      <c r="D26" s="679"/>
      <c r="E26" s="624"/>
      <c r="F26" s="626"/>
      <c r="G26" s="626"/>
      <c r="H26" s="790" t="str">
        <f t="shared" si="0"/>
        <v/>
      </c>
    </row>
    <row r="27" spans="1:8" ht="20.100000000000001" customHeight="1">
      <c r="A27" s="621"/>
      <c r="B27" s="678"/>
      <c r="C27" s="623"/>
      <c r="D27" s="679"/>
      <c r="E27" s="624"/>
      <c r="F27" s="626"/>
      <c r="G27" s="626"/>
      <c r="H27" s="790" t="str">
        <f t="shared" si="0"/>
        <v/>
      </c>
    </row>
    <row r="28" spans="1:8" ht="20.100000000000001" customHeight="1">
      <c r="A28" s="621"/>
      <c r="B28" s="678"/>
      <c r="C28" s="623"/>
      <c r="D28" s="679"/>
      <c r="E28" s="624"/>
      <c r="F28" s="626"/>
      <c r="G28" s="626"/>
      <c r="H28" s="790" t="str">
        <f t="shared" si="0"/>
        <v/>
      </c>
    </row>
    <row r="29" spans="1:8" ht="20.100000000000001" customHeight="1">
      <c r="A29" s="621"/>
      <c r="B29" s="678"/>
      <c r="C29" s="623"/>
      <c r="D29" s="679"/>
      <c r="E29" s="624"/>
      <c r="F29" s="626"/>
      <c r="G29" s="626"/>
      <c r="H29" s="790" t="str">
        <f t="shared" si="0"/>
        <v/>
      </c>
    </row>
    <row r="30" spans="1:8" ht="20.100000000000001" customHeight="1">
      <c r="A30" s="621"/>
      <c r="B30" s="678"/>
      <c r="C30" s="623"/>
      <c r="D30" s="679"/>
      <c r="E30" s="624"/>
      <c r="F30" s="626"/>
      <c r="G30" s="626"/>
      <c r="H30" s="790" t="str">
        <f t="shared" si="0"/>
        <v/>
      </c>
    </row>
    <row r="31" spans="1:8" ht="20.100000000000001" customHeight="1">
      <c r="A31" s="621"/>
      <c r="B31" s="678"/>
      <c r="C31" s="623"/>
      <c r="D31" s="679"/>
      <c r="E31" s="624"/>
      <c r="F31" s="626"/>
      <c r="G31" s="626"/>
      <c r="H31" s="790" t="str">
        <f t="shared" si="0"/>
        <v/>
      </c>
    </row>
    <row r="32" spans="1:8" ht="20.100000000000001" customHeight="1">
      <c r="A32" s="621"/>
      <c r="B32" s="678"/>
      <c r="C32" s="623"/>
      <c r="D32" s="679"/>
      <c r="E32" s="624"/>
      <c r="F32" s="626"/>
      <c r="G32" s="626"/>
      <c r="H32" s="790" t="str">
        <f t="shared" si="0"/>
        <v/>
      </c>
    </row>
    <row r="33" spans="1:8" ht="20.100000000000001" customHeight="1">
      <c r="A33" s="621"/>
      <c r="B33" s="678"/>
      <c r="C33" s="623"/>
      <c r="D33" s="679"/>
      <c r="E33" s="624"/>
      <c r="F33" s="626"/>
      <c r="G33" s="626"/>
      <c r="H33" s="790" t="str">
        <f t="shared" si="0"/>
        <v/>
      </c>
    </row>
    <row r="34" spans="1:8" ht="20.100000000000001" customHeight="1">
      <c r="A34" s="621"/>
      <c r="B34" s="678"/>
      <c r="C34" s="623"/>
      <c r="D34" s="679"/>
      <c r="E34" s="624"/>
      <c r="F34" s="626"/>
      <c r="G34" s="626"/>
      <c r="H34" s="790" t="str">
        <f t="shared" si="0"/>
        <v/>
      </c>
    </row>
    <row r="35" spans="1:8" ht="20.100000000000001" customHeight="1">
      <c r="A35" s="621"/>
      <c r="B35" s="678"/>
      <c r="C35" s="623"/>
      <c r="D35" s="679"/>
      <c r="E35" s="624"/>
      <c r="F35" s="626"/>
      <c r="G35" s="626"/>
      <c r="H35" s="790" t="str">
        <f t="shared" si="0"/>
        <v/>
      </c>
    </row>
    <row r="36" spans="1:8" ht="20.100000000000001" customHeight="1">
      <c r="A36" s="621"/>
      <c r="B36" s="678"/>
      <c r="C36" s="623"/>
      <c r="D36" s="679"/>
      <c r="E36" s="624"/>
      <c r="F36" s="626"/>
      <c r="G36" s="626"/>
      <c r="H36" s="790" t="str">
        <f t="shared" si="0"/>
        <v/>
      </c>
    </row>
    <row r="37" spans="1:8" ht="20.100000000000001" customHeight="1">
      <c r="A37" s="621"/>
      <c r="B37" s="678"/>
      <c r="C37" s="623"/>
      <c r="D37" s="679"/>
      <c r="E37" s="624"/>
      <c r="F37" s="626"/>
      <c r="G37" s="626"/>
      <c r="H37" s="790" t="str">
        <f t="shared" ref="H37:H68" si="1">IF(OR(F37&lt;&gt;"",G37&lt;&gt;""),H36+F37-G37,"")</f>
        <v/>
      </c>
    </row>
    <row r="38" spans="1:8" ht="20.100000000000001" customHeight="1">
      <c r="A38" s="621"/>
      <c r="B38" s="678"/>
      <c r="C38" s="623"/>
      <c r="D38" s="679"/>
      <c r="E38" s="624"/>
      <c r="F38" s="626"/>
      <c r="G38" s="626"/>
      <c r="H38" s="790" t="str">
        <f t="shared" si="1"/>
        <v/>
      </c>
    </row>
    <row r="39" spans="1:8" ht="20.100000000000001" customHeight="1">
      <c r="A39" s="621"/>
      <c r="B39" s="678"/>
      <c r="C39" s="623"/>
      <c r="D39" s="679"/>
      <c r="E39" s="624"/>
      <c r="F39" s="626"/>
      <c r="G39" s="626"/>
      <c r="H39" s="790" t="str">
        <f t="shared" si="1"/>
        <v/>
      </c>
    </row>
    <row r="40" spans="1:8" ht="20.100000000000001" customHeight="1">
      <c r="A40" s="621"/>
      <c r="B40" s="678"/>
      <c r="C40" s="623"/>
      <c r="D40" s="679"/>
      <c r="E40" s="624"/>
      <c r="F40" s="626"/>
      <c r="G40" s="626"/>
      <c r="H40" s="790" t="str">
        <f t="shared" si="1"/>
        <v/>
      </c>
    </row>
    <row r="41" spans="1:8" ht="20.100000000000001" customHeight="1">
      <c r="A41" s="621"/>
      <c r="B41" s="678"/>
      <c r="C41" s="623"/>
      <c r="D41" s="679"/>
      <c r="E41" s="624"/>
      <c r="F41" s="626"/>
      <c r="G41" s="626"/>
      <c r="H41" s="790" t="str">
        <f t="shared" si="1"/>
        <v/>
      </c>
    </row>
    <row r="42" spans="1:8" ht="20.100000000000001" customHeight="1">
      <c r="A42" s="621"/>
      <c r="B42" s="678"/>
      <c r="C42" s="623"/>
      <c r="D42" s="679"/>
      <c r="E42" s="624"/>
      <c r="F42" s="626"/>
      <c r="G42" s="626"/>
      <c r="H42" s="790" t="str">
        <f t="shared" si="1"/>
        <v/>
      </c>
    </row>
    <row r="43" spans="1:8" ht="20.100000000000001" customHeight="1">
      <c r="A43" s="621"/>
      <c r="B43" s="678"/>
      <c r="C43" s="623"/>
      <c r="D43" s="679"/>
      <c r="E43" s="624"/>
      <c r="F43" s="626"/>
      <c r="G43" s="626"/>
      <c r="H43" s="790" t="str">
        <f t="shared" si="1"/>
        <v/>
      </c>
    </row>
    <row r="44" spans="1:8" ht="20.100000000000001" customHeight="1">
      <c r="A44" s="621"/>
      <c r="B44" s="678"/>
      <c r="C44" s="623"/>
      <c r="D44" s="679"/>
      <c r="E44" s="624"/>
      <c r="F44" s="626"/>
      <c r="G44" s="626"/>
      <c r="H44" s="790" t="str">
        <f t="shared" si="1"/>
        <v/>
      </c>
    </row>
    <row r="45" spans="1:8" ht="20.100000000000001" customHeight="1">
      <c r="A45" s="621"/>
      <c r="B45" s="678"/>
      <c r="C45" s="623"/>
      <c r="D45" s="679"/>
      <c r="E45" s="624"/>
      <c r="F45" s="626"/>
      <c r="G45" s="626"/>
      <c r="H45" s="790" t="str">
        <f t="shared" si="1"/>
        <v/>
      </c>
    </row>
    <row r="46" spans="1:8" ht="20.100000000000001" customHeight="1">
      <c r="A46" s="621"/>
      <c r="B46" s="678"/>
      <c r="C46" s="623"/>
      <c r="D46" s="679"/>
      <c r="E46" s="624"/>
      <c r="F46" s="626"/>
      <c r="G46" s="626"/>
      <c r="H46" s="790" t="str">
        <f t="shared" si="1"/>
        <v/>
      </c>
    </row>
    <row r="47" spans="1:8" ht="20.100000000000001" customHeight="1">
      <c r="A47" s="621"/>
      <c r="B47" s="678"/>
      <c r="C47" s="623"/>
      <c r="D47" s="679"/>
      <c r="E47" s="624"/>
      <c r="F47" s="626"/>
      <c r="G47" s="626"/>
      <c r="H47" s="790" t="str">
        <f t="shared" si="1"/>
        <v/>
      </c>
    </row>
    <row r="48" spans="1:8" ht="20.100000000000001" customHeight="1">
      <c r="A48" s="621"/>
      <c r="B48" s="678"/>
      <c r="C48" s="623"/>
      <c r="D48" s="679"/>
      <c r="E48" s="624"/>
      <c r="F48" s="626"/>
      <c r="G48" s="626"/>
      <c r="H48" s="790" t="str">
        <f t="shared" si="1"/>
        <v/>
      </c>
    </row>
    <row r="49" spans="1:8" ht="20.100000000000001" customHeight="1">
      <c r="A49" s="621"/>
      <c r="B49" s="678"/>
      <c r="C49" s="623"/>
      <c r="D49" s="679"/>
      <c r="E49" s="624"/>
      <c r="F49" s="626"/>
      <c r="G49" s="626"/>
      <c r="H49" s="790" t="str">
        <f t="shared" si="1"/>
        <v/>
      </c>
    </row>
    <row r="50" spans="1:8" ht="20.100000000000001" customHeight="1">
      <c r="A50" s="621"/>
      <c r="B50" s="678"/>
      <c r="C50" s="623"/>
      <c r="D50" s="679"/>
      <c r="E50" s="624"/>
      <c r="F50" s="626"/>
      <c r="G50" s="626"/>
      <c r="H50" s="790" t="str">
        <f t="shared" si="1"/>
        <v/>
      </c>
    </row>
    <row r="51" spans="1:8" ht="20.100000000000001" customHeight="1">
      <c r="A51" s="621"/>
      <c r="B51" s="678"/>
      <c r="C51" s="623"/>
      <c r="D51" s="679"/>
      <c r="E51" s="624"/>
      <c r="F51" s="626"/>
      <c r="G51" s="626"/>
      <c r="H51" s="790" t="str">
        <f t="shared" si="1"/>
        <v/>
      </c>
    </row>
    <row r="52" spans="1:8" ht="20.100000000000001" customHeight="1">
      <c r="A52" s="621"/>
      <c r="B52" s="678"/>
      <c r="C52" s="623"/>
      <c r="D52" s="679"/>
      <c r="E52" s="624"/>
      <c r="F52" s="626"/>
      <c r="G52" s="626"/>
      <c r="H52" s="790" t="str">
        <f t="shared" si="1"/>
        <v/>
      </c>
    </row>
    <row r="53" spans="1:8" ht="20.100000000000001" customHeight="1">
      <c r="A53" s="621"/>
      <c r="B53" s="678"/>
      <c r="C53" s="623"/>
      <c r="D53" s="679"/>
      <c r="E53" s="624"/>
      <c r="F53" s="626"/>
      <c r="G53" s="626"/>
      <c r="H53" s="790" t="str">
        <f t="shared" si="1"/>
        <v/>
      </c>
    </row>
    <row r="54" spans="1:8" ht="20.100000000000001" customHeight="1">
      <c r="A54" s="621"/>
      <c r="B54" s="678"/>
      <c r="C54" s="623"/>
      <c r="D54" s="679"/>
      <c r="E54" s="624"/>
      <c r="F54" s="626"/>
      <c r="G54" s="626"/>
      <c r="H54" s="790" t="str">
        <f t="shared" si="1"/>
        <v/>
      </c>
    </row>
    <row r="55" spans="1:8" ht="20.100000000000001" customHeight="1">
      <c r="A55" s="621"/>
      <c r="B55" s="678"/>
      <c r="C55" s="623"/>
      <c r="D55" s="679"/>
      <c r="E55" s="624"/>
      <c r="F55" s="626"/>
      <c r="G55" s="626"/>
      <c r="H55" s="790" t="str">
        <f t="shared" si="1"/>
        <v/>
      </c>
    </row>
    <row r="56" spans="1:8" ht="20.100000000000001" customHeight="1">
      <c r="A56" s="621"/>
      <c r="B56" s="678"/>
      <c r="C56" s="623"/>
      <c r="D56" s="679"/>
      <c r="E56" s="624"/>
      <c r="F56" s="626"/>
      <c r="G56" s="626"/>
      <c r="H56" s="790" t="str">
        <f t="shared" si="1"/>
        <v/>
      </c>
    </row>
    <row r="57" spans="1:8" ht="20.100000000000001" customHeight="1">
      <c r="A57" s="621"/>
      <c r="B57" s="678"/>
      <c r="C57" s="623"/>
      <c r="D57" s="679"/>
      <c r="E57" s="624"/>
      <c r="F57" s="626"/>
      <c r="G57" s="626"/>
      <c r="H57" s="790" t="str">
        <f t="shared" si="1"/>
        <v/>
      </c>
    </row>
    <row r="58" spans="1:8" ht="20.100000000000001" customHeight="1">
      <c r="A58" s="621"/>
      <c r="B58" s="678"/>
      <c r="C58" s="623"/>
      <c r="D58" s="679"/>
      <c r="E58" s="624"/>
      <c r="F58" s="626"/>
      <c r="G58" s="626"/>
      <c r="H58" s="790" t="str">
        <f t="shared" si="1"/>
        <v/>
      </c>
    </row>
    <row r="59" spans="1:8" ht="20.100000000000001" customHeight="1">
      <c r="A59" s="621"/>
      <c r="B59" s="678"/>
      <c r="C59" s="623"/>
      <c r="D59" s="679"/>
      <c r="E59" s="624"/>
      <c r="F59" s="626"/>
      <c r="G59" s="626"/>
      <c r="H59" s="790" t="str">
        <f t="shared" si="1"/>
        <v/>
      </c>
    </row>
    <row r="60" spans="1:8" ht="20.100000000000001" customHeight="1">
      <c r="A60" s="621"/>
      <c r="B60" s="678"/>
      <c r="C60" s="623"/>
      <c r="D60" s="679"/>
      <c r="E60" s="624"/>
      <c r="F60" s="626"/>
      <c r="G60" s="626"/>
      <c r="H60" s="790" t="str">
        <f t="shared" si="1"/>
        <v/>
      </c>
    </row>
    <row r="61" spans="1:8" ht="20.100000000000001" customHeight="1">
      <c r="A61" s="621"/>
      <c r="B61" s="678"/>
      <c r="C61" s="623"/>
      <c r="D61" s="679"/>
      <c r="E61" s="624"/>
      <c r="F61" s="626"/>
      <c r="G61" s="626"/>
      <c r="H61" s="790" t="str">
        <f t="shared" si="1"/>
        <v/>
      </c>
    </row>
    <row r="62" spans="1:8" ht="20.100000000000001" customHeight="1">
      <c r="A62" s="621"/>
      <c r="B62" s="678"/>
      <c r="C62" s="623"/>
      <c r="D62" s="679"/>
      <c r="E62" s="624"/>
      <c r="F62" s="626"/>
      <c r="G62" s="626"/>
      <c r="H62" s="790" t="str">
        <f t="shared" si="1"/>
        <v/>
      </c>
    </row>
    <row r="63" spans="1:8" ht="20.100000000000001" customHeight="1">
      <c r="A63" s="621"/>
      <c r="B63" s="678"/>
      <c r="C63" s="623"/>
      <c r="D63" s="679"/>
      <c r="E63" s="624"/>
      <c r="F63" s="626"/>
      <c r="G63" s="626"/>
      <c r="H63" s="790" t="str">
        <f t="shared" si="1"/>
        <v/>
      </c>
    </row>
    <row r="64" spans="1:8" ht="20.100000000000001" customHeight="1">
      <c r="A64" s="621"/>
      <c r="B64" s="678"/>
      <c r="C64" s="623"/>
      <c r="D64" s="679"/>
      <c r="E64" s="624"/>
      <c r="F64" s="626"/>
      <c r="G64" s="626"/>
      <c r="H64" s="790" t="str">
        <f t="shared" si="1"/>
        <v/>
      </c>
    </row>
    <row r="65" spans="1:8" ht="20.100000000000001" customHeight="1">
      <c r="A65" s="621"/>
      <c r="B65" s="678"/>
      <c r="C65" s="623"/>
      <c r="D65" s="679"/>
      <c r="E65" s="624"/>
      <c r="F65" s="626"/>
      <c r="G65" s="626"/>
      <c r="H65" s="790" t="str">
        <f t="shared" si="1"/>
        <v/>
      </c>
    </row>
    <row r="66" spans="1:8" ht="20.100000000000001" customHeight="1">
      <c r="A66" s="621"/>
      <c r="B66" s="678"/>
      <c r="C66" s="623"/>
      <c r="D66" s="679"/>
      <c r="E66" s="624"/>
      <c r="F66" s="626"/>
      <c r="G66" s="626"/>
      <c r="H66" s="790" t="str">
        <f t="shared" si="1"/>
        <v/>
      </c>
    </row>
    <row r="67" spans="1:8" ht="20.100000000000001" customHeight="1">
      <c r="A67" s="621"/>
      <c r="B67" s="678"/>
      <c r="C67" s="623"/>
      <c r="D67" s="679"/>
      <c r="E67" s="624"/>
      <c r="F67" s="626"/>
      <c r="G67" s="626"/>
      <c r="H67" s="790" t="str">
        <f t="shared" si="1"/>
        <v/>
      </c>
    </row>
    <row r="68" spans="1:8" ht="20.100000000000001" customHeight="1">
      <c r="A68" s="621"/>
      <c r="B68" s="678"/>
      <c r="C68" s="623"/>
      <c r="D68" s="679"/>
      <c r="E68" s="624"/>
      <c r="F68" s="626"/>
      <c r="G68" s="626"/>
      <c r="H68" s="790" t="str">
        <f t="shared" si="1"/>
        <v/>
      </c>
    </row>
    <row r="69" spans="1:8" ht="20.100000000000001" customHeight="1">
      <c r="A69" s="621"/>
      <c r="B69" s="678"/>
      <c r="C69" s="623"/>
      <c r="D69" s="679"/>
      <c r="E69" s="624"/>
      <c r="F69" s="626"/>
      <c r="G69" s="626"/>
      <c r="H69" s="790" t="str">
        <f t="shared" ref="H69:H98" si="2">IF(OR(F69&lt;&gt;"",G69&lt;&gt;""),H68+F69-G69,"")</f>
        <v/>
      </c>
    </row>
    <row r="70" spans="1:8" ht="20.100000000000001" customHeight="1">
      <c r="A70" s="621"/>
      <c r="B70" s="678"/>
      <c r="C70" s="623"/>
      <c r="D70" s="679"/>
      <c r="E70" s="624"/>
      <c r="F70" s="626"/>
      <c r="G70" s="626"/>
      <c r="H70" s="790" t="str">
        <f t="shared" si="2"/>
        <v/>
      </c>
    </row>
    <row r="71" spans="1:8" ht="20.100000000000001" customHeight="1">
      <c r="A71" s="621"/>
      <c r="B71" s="678"/>
      <c r="C71" s="623"/>
      <c r="D71" s="679"/>
      <c r="E71" s="624"/>
      <c r="F71" s="626"/>
      <c r="G71" s="626"/>
      <c r="H71" s="790" t="str">
        <f t="shared" si="2"/>
        <v/>
      </c>
    </row>
    <row r="72" spans="1:8" ht="20.100000000000001" customHeight="1">
      <c r="A72" s="621"/>
      <c r="B72" s="678"/>
      <c r="C72" s="623"/>
      <c r="D72" s="679"/>
      <c r="E72" s="624"/>
      <c r="F72" s="626"/>
      <c r="G72" s="626"/>
      <c r="H72" s="790" t="str">
        <f t="shared" si="2"/>
        <v/>
      </c>
    </row>
    <row r="73" spans="1:8" ht="20.100000000000001" customHeight="1">
      <c r="A73" s="621"/>
      <c r="B73" s="678"/>
      <c r="C73" s="623"/>
      <c r="D73" s="679"/>
      <c r="E73" s="624"/>
      <c r="F73" s="626"/>
      <c r="G73" s="626"/>
      <c r="H73" s="790" t="str">
        <f t="shared" si="2"/>
        <v/>
      </c>
    </row>
    <row r="74" spans="1:8" ht="20.100000000000001" customHeight="1">
      <c r="A74" s="621"/>
      <c r="B74" s="678"/>
      <c r="C74" s="623"/>
      <c r="D74" s="679"/>
      <c r="E74" s="624"/>
      <c r="F74" s="626"/>
      <c r="G74" s="626"/>
      <c r="H74" s="790" t="str">
        <f t="shared" si="2"/>
        <v/>
      </c>
    </row>
    <row r="75" spans="1:8" ht="20.100000000000001" customHeight="1">
      <c r="A75" s="621"/>
      <c r="B75" s="678"/>
      <c r="C75" s="623"/>
      <c r="D75" s="679"/>
      <c r="E75" s="624"/>
      <c r="F75" s="626"/>
      <c r="G75" s="626"/>
      <c r="H75" s="790" t="str">
        <f t="shared" si="2"/>
        <v/>
      </c>
    </row>
    <row r="76" spans="1:8" ht="20.100000000000001" customHeight="1">
      <c r="A76" s="621"/>
      <c r="B76" s="678"/>
      <c r="C76" s="623"/>
      <c r="D76" s="679"/>
      <c r="E76" s="624"/>
      <c r="F76" s="626"/>
      <c r="G76" s="626"/>
      <c r="H76" s="790" t="str">
        <f t="shared" si="2"/>
        <v/>
      </c>
    </row>
    <row r="77" spans="1:8" ht="20.100000000000001" customHeight="1">
      <c r="A77" s="621"/>
      <c r="B77" s="678"/>
      <c r="C77" s="623"/>
      <c r="D77" s="679"/>
      <c r="E77" s="624"/>
      <c r="F77" s="626"/>
      <c r="G77" s="626"/>
      <c r="H77" s="790" t="str">
        <f t="shared" si="2"/>
        <v/>
      </c>
    </row>
    <row r="78" spans="1:8" ht="20.100000000000001" customHeight="1">
      <c r="A78" s="621"/>
      <c r="B78" s="678"/>
      <c r="C78" s="623"/>
      <c r="D78" s="679"/>
      <c r="E78" s="624"/>
      <c r="F78" s="626"/>
      <c r="G78" s="626"/>
      <c r="H78" s="790" t="str">
        <f t="shared" si="2"/>
        <v/>
      </c>
    </row>
    <row r="79" spans="1:8" ht="20.100000000000001" customHeight="1">
      <c r="A79" s="621"/>
      <c r="B79" s="678"/>
      <c r="C79" s="623"/>
      <c r="D79" s="679"/>
      <c r="E79" s="624"/>
      <c r="F79" s="626"/>
      <c r="G79" s="626"/>
      <c r="H79" s="790" t="str">
        <f t="shared" si="2"/>
        <v/>
      </c>
    </row>
    <row r="80" spans="1:8" ht="20.100000000000001" customHeight="1">
      <c r="A80" s="621"/>
      <c r="B80" s="678"/>
      <c r="C80" s="623"/>
      <c r="D80" s="679"/>
      <c r="E80" s="624"/>
      <c r="F80" s="626"/>
      <c r="G80" s="626"/>
      <c r="H80" s="790" t="str">
        <f t="shared" si="2"/>
        <v/>
      </c>
    </row>
    <row r="81" spans="1:8" ht="20.100000000000001" customHeight="1">
      <c r="A81" s="621"/>
      <c r="B81" s="678"/>
      <c r="C81" s="623"/>
      <c r="D81" s="679"/>
      <c r="E81" s="624"/>
      <c r="F81" s="626"/>
      <c r="G81" s="626"/>
      <c r="H81" s="790" t="str">
        <f t="shared" si="2"/>
        <v/>
      </c>
    </row>
    <row r="82" spans="1:8" ht="20.100000000000001" customHeight="1">
      <c r="A82" s="621"/>
      <c r="B82" s="678"/>
      <c r="C82" s="623"/>
      <c r="D82" s="679"/>
      <c r="E82" s="624"/>
      <c r="F82" s="626"/>
      <c r="G82" s="626"/>
      <c r="H82" s="790" t="str">
        <f t="shared" si="2"/>
        <v/>
      </c>
    </row>
    <row r="83" spans="1:8" ht="20.100000000000001" customHeight="1">
      <c r="A83" s="621"/>
      <c r="B83" s="678"/>
      <c r="C83" s="623"/>
      <c r="D83" s="679"/>
      <c r="E83" s="624"/>
      <c r="F83" s="626"/>
      <c r="G83" s="626"/>
      <c r="H83" s="790" t="str">
        <f t="shared" si="2"/>
        <v/>
      </c>
    </row>
    <row r="84" spans="1:8" ht="20.100000000000001" customHeight="1">
      <c r="A84" s="621"/>
      <c r="B84" s="678"/>
      <c r="C84" s="623"/>
      <c r="D84" s="679"/>
      <c r="E84" s="624"/>
      <c r="F84" s="626"/>
      <c r="G84" s="626"/>
      <c r="H84" s="790" t="str">
        <f t="shared" si="2"/>
        <v/>
      </c>
    </row>
    <row r="85" spans="1:8" ht="20.100000000000001" customHeight="1">
      <c r="A85" s="621"/>
      <c r="B85" s="678"/>
      <c r="C85" s="623"/>
      <c r="D85" s="679"/>
      <c r="E85" s="624"/>
      <c r="F85" s="626"/>
      <c r="G85" s="626"/>
      <c r="H85" s="790" t="str">
        <f t="shared" si="2"/>
        <v/>
      </c>
    </row>
    <row r="86" spans="1:8" ht="20.100000000000001" customHeight="1">
      <c r="A86" s="621"/>
      <c r="B86" s="678"/>
      <c r="C86" s="623"/>
      <c r="D86" s="679"/>
      <c r="E86" s="624"/>
      <c r="F86" s="626"/>
      <c r="G86" s="626"/>
      <c r="H86" s="790" t="str">
        <f t="shared" si="2"/>
        <v/>
      </c>
    </row>
    <row r="87" spans="1:8" ht="20.100000000000001" customHeight="1">
      <c r="A87" s="621"/>
      <c r="B87" s="678"/>
      <c r="C87" s="623"/>
      <c r="D87" s="679"/>
      <c r="E87" s="624"/>
      <c r="F87" s="626"/>
      <c r="G87" s="626"/>
      <c r="H87" s="790" t="str">
        <f t="shared" si="2"/>
        <v/>
      </c>
    </row>
    <row r="88" spans="1:8" ht="20.100000000000001" customHeight="1">
      <c r="A88" s="621"/>
      <c r="B88" s="678"/>
      <c r="C88" s="623"/>
      <c r="D88" s="679"/>
      <c r="E88" s="624"/>
      <c r="F88" s="626"/>
      <c r="G88" s="626"/>
      <c r="H88" s="790" t="str">
        <f t="shared" si="2"/>
        <v/>
      </c>
    </row>
    <row r="89" spans="1:8" ht="20.100000000000001" customHeight="1">
      <c r="A89" s="621"/>
      <c r="B89" s="678"/>
      <c r="C89" s="623"/>
      <c r="D89" s="679"/>
      <c r="E89" s="624"/>
      <c r="F89" s="626"/>
      <c r="G89" s="626"/>
      <c r="H89" s="790" t="str">
        <f t="shared" si="2"/>
        <v/>
      </c>
    </row>
    <row r="90" spans="1:8" ht="20.100000000000001" customHeight="1">
      <c r="A90" s="621"/>
      <c r="B90" s="678"/>
      <c r="C90" s="623"/>
      <c r="D90" s="679"/>
      <c r="E90" s="624"/>
      <c r="F90" s="626"/>
      <c r="G90" s="626"/>
      <c r="H90" s="790" t="str">
        <f t="shared" si="2"/>
        <v/>
      </c>
    </row>
    <row r="91" spans="1:8" ht="20.100000000000001" customHeight="1">
      <c r="A91" s="621"/>
      <c r="B91" s="678"/>
      <c r="C91" s="623"/>
      <c r="D91" s="679"/>
      <c r="E91" s="624"/>
      <c r="F91" s="626"/>
      <c r="G91" s="626"/>
      <c r="H91" s="790" t="str">
        <f t="shared" si="2"/>
        <v/>
      </c>
    </row>
    <row r="92" spans="1:8" ht="20.100000000000001" customHeight="1">
      <c r="A92" s="621"/>
      <c r="B92" s="678"/>
      <c r="C92" s="623"/>
      <c r="D92" s="679"/>
      <c r="E92" s="624"/>
      <c r="F92" s="626"/>
      <c r="G92" s="626"/>
      <c r="H92" s="790" t="str">
        <f t="shared" si="2"/>
        <v/>
      </c>
    </row>
    <row r="93" spans="1:8" ht="20.100000000000001" customHeight="1">
      <c r="A93" s="621"/>
      <c r="B93" s="678"/>
      <c r="C93" s="623"/>
      <c r="D93" s="679"/>
      <c r="E93" s="624"/>
      <c r="F93" s="626"/>
      <c r="G93" s="626"/>
      <c r="H93" s="790" t="str">
        <f t="shared" si="2"/>
        <v/>
      </c>
    </row>
    <row r="94" spans="1:8" ht="20.100000000000001" customHeight="1">
      <c r="A94" s="621"/>
      <c r="B94" s="678"/>
      <c r="C94" s="623"/>
      <c r="D94" s="679"/>
      <c r="E94" s="624"/>
      <c r="F94" s="626"/>
      <c r="G94" s="626"/>
      <c r="H94" s="790" t="str">
        <f t="shared" si="2"/>
        <v/>
      </c>
    </row>
    <row r="95" spans="1:8" ht="20.100000000000001" customHeight="1">
      <c r="A95" s="621"/>
      <c r="B95" s="678"/>
      <c r="C95" s="623"/>
      <c r="D95" s="679"/>
      <c r="E95" s="624"/>
      <c r="F95" s="626"/>
      <c r="G95" s="626"/>
      <c r="H95" s="790" t="str">
        <f t="shared" si="2"/>
        <v/>
      </c>
    </row>
    <row r="96" spans="1:8" ht="20.100000000000001" customHeight="1">
      <c r="A96" s="621"/>
      <c r="B96" s="678"/>
      <c r="C96" s="623"/>
      <c r="D96" s="679"/>
      <c r="E96" s="624"/>
      <c r="F96" s="626"/>
      <c r="G96" s="626"/>
      <c r="H96" s="790" t="str">
        <f t="shared" si="2"/>
        <v/>
      </c>
    </row>
    <row r="97" spans="1:8" ht="20.100000000000001" customHeight="1">
      <c r="A97" s="621"/>
      <c r="B97" s="678"/>
      <c r="C97" s="623"/>
      <c r="D97" s="679"/>
      <c r="E97" s="624"/>
      <c r="F97" s="626"/>
      <c r="G97" s="626"/>
      <c r="H97" s="790" t="str">
        <f t="shared" si="2"/>
        <v/>
      </c>
    </row>
    <row r="98" spans="1:8" ht="20.100000000000001" customHeight="1">
      <c r="A98" s="621"/>
      <c r="B98" s="678"/>
      <c r="C98" s="623"/>
      <c r="D98" s="679"/>
      <c r="E98" s="624"/>
      <c r="F98" s="626"/>
      <c r="G98" s="626"/>
      <c r="H98" s="790" t="str">
        <f t="shared" si="2"/>
        <v/>
      </c>
    </row>
    <row r="99" spans="1:8" ht="20.100000000000001" customHeight="1">
      <c r="A99" s="621"/>
      <c r="B99" s="1145" t="s">
        <v>282</v>
      </c>
      <c r="C99" s="1145"/>
      <c r="D99" s="1145"/>
      <c r="E99" s="639"/>
      <c r="F99" s="819">
        <f>SUM(F4:F98)</f>
        <v>0</v>
      </c>
      <c r="G99" s="819">
        <f>SUM(G4:G98)</f>
        <v>0</v>
      </c>
      <c r="H99" s="79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288</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 t="shared" ref="H5:H36" si="0">IF(OR(F5&lt;&gt;"",G5&lt;&gt;""),H4+F5-G5,"")</f>
        <v/>
      </c>
    </row>
    <row r="6" spans="1:8" ht="20.100000000000001" customHeight="1">
      <c r="A6" s="621"/>
      <c r="B6" s="678"/>
      <c r="C6" s="623"/>
      <c r="D6" s="679"/>
      <c r="E6" s="625"/>
      <c r="F6" s="626"/>
      <c r="G6" s="627"/>
      <c r="H6" s="634" t="str">
        <f t="shared" si="0"/>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ref="H37:H68" si="1">IF(OR(F37&lt;&gt;"",G37&lt;&gt;""),H36+F37-G37,"")</f>
        <v/>
      </c>
    </row>
    <row r="38" spans="1:8" ht="20.100000000000001" customHeight="1">
      <c r="A38" s="621"/>
      <c r="B38" s="678"/>
      <c r="C38" s="623"/>
      <c r="D38" s="679"/>
      <c r="E38" s="625"/>
      <c r="F38" s="626"/>
      <c r="G38" s="627"/>
      <c r="H38" s="634" t="str">
        <f t="shared" si="1"/>
        <v/>
      </c>
    </row>
    <row r="39" spans="1:8" ht="20.100000000000001" customHeight="1">
      <c r="A39" s="621"/>
      <c r="B39" s="678"/>
      <c r="C39" s="623"/>
      <c r="D39" s="679"/>
      <c r="E39" s="625"/>
      <c r="F39" s="626"/>
      <c r="G39" s="627"/>
      <c r="H39" s="634" t="str">
        <f t="shared" si="1"/>
        <v/>
      </c>
    </row>
    <row r="40" spans="1:8" ht="20.100000000000001" customHeight="1">
      <c r="A40" s="621"/>
      <c r="B40" s="678"/>
      <c r="C40" s="623"/>
      <c r="D40" s="679"/>
      <c r="E40" s="625"/>
      <c r="F40" s="626"/>
      <c r="G40" s="627"/>
      <c r="H40" s="634" t="str">
        <f t="shared" si="1"/>
        <v/>
      </c>
    </row>
    <row r="41" spans="1:8" ht="20.100000000000001" customHeight="1">
      <c r="A41" s="621"/>
      <c r="B41" s="678"/>
      <c r="C41" s="623"/>
      <c r="D41" s="679"/>
      <c r="E41" s="625"/>
      <c r="F41" s="626"/>
      <c r="G41" s="627"/>
      <c r="H41" s="634" t="str">
        <f t="shared" si="1"/>
        <v/>
      </c>
    </row>
    <row r="42" spans="1:8" ht="20.100000000000001" customHeight="1">
      <c r="A42" s="621"/>
      <c r="B42" s="678"/>
      <c r="C42" s="623"/>
      <c r="D42" s="679"/>
      <c r="E42" s="625"/>
      <c r="F42" s="626"/>
      <c r="G42" s="627"/>
      <c r="H42" s="634" t="str">
        <f t="shared" si="1"/>
        <v/>
      </c>
    </row>
    <row r="43" spans="1:8" ht="20.100000000000001" customHeight="1">
      <c r="A43" s="621"/>
      <c r="B43" s="678"/>
      <c r="C43" s="623"/>
      <c r="D43" s="679"/>
      <c r="E43" s="625"/>
      <c r="F43" s="626"/>
      <c r="G43" s="627"/>
      <c r="H43" s="634" t="str">
        <f t="shared" si="1"/>
        <v/>
      </c>
    </row>
    <row r="44" spans="1:8" ht="20.100000000000001" customHeight="1">
      <c r="A44" s="621"/>
      <c r="B44" s="678"/>
      <c r="C44" s="623"/>
      <c r="D44" s="679"/>
      <c r="E44" s="625"/>
      <c r="F44" s="626"/>
      <c r="G44" s="627"/>
      <c r="H44" s="634" t="str">
        <f t="shared" si="1"/>
        <v/>
      </c>
    </row>
    <row r="45" spans="1:8" ht="20.100000000000001" customHeight="1">
      <c r="A45" s="621"/>
      <c r="B45" s="678"/>
      <c r="C45" s="623"/>
      <c r="D45" s="679"/>
      <c r="E45" s="625"/>
      <c r="F45" s="626"/>
      <c r="G45" s="627"/>
      <c r="H45" s="634" t="str">
        <f t="shared" si="1"/>
        <v/>
      </c>
    </row>
    <row r="46" spans="1:8" ht="20.100000000000001" customHeight="1">
      <c r="A46" s="621"/>
      <c r="B46" s="678"/>
      <c r="C46" s="623"/>
      <c r="D46" s="679"/>
      <c r="E46" s="625"/>
      <c r="F46" s="626"/>
      <c r="G46" s="627"/>
      <c r="H46" s="634" t="str">
        <f t="shared" si="1"/>
        <v/>
      </c>
    </row>
    <row r="47" spans="1:8" ht="20.100000000000001" customHeight="1">
      <c r="A47" s="621"/>
      <c r="B47" s="678"/>
      <c r="C47" s="623"/>
      <c r="D47" s="679"/>
      <c r="E47" s="625"/>
      <c r="F47" s="626"/>
      <c r="G47" s="627"/>
      <c r="H47" s="634" t="str">
        <f t="shared" si="1"/>
        <v/>
      </c>
    </row>
    <row r="48" spans="1:8" ht="20.100000000000001" customHeight="1">
      <c r="A48" s="621"/>
      <c r="B48" s="678"/>
      <c r="C48" s="623"/>
      <c r="D48" s="679"/>
      <c r="E48" s="625"/>
      <c r="F48" s="626"/>
      <c r="G48" s="627"/>
      <c r="H48" s="634" t="str">
        <f t="shared" si="1"/>
        <v/>
      </c>
    </row>
    <row r="49" spans="1:8" ht="20.100000000000001" customHeight="1">
      <c r="A49" s="621"/>
      <c r="B49" s="678"/>
      <c r="C49" s="623"/>
      <c r="D49" s="679"/>
      <c r="E49" s="625"/>
      <c r="F49" s="626"/>
      <c r="G49" s="627"/>
      <c r="H49" s="634" t="str">
        <f t="shared" si="1"/>
        <v/>
      </c>
    </row>
    <row r="50" spans="1:8" ht="20.100000000000001" customHeight="1">
      <c r="A50" s="621"/>
      <c r="B50" s="678"/>
      <c r="C50" s="623"/>
      <c r="D50" s="679"/>
      <c r="E50" s="625"/>
      <c r="F50" s="626"/>
      <c r="G50" s="627"/>
      <c r="H50" s="634" t="str">
        <f t="shared" si="1"/>
        <v/>
      </c>
    </row>
    <row r="51" spans="1:8" ht="20.100000000000001" customHeight="1">
      <c r="A51" s="621"/>
      <c r="B51" s="678"/>
      <c r="C51" s="623"/>
      <c r="D51" s="679"/>
      <c r="E51" s="625"/>
      <c r="F51" s="626"/>
      <c r="G51" s="627"/>
      <c r="H51" s="634" t="str">
        <f t="shared" si="1"/>
        <v/>
      </c>
    </row>
    <row r="52" spans="1:8" ht="20.100000000000001" customHeight="1">
      <c r="A52" s="621"/>
      <c r="B52" s="678"/>
      <c r="C52" s="623"/>
      <c r="D52" s="679"/>
      <c r="E52" s="625"/>
      <c r="F52" s="626"/>
      <c r="G52" s="627"/>
      <c r="H52" s="634" t="str">
        <f t="shared" si="1"/>
        <v/>
      </c>
    </row>
    <row r="53" spans="1:8" ht="20.100000000000001" customHeight="1">
      <c r="A53" s="621"/>
      <c r="B53" s="678"/>
      <c r="C53" s="623"/>
      <c r="D53" s="679"/>
      <c r="E53" s="625"/>
      <c r="F53" s="626"/>
      <c r="G53" s="627"/>
      <c r="H53" s="634" t="str">
        <f t="shared" si="1"/>
        <v/>
      </c>
    </row>
    <row r="54" spans="1:8" ht="20.100000000000001" customHeight="1">
      <c r="A54" s="621"/>
      <c r="B54" s="678"/>
      <c r="C54" s="623"/>
      <c r="D54" s="679"/>
      <c r="E54" s="625"/>
      <c r="F54" s="626"/>
      <c r="G54" s="627"/>
      <c r="H54" s="634" t="str">
        <f t="shared" si="1"/>
        <v/>
      </c>
    </row>
    <row r="55" spans="1:8" ht="20.100000000000001" customHeight="1">
      <c r="A55" s="621"/>
      <c r="B55" s="678"/>
      <c r="C55" s="623"/>
      <c r="D55" s="679"/>
      <c r="E55" s="625"/>
      <c r="F55" s="626"/>
      <c r="G55" s="627"/>
      <c r="H55" s="634" t="str">
        <f t="shared" si="1"/>
        <v/>
      </c>
    </row>
    <row r="56" spans="1:8" ht="20.100000000000001" customHeight="1">
      <c r="A56" s="621"/>
      <c r="B56" s="678"/>
      <c r="C56" s="623"/>
      <c r="D56" s="679"/>
      <c r="E56" s="625"/>
      <c r="F56" s="626"/>
      <c r="G56" s="627"/>
      <c r="H56" s="634" t="str">
        <f t="shared" si="1"/>
        <v/>
      </c>
    </row>
    <row r="57" spans="1:8" ht="20.100000000000001" customHeight="1">
      <c r="A57" s="621"/>
      <c r="B57" s="678"/>
      <c r="C57" s="623"/>
      <c r="D57" s="679"/>
      <c r="E57" s="625"/>
      <c r="F57" s="626"/>
      <c r="G57" s="627"/>
      <c r="H57" s="634" t="str">
        <f t="shared" si="1"/>
        <v/>
      </c>
    </row>
    <row r="58" spans="1:8" ht="20.100000000000001" customHeight="1">
      <c r="A58" s="621"/>
      <c r="B58" s="678"/>
      <c r="C58" s="623"/>
      <c r="D58" s="679"/>
      <c r="E58" s="625"/>
      <c r="F58" s="626"/>
      <c r="G58" s="627"/>
      <c r="H58" s="634" t="str">
        <f t="shared" si="1"/>
        <v/>
      </c>
    </row>
    <row r="59" spans="1:8" ht="20.100000000000001" customHeight="1">
      <c r="A59" s="621"/>
      <c r="B59" s="678"/>
      <c r="C59" s="623"/>
      <c r="D59" s="679"/>
      <c r="E59" s="625"/>
      <c r="F59" s="626"/>
      <c r="G59" s="627"/>
      <c r="H59" s="634" t="str">
        <f t="shared" si="1"/>
        <v/>
      </c>
    </row>
    <row r="60" spans="1:8" ht="20.100000000000001" customHeight="1">
      <c r="A60" s="621"/>
      <c r="B60" s="678"/>
      <c r="C60" s="623"/>
      <c r="D60" s="679"/>
      <c r="E60" s="625"/>
      <c r="F60" s="626"/>
      <c r="G60" s="627"/>
      <c r="H60" s="634" t="str">
        <f t="shared" si="1"/>
        <v/>
      </c>
    </row>
    <row r="61" spans="1:8" ht="20.100000000000001" customHeight="1">
      <c r="A61" s="621"/>
      <c r="B61" s="678"/>
      <c r="C61" s="623"/>
      <c r="D61" s="679"/>
      <c r="E61" s="625"/>
      <c r="F61" s="626"/>
      <c r="G61" s="627"/>
      <c r="H61" s="634" t="str">
        <f t="shared" si="1"/>
        <v/>
      </c>
    </row>
    <row r="62" spans="1:8" ht="20.100000000000001" customHeight="1">
      <c r="A62" s="621"/>
      <c r="B62" s="678"/>
      <c r="C62" s="623"/>
      <c r="D62" s="679"/>
      <c r="E62" s="625"/>
      <c r="F62" s="626"/>
      <c r="G62" s="627"/>
      <c r="H62" s="634" t="str">
        <f t="shared" si="1"/>
        <v/>
      </c>
    </row>
    <row r="63" spans="1:8" ht="20.100000000000001" customHeight="1">
      <c r="A63" s="621"/>
      <c r="B63" s="678"/>
      <c r="C63" s="623"/>
      <c r="D63" s="679"/>
      <c r="E63" s="625"/>
      <c r="F63" s="626"/>
      <c r="G63" s="627"/>
      <c r="H63" s="634" t="str">
        <f t="shared" si="1"/>
        <v/>
      </c>
    </row>
    <row r="64" spans="1:8" ht="20.100000000000001" customHeight="1">
      <c r="A64" s="621"/>
      <c r="B64" s="678"/>
      <c r="C64" s="623"/>
      <c r="D64" s="679"/>
      <c r="E64" s="625"/>
      <c r="F64" s="626"/>
      <c r="G64" s="627"/>
      <c r="H64" s="634" t="str">
        <f t="shared" si="1"/>
        <v/>
      </c>
    </row>
    <row r="65" spans="1:8" ht="20.100000000000001" customHeight="1">
      <c r="A65" s="621"/>
      <c r="B65" s="678"/>
      <c r="C65" s="623"/>
      <c r="D65" s="679"/>
      <c r="E65" s="625"/>
      <c r="F65" s="626"/>
      <c r="G65" s="627"/>
      <c r="H65" s="634" t="str">
        <f t="shared" si="1"/>
        <v/>
      </c>
    </row>
    <row r="66" spans="1:8" ht="20.100000000000001" customHeight="1">
      <c r="A66" s="621"/>
      <c r="B66" s="678"/>
      <c r="C66" s="623"/>
      <c r="D66" s="679"/>
      <c r="E66" s="625"/>
      <c r="F66" s="626"/>
      <c r="G66" s="627"/>
      <c r="H66" s="634" t="str">
        <f t="shared" si="1"/>
        <v/>
      </c>
    </row>
    <row r="67" spans="1:8" ht="20.100000000000001" customHeight="1">
      <c r="A67" s="621"/>
      <c r="B67" s="678"/>
      <c r="C67" s="623"/>
      <c r="D67" s="679"/>
      <c r="E67" s="625"/>
      <c r="F67" s="626"/>
      <c r="G67" s="627"/>
      <c r="H67" s="634" t="str">
        <f t="shared" si="1"/>
        <v/>
      </c>
    </row>
    <row r="68" spans="1:8" ht="20.100000000000001" customHeight="1">
      <c r="A68" s="621"/>
      <c r="B68" s="678"/>
      <c r="C68" s="623"/>
      <c r="D68" s="679"/>
      <c r="E68" s="625"/>
      <c r="F68" s="626"/>
      <c r="G68" s="627"/>
      <c r="H68" s="634" t="str">
        <f t="shared" si="1"/>
        <v/>
      </c>
    </row>
    <row r="69" spans="1:8" ht="20.100000000000001" customHeight="1">
      <c r="A69" s="621"/>
      <c r="B69" s="678"/>
      <c r="C69" s="623"/>
      <c r="D69" s="679"/>
      <c r="E69" s="625"/>
      <c r="F69" s="626"/>
      <c r="G69" s="627"/>
      <c r="H69" s="634" t="str">
        <f t="shared" ref="H69:H98" si="2">IF(OR(F69&lt;&gt;"",G69&lt;&gt;""),H68+F69-G69,"")</f>
        <v/>
      </c>
    </row>
    <row r="70" spans="1:8" ht="20.100000000000001" customHeight="1">
      <c r="A70" s="621"/>
      <c r="B70" s="678"/>
      <c r="C70" s="623"/>
      <c r="D70" s="679"/>
      <c r="E70" s="625"/>
      <c r="F70" s="626"/>
      <c r="G70" s="627"/>
      <c r="H70" s="634" t="str">
        <f t="shared" si="2"/>
        <v/>
      </c>
    </row>
    <row r="71" spans="1:8" ht="20.100000000000001" customHeight="1">
      <c r="A71" s="621"/>
      <c r="B71" s="678"/>
      <c r="C71" s="623"/>
      <c r="D71" s="679"/>
      <c r="E71" s="625"/>
      <c r="F71" s="626"/>
      <c r="G71" s="627"/>
      <c r="H71" s="634" t="str">
        <f t="shared" si="2"/>
        <v/>
      </c>
    </row>
    <row r="72" spans="1:8" ht="20.100000000000001" customHeight="1">
      <c r="A72" s="621"/>
      <c r="B72" s="678"/>
      <c r="C72" s="623"/>
      <c r="D72" s="679"/>
      <c r="E72" s="625"/>
      <c r="F72" s="626"/>
      <c r="G72" s="627"/>
      <c r="H72" s="634" t="str">
        <f t="shared" si="2"/>
        <v/>
      </c>
    </row>
    <row r="73" spans="1:8" ht="20.100000000000001" customHeight="1">
      <c r="A73" s="621"/>
      <c r="B73" s="678"/>
      <c r="C73" s="623"/>
      <c r="D73" s="679"/>
      <c r="E73" s="625"/>
      <c r="F73" s="626"/>
      <c r="G73" s="627"/>
      <c r="H73" s="634" t="str">
        <f t="shared" si="2"/>
        <v/>
      </c>
    </row>
    <row r="74" spans="1:8" ht="20.100000000000001" customHeight="1">
      <c r="A74" s="621"/>
      <c r="B74" s="678"/>
      <c r="C74" s="623"/>
      <c r="D74" s="679"/>
      <c r="E74" s="625"/>
      <c r="F74" s="626"/>
      <c r="G74" s="627"/>
      <c r="H74" s="634" t="str">
        <f t="shared" si="2"/>
        <v/>
      </c>
    </row>
    <row r="75" spans="1:8" ht="20.100000000000001" customHeight="1">
      <c r="A75" s="621"/>
      <c r="B75" s="678"/>
      <c r="C75" s="623"/>
      <c r="D75" s="679"/>
      <c r="E75" s="625"/>
      <c r="F75" s="626"/>
      <c r="G75" s="627"/>
      <c r="H75" s="634" t="str">
        <f t="shared" si="2"/>
        <v/>
      </c>
    </row>
    <row r="76" spans="1:8" ht="20.100000000000001" customHeight="1">
      <c r="A76" s="621"/>
      <c r="B76" s="678"/>
      <c r="C76" s="623"/>
      <c r="D76" s="679"/>
      <c r="E76" s="625"/>
      <c r="F76" s="626"/>
      <c r="G76" s="627"/>
      <c r="H76" s="634" t="str">
        <f t="shared" si="2"/>
        <v/>
      </c>
    </row>
    <row r="77" spans="1:8" ht="20.100000000000001" customHeight="1">
      <c r="A77" s="621"/>
      <c r="B77" s="678"/>
      <c r="C77" s="623"/>
      <c r="D77" s="679"/>
      <c r="E77" s="625"/>
      <c r="F77" s="626"/>
      <c r="G77" s="627"/>
      <c r="H77" s="634" t="str">
        <f t="shared" si="2"/>
        <v/>
      </c>
    </row>
    <row r="78" spans="1:8" ht="20.100000000000001" customHeight="1">
      <c r="A78" s="621"/>
      <c r="B78" s="678"/>
      <c r="C78" s="623"/>
      <c r="D78" s="679"/>
      <c r="E78" s="625"/>
      <c r="F78" s="626"/>
      <c r="G78" s="627"/>
      <c r="H78" s="634" t="str">
        <f t="shared" si="2"/>
        <v/>
      </c>
    </row>
    <row r="79" spans="1:8" ht="20.100000000000001" customHeight="1">
      <c r="A79" s="621"/>
      <c r="B79" s="678"/>
      <c r="C79" s="623"/>
      <c r="D79" s="679"/>
      <c r="E79" s="625"/>
      <c r="F79" s="626"/>
      <c r="G79" s="627"/>
      <c r="H79" s="634" t="str">
        <f t="shared" si="2"/>
        <v/>
      </c>
    </row>
    <row r="80" spans="1:8" ht="20.100000000000001" customHeight="1">
      <c r="A80" s="621"/>
      <c r="B80" s="678"/>
      <c r="C80" s="623"/>
      <c r="D80" s="679"/>
      <c r="E80" s="625"/>
      <c r="F80" s="626"/>
      <c r="G80" s="627"/>
      <c r="H80" s="634" t="str">
        <f t="shared" si="2"/>
        <v/>
      </c>
    </row>
    <row r="81" spans="1:8" ht="20.100000000000001" customHeight="1">
      <c r="A81" s="621"/>
      <c r="B81" s="678"/>
      <c r="C81" s="623"/>
      <c r="D81" s="679"/>
      <c r="E81" s="625"/>
      <c r="F81" s="626"/>
      <c r="G81" s="627"/>
      <c r="H81" s="634" t="str">
        <f t="shared" si="2"/>
        <v/>
      </c>
    </row>
    <row r="82" spans="1:8" ht="20.100000000000001" customHeight="1">
      <c r="A82" s="621"/>
      <c r="B82" s="678"/>
      <c r="C82" s="623"/>
      <c r="D82" s="679"/>
      <c r="E82" s="625"/>
      <c r="F82" s="626"/>
      <c r="G82" s="627"/>
      <c r="H82" s="634" t="str">
        <f t="shared" si="2"/>
        <v/>
      </c>
    </row>
    <row r="83" spans="1:8" ht="20.100000000000001" customHeight="1">
      <c r="A83" s="621"/>
      <c r="B83" s="678"/>
      <c r="C83" s="623"/>
      <c r="D83" s="679"/>
      <c r="E83" s="625"/>
      <c r="F83" s="626"/>
      <c r="G83" s="627"/>
      <c r="H83" s="634" t="str">
        <f t="shared" si="2"/>
        <v/>
      </c>
    </row>
    <row r="84" spans="1:8" ht="20.100000000000001" customHeight="1">
      <c r="A84" s="621"/>
      <c r="B84" s="678"/>
      <c r="C84" s="623"/>
      <c r="D84" s="679"/>
      <c r="E84" s="625"/>
      <c r="F84" s="626"/>
      <c r="G84" s="627"/>
      <c r="H84" s="634" t="str">
        <f t="shared" si="2"/>
        <v/>
      </c>
    </row>
    <row r="85" spans="1:8" ht="20.100000000000001" customHeight="1">
      <c r="A85" s="621"/>
      <c r="B85" s="678"/>
      <c r="C85" s="623"/>
      <c r="D85" s="679"/>
      <c r="E85" s="625"/>
      <c r="F85" s="626"/>
      <c r="G85" s="627"/>
      <c r="H85" s="634" t="str">
        <f t="shared" si="2"/>
        <v/>
      </c>
    </row>
    <row r="86" spans="1:8" ht="20.100000000000001" customHeight="1">
      <c r="A86" s="621"/>
      <c r="B86" s="678"/>
      <c r="C86" s="623"/>
      <c r="D86" s="679"/>
      <c r="E86" s="625"/>
      <c r="F86" s="626"/>
      <c r="G86" s="627"/>
      <c r="H86" s="634" t="str">
        <f t="shared" si="2"/>
        <v/>
      </c>
    </row>
    <row r="87" spans="1:8" ht="20.100000000000001" customHeight="1">
      <c r="A87" s="621"/>
      <c r="B87" s="678"/>
      <c r="C87" s="623"/>
      <c r="D87" s="679"/>
      <c r="E87" s="625"/>
      <c r="F87" s="626"/>
      <c r="G87" s="627"/>
      <c r="H87" s="634" t="str">
        <f t="shared" si="2"/>
        <v/>
      </c>
    </row>
    <row r="88" spans="1:8" ht="20.100000000000001" customHeight="1">
      <c r="A88" s="621"/>
      <c r="B88" s="678"/>
      <c r="C88" s="623"/>
      <c r="D88" s="679"/>
      <c r="E88" s="625"/>
      <c r="F88" s="626"/>
      <c r="G88" s="627"/>
      <c r="H88" s="634" t="str">
        <f t="shared" si="2"/>
        <v/>
      </c>
    </row>
    <row r="89" spans="1:8" ht="20.100000000000001" customHeight="1">
      <c r="A89" s="621"/>
      <c r="B89" s="678"/>
      <c r="C89" s="623"/>
      <c r="D89" s="679"/>
      <c r="E89" s="625"/>
      <c r="F89" s="626"/>
      <c r="G89" s="627"/>
      <c r="H89" s="634" t="str">
        <f t="shared" si="2"/>
        <v/>
      </c>
    </row>
    <row r="90" spans="1:8" ht="20.100000000000001" customHeight="1">
      <c r="A90" s="621"/>
      <c r="B90" s="678"/>
      <c r="C90" s="623"/>
      <c r="D90" s="679"/>
      <c r="E90" s="625"/>
      <c r="F90" s="626"/>
      <c r="G90" s="627"/>
      <c r="H90" s="634" t="str">
        <f t="shared" si="2"/>
        <v/>
      </c>
    </row>
    <row r="91" spans="1:8" ht="20.100000000000001" customHeight="1">
      <c r="A91" s="621"/>
      <c r="B91" s="678"/>
      <c r="C91" s="623"/>
      <c r="D91" s="679"/>
      <c r="E91" s="625"/>
      <c r="F91" s="626"/>
      <c r="G91" s="627"/>
      <c r="H91" s="634" t="str">
        <f t="shared" si="2"/>
        <v/>
      </c>
    </row>
    <row r="92" spans="1:8" ht="20.100000000000001" customHeight="1">
      <c r="A92" s="621"/>
      <c r="B92" s="678"/>
      <c r="C92" s="623"/>
      <c r="D92" s="679"/>
      <c r="E92" s="625"/>
      <c r="F92" s="626"/>
      <c r="G92" s="627"/>
      <c r="H92" s="634" t="str">
        <f t="shared" si="2"/>
        <v/>
      </c>
    </row>
    <row r="93" spans="1:8" ht="20.100000000000001" customHeight="1">
      <c r="A93" s="621"/>
      <c r="B93" s="678"/>
      <c r="C93" s="623"/>
      <c r="D93" s="679"/>
      <c r="E93" s="625"/>
      <c r="F93" s="626"/>
      <c r="G93" s="627"/>
      <c r="H93" s="634" t="str">
        <f t="shared" si="2"/>
        <v/>
      </c>
    </row>
    <row r="94" spans="1:8" ht="20.100000000000001" customHeight="1">
      <c r="A94" s="621"/>
      <c r="B94" s="678"/>
      <c r="C94" s="623"/>
      <c r="D94" s="679"/>
      <c r="E94" s="625"/>
      <c r="F94" s="626"/>
      <c r="G94" s="627"/>
      <c r="H94" s="634" t="str">
        <f t="shared" si="2"/>
        <v/>
      </c>
    </row>
    <row r="95" spans="1:8" ht="20.100000000000001" customHeight="1">
      <c r="A95" s="621"/>
      <c r="B95" s="678"/>
      <c r="C95" s="623"/>
      <c r="D95" s="679"/>
      <c r="E95" s="625"/>
      <c r="F95" s="626"/>
      <c r="G95" s="627"/>
      <c r="H95" s="634" t="str">
        <f t="shared" si="2"/>
        <v/>
      </c>
    </row>
    <row r="96" spans="1:8" ht="20.100000000000001" customHeight="1">
      <c r="A96" s="621"/>
      <c r="B96" s="678"/>
      <c r="C96" s="623"/>
      <c r="D96" s="679"/>
      <c r="E96" s="625"/>
      <c r="F96" s="626"/>
      <c r="G96" s="627"/>
      <c r="H96" s="634" t="str">
        <f t="shared" si="2"/>
        <v/>
      </c>
    </row>
    <row r="97" spans="1:8" ht="20.100000000000001" customHeight="1">
      <c r="A97" s="621"/>
      <c r="B97" s="678"/>
      <c r="C97" s="623"/>
      <c r="D97" s="679"/>
      <c r="E97" s="625"/>
      <c r="F97" s="626"/>
      <c r="G97" s="627"/>
      <c r="H97" s="634" t="str">
        <f t="shared" si="2"/>
        <v/>
      </c>
    </row>
    <row r="98" spans="1:8" ht="20.100000000000001" customHeight="1">
      <c r="A98" s="621"/>
      <c r="B98" s="678"/>
      <c r="C98" s="623"/>
      <c r="D98" s="679"/>
      <c r="E98" s="625"/>
      <c r="F98" s="650"/>
      <c r="G98" s="651"/>
      <c r="H98" s="653" t="str">
        <f t="shared" si="2"/>
        <v/>
      </c>
    </row>
    <row r="99" spans="1:8" ht="20.100000000000001" customHeight="1">
      <c r="A99" s="621"/>
      <c r="B99" s="1133" t="s">
        <v>282</v>
      </c>
      <c r="C99" s="1134"/>
      <c r="D99" s="1135"/>
      <c r="E99" s="640"/>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289</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 t="shared" ref="H5:H36" si="0">IF(OR(F5&lt;&gt;"",G5&lt;&gt;""),H4+F5-G5,"")</f>
        <v/>
      </c>
    </row>
    <row r="6" spans="1:8" ht="20.100000000000001" customHeight="1">
      <c r="A6" s="621"/>
      <c r="B6" s="678"/>
      <c r="C6" s="623"/>
      <c r="D6" s="679"/>
      <c r="E6" s="625"/>
      <c r="F6" s="626"/>
      <c r="G6" s="627"/>
      <c r="H6" s="634" t="str">
        <f t="shared" si="0"/>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ref="H37:H68" si="1">IF(OR(F37&lt;&gt;"",G37&lt;&gt;""),H36+F37-G37,"")</f>
        <v/>
      </c>
    </row>
    <row r="38" spans="1:8" ht="20.100000000000001" customHeight="1">
      <c r="A38" s="621"/>
      <c r="B38" s="678"/>
      <c r="C38" s="623"/>
      <c r="D38" s="679"/>
      <c r="E38" s="625"/>
      <c r="F38" s="626"/>
      <c r="G38" s="627"/>
      <c r="H38" s="634" t="str">
        <f t="shared" si="1"/>
        <v/>
      </c>
    </row>
    <row r="39" spans="1:8" ht="20.100000000000001" customHeight="1">
      <c r="A39" s="621"/>
      <c r="B39" s="678"/>
      <c r="C39" s="623"/>
      <c r="D39" s="679"/>
      <c r="E39" s="625"/>
      <c r="F39" s="626"/>
      <c r="G39" s="627"/>
      <c r="H39" s="634" t="str">
        <f t="shared" si="1"/>
        <v/>
      </c>
    </row>
    <row r="40" spans="1:8" ht="20.100000000000001" customHeight="1">
      <c r="A40" s="621"/>
      <c r="B40" s="678"/>
      <c r="C40" s="623"/>
      <c r="D40" s="679"/>
      <c r="E40" s="625"/>
      <c r="F40" s="626"/>
      <c r="G40" s="627"/>
      <c r="H40" s="634" t="str">
        <f t="shared" si="1"/>
        <v/>
      </c>
    </row>
    <row r="41" spans="1:8" ht="20.100000000000001" customHeight="1">
      <c r="A41" s="621"/>
      <c r="B41" s="678"/>
      <c r="C41" s="623"/>
      <c r="D41" s="679"/>
      <c r="E41" s="625"/>
      <c r="F41" s="626"/>
      <c r="G41" s="627"/>
      <c r="H41" s="634" t="str">
        <f t="shared" si="1"/>
        <v/>
      </c>
    </row>
    <row r="42" spans="1:8" ht="20.100000000000001" customHeight="1">
      <c r="A42" s="621"/>
      <c r="B42" s="678"/>
      <c r="C42" s="623"/>
      <c r="D42" s="679"/>
      <c r="E42" s="625"/>
      <c r="F42" s="626"/>
      <c r="G42" s="627"/>
      <c r="H42" s="634" t="str">
        <f t="shared" si="1"/>
        <v/>
      </c>
    </row>
    <row r="43" spans="1:8" ht="20.100000000000001" customHeight="1">
      <c r="A43" s="621"/>
      <c r="B43" s="678"/>
      <c r="C43" s="623"/>
      <c r="D43" s="679"/>
      <c r="E43" s="625"/>
      <c r="F43" s="626"/>
      <c r="G43" s="627"/>
      <c r="H43" s="634" t="str">
        <f t="shared" si="1"/>
        <v/>
      </c>
    </row>
    <row r="44" spans="1:8" ht="20.100000000000001" customHeight="1">
      <c r="A44" s="621"/>
      <c r="B44" s="678"/>
      <c r="C44" s="623"/>
      <c r="D44" s="679"/>
      <c r="E44" s="625"/>
      <c r="F44" s="626"/>
      <c r="G44" s="627"/>
      <c r="H44" s="634" t="str">
        <f t="shared" si="1"/>
        <v/>
      </c>
    </row>
    <row r="45" spans="1:8" ht="20.100000000000001" customHeight="1">
      <c r="A45" s="621"/>
      <c r="B45" s="678"/>
      <c r="C45" s="623"/>
      <c r="D45" s="679"/>
      <c r="E45" s="625"/>
      <c r="F45" s="626"/>
      <c r="G45" s="627"/>
      <c r="H45" s="634" t="str">
        <f t="shared" si="1"/>
        <v/>
      </c>
    </row>
    <row r="46" spans="1:8" ht="20.100000000000001" customHeight="1">
      <c r="A46" s="621"/>
      <c r="B46" s="678"/>
      <c r="C46" s="623"/>
      <c r="D46" s="679"/>
      <c r="E46" s="625"/>
      <c r="F46" s="626"/>
      <c r="G46" s="627"/>
      <c r="H46" s="634" t="str">
        <f t="shared" si="1"/>
        <v/>
      </c>
    </row>
    <row r="47" spans="1:8" ht="20.100000000000001" customHeight="1">
      <c r="A47" s="621"/>
      <c r="B47" s="678"/>
      <c r="C47" s="623"/>
      <c r="D47" s="679"/>
      <c r="E47" s="625"/>
      <c r="F47" s="626"/>
      <c r="G47" s="627"/>
      <c r="H47" s="634" t="str">
        <f t="shared" si="1"/>
        <v/>
      </c>
    </row>
    <row r="48" spans="1:8" ht="20.100000000000001" customHeight="1">
      <c r="A48" s="621"/>
      <c r="B48" s="678"/>
      <c r="C48" s="623"/>
      <c r="D48" s="679"/>
      <c r="E48" s="625"/>
      <c r="F48" s="626"/>
      <c r="G48" s="627"/>
      <c r="H48" s="634" t="str">
        <f t="shared" si="1"/>
        <v/>
      </c>
    </row>
    <row r="49" spans="1:8" ht="20.100000000000001" customHeight="1">
      <c r="A49" s="621"/>
      <c r="B49" s="678"/>
      <c r="C49" s="623"/>
      <c r="D49" s="679"/>
      <c r="E49" s="625"/>
      <c r="F49" s="626"/>
      <c r="G49" s="627"/>
      <c r="H49" s="634" t="str">
        <f t="shared" si="1"/>
        <v/>
      </c>
    </row>
    <row r="50" spans="1:8" ht="20.100000000000001" customHeight="1">
      <c r="A50" s="621"/>
      <c r="B50" s="678"/>
      <c r="C50" s="623"/>
      <c r="D50" s="679"/>
      <c r="E50" s="625"/>
      <c r="F50" s="626"/>
      <c r="G50" s="627"/>
      <c r="H50" s="634" t="str">
        <f t="shared" si="1"/>
        <v/>
      </c>
    </row>
    <row r="51" spans="1:8" ht="20.100000000000001" customHeight="1">
      <c r="A51" s="621"/>
      <c r="B51" s="678"/>
      <c r="C51" s="623"/>
      <c r="D51" s="679"/>
      <c r="E51" s="625"/>
      <c r="F51" s="626"/>
      <c r="G51" s="627"/>
      <c r="H51" s="634" t="str">
        <f t="shared" si="1"/>
        <v/>
      </c>
    </row>
    <row r="52" spans="1:8" ht="20.100000000000001" customHeight="1">
      <c r="A52" s="621"/>
      <c r="B52" s="678"/>
      <c r="C52" s="623"/>
      <c r="D52" s="679"/>
      <c r="E52" s="625"/>
      <c r="F52" s="626"/>
      <c r="G52" s="627"/>
      <c r="H52" s="634" t="str">
        <f t="shared" si="1"/>
        <v/>
      </c>
    </row>
    <row r="53" spans="1:8" ht="20.100000000000001" customHeight="1">
      <c r="A53" s="621"/>
      <c r="B53" s="678"/>
      <c r="C53" s="623"/>
      <c r="D53" s="679"/>
      <c r="E53" s="625"/>
      <c r="F53" s="626"/>
      <c r="G53" s="627"/>
      <c r="H53" s="634" t="str">
        <f t="shared" si="1"/>
        <v/>
      </c>
    </row>
    <row r="54" spans="1:8" ht="20.100000000000001" customHeight="1">
      <c r="A54" s="621"/>
      <c r="B54" s="678"/>
      <c r="C54" s="623"/>
      <c r="D54" s="679"/>
      <c r="E54" s="625"/>
      <c r="F54" s="626"/>
      <c r="G54" s="627"/>
      <c r="H54" s="634" t="str">
        <f t="shared" si="1"/>
        <v/>
      </c>
    </row>
    <row r="55" spans="1:8" ht="20.100000000000001" customHeight="1">
      <c r="A55" s="621"/>
      <c r="B55" s="678"/>
      <c r="C55" s="623"/>
      <c r="D55" s="679"/>
      <c r="E55" s="625"/>
      <c r="F55" s="626"/>
      <c r="G55" s="627"/>
      <c r="H55" s="634" t="str">
        <f t="shared" si="1"/>
        <v/>
      </c>
    </row>
    <row r="56" spans="1:8" ht="20.100000000000001" customHeight="1">
      <c r="A56" s="621"/>
      <c r="B56" s="678"/>
      <c r="C56" s="623"/>
      <c r="D56" s="679"/>
      <c r="E56" s="625"/>
      <c r="F56" s="626"/>
      <c r="G56" s="627"/>
      <c r="H56" s="634" t="str">
        <f t="shared" si="1"/>
        <v/>
      </c>
    </row>
    <row r="57" spans="1:8" ht="20.100000000000001" customHeight="1">
      <c r="A57" s="621"/>
      <c r="B57" s="678"/>
      <c r="C57" s="623"/>
      <c r="D57" s="679"/>
      <c r="E57" s="625"/>
      <c r="F57" s="626"/>
      <c r="G57" s="627"/>
      <c r="H57" s="634" t="str">
        <f t="shared" si="1"/>
        <v/>
      </c>
    </row>
    <row r="58" spans="1:8" ht="20.100000000000001" customHeight="1">
      <c r="A58" s="621"/>
      <c r="B58" s="678"/>
      <c r="C58" s="623"/>
      <c r="D58" s="679"/>
      <c r="E58" s="625"/>
      <c r="F58" s="626"/>
      <c r="G58" s="627"/>
      <c r="H58" s="634" t="str">
        <f t="shared" si="1"/>
        <v/>
      </c>
    </row>
    <row r="59" spans="1:8" ht="20.100000000000001" customHeight="1">
      <c r="A59" s="621"/>
      <c r="B59" s="678"/>
      <c r="C59" s="623"/>
      <c r="D59" s="679"/>
      <c r="E59" s="625"/>
      <c r="F59" s="626"/>
      <c r="G59" s="627"/>
      <c r="H59" s="634" t="str">
        <f t="shared" si="1"/>
        <v/>
      </c>
    </row>
    <row r="60" spans="1:8" ht="20.100000000000001" customHeight="1">
      <c r="A60" s="621"/>
      <c r="B60" s="678"/>
      <c r="C60" s="623"/>
      <c r="D60" s="679"/>
      <c r="E60" s="625"/>
      <c r="F60" s="626"/>
      <c r="G60" s="627"/>
      <c r="H60" s="634" t="str">
        <f t="shared" si="1"/>
        <v/>
      </c>
    </row>
    <row r="61" spans="1:8" ht="20.100000000000001" customHeight="1">
      <c r="A61" s="621"/>
      <c r="B61" s="678"/>
      <c r="C61" s="623"/>
      <c r="D61" s="679"/>
      <c r="E61" s="625"/>
      <c r="F61" s="626"/>
      <c r="G61" s="627"/>
      <c r="H61" s="634" t="str">
        <f t="shared" si="1"/>
        <v/>
      </c>
    </row>
    <row r="62" spans="1:8" ht="20.100000000000001" customHeight="1">
      <c r="A62" s="621"/>
      <c r="B62" s="678"/>
      <c r="C62" s="623"/>
      <c r="D62" s="679"/>
      <c r="E62" s="625"/>
      <c r="F62" s="626"/>
      <c r="G62" s="627"/>
      <c r="H62" s="634" t="str">
        <f t="shared" si="1"/>
        <v/>
      </c>
    </row>
    <row r="63" spans="1:8" ht="20.100000000000001" customHeight="1">
      <c r="A63" s="621"/>
      <c r="B63" s="678"/>
      <c r="C63" s="623"/>
      <c r="D63" s="679"/>
      <c r="E63" s="625"/>
      <c r="F63" s="626"/>
      <c r="G63" s="627"/>
      <c r="H63" s="634" t="str">
        <f t="shared" si="1"/>
        <v/>
      </c>
    </row>
    <row r="64" spans="1:8" ht="20.100000000000001" customHeight="1">
      <c r="A64" s="621"/>
      <c r="B64" s="678"/>
      <c r="C64" s="623"/>
      <c r="D64" s="679"/>
      <c r="E64" s="625"/>
      <c r="F64" s="626"/>
      <c r="G64" s="627"/>
      <c r="H64" s="634" t="str">
        <f t="shared" si="1"/>
        <v/>
      </c>
    </row>
    <row r="65" spans="1:8" ht="20.100000000000001" customHeight="1">
      <c r="A65" s="621"/>
      <c r="B65" s="678"/>
      <c r="C65" s="623"/>
      <c r="D65" s="679"/>
      <c r="E65" s="625"/>
      <c r="F65" s="626"/>
      <c r="G65" s="627"/>
      <c r="H65" s="634" t="str">
        <f t="shared" si="1"/>
        <v/>
      </c>
    </row>
    <row r="66" spans="1:8" ht="20.100000000000001" customHeight="1">
      <c r="A66" s="621"/>
      <c r="B66" s="678"/>
      <c r="C66" s="623"/>
      <c r="D66" s="679"/>
      <c r="E66" s="625"/>
      <c r="F66" s="626"/>
      <c r="G66" s="627"/>
      <c r="H66" s="634" t="str">
        <f t="shared" si="1"/>
        <v/>
      </c>
    </row>
    <row r="67" spans="1:8" ht="20.100000000000001" customHeight="1">
      <c r="A67" s="621"/>
      <c r="B67" s="678"/>
      <c r="C67" s="623"/>
      <c r="D67" s="679"/>
      <c r="E67" s="625"/>
      <c r="F67" s="626"/>
      <c r="G67" s="627"/>
      <c r="H67" s="634" t="str">
        <f t="shared" si="1"/>
        <v/>
      </c>
    </row>
    <row r="68" spans="1:8" ht="20.100000000000001" customHeight="1">
      <c r="A68" s="621"/>
      <c r="B68" s="678"/>
      <c r="C68" s="623"/>
      <c r="D68" s="679"/>
      <c r="E68" s="625"/>
      <c r="F68" s="626"/>
      <c r="G68" s="627"/>
      <c r="H68" s="634" t="str">
        <f t="shared" si="1"/>
        <v/>
      </c>
    </row>
    <row r="69" spans="1:8" ht="20.100000000000001" customHeight="1">
      <c r="A69" s="621"/>
      <c r="B69" s="678"/>
      <c r="C69" s="623"/>
      <c r="D69" s="679"/>
      <c r="E69" s="625"/>
      <c r="F69" s="626"/>
      <c r="G69" s="627"/>
      <c r="H69" s="634" t="str">
        <f t="shared" ref="H69:H98" si="2">IF(OR(F69&lt;&gt;"",G69&lt;&gt;""),H68+F69-G69,"")</f>
        <v/>
      </c>
    </row>
    <row r="70" spans="1:8" ht="20.100000000000001" customHeight="1">
      <c r="A70" s="621"/>
      <c r="B70" s="678"/>
      <c r="C70" s="623"/>
      <c r="D70" s="679"/>
      <c r="E70" s="625"/>
      <c r="F70" s="626"/>
      <c r="G70" s="627"/>
      <c r="H70" s="634" t="str">
        <f t="shared" si="2"/>
        <v/>
      </c>
    </row>
    <row r="71" spans="1:8" ht="20.100000000000001" customHeight="1">
      <c r="A71" s="621"/>
      <c r="B71" s="678"/>
      <c r="C71" s="623"/>
      <c r="D71" s="679"/>
      <c r="E71" s="625"/>
      <c r="F71" s="626"/>
      <c r="G71" s="627"/>
      <c r="H71" s="634" t="str">
        <f t="shared" si="2"/>
        <v/>
      </c>
    </row>
    <row r="72" spans="1:8" ht="20.100000000000001" customHeight="1">
      <c r="A72" s="621"/>
      <c r="B72" s="678"/>
      <c r="C72" s="623"/>
      <c r="D72" s="679"/>
      <c r="E72" s="625"/>
      <c r="F72" s="626"/>
      <c r="G72" s="627"/>
      <c r="H72" s="634" t="str">
        <f t="shared" si="2"/>
        <v/>
      </c>
    </row>
    <row r="73" spans="1:8" ht="20.100000000000001" customHeight="1">
      <c r="A73" s="621"/>
      <c r="B73" s="678"/>
      <c r="C73" s="623"/>
      <c r="D73" s="679"/>
      <c r="E73" s="625"/>
      <c r="F73" s="626"/>
      <c r="G73" s="627"/>
      <c r="H73" s="634" t="str">
        <f t="shared" si="2"/>
        <v/>
      </c>
    </row>
    <row r="74" spans="1:8" ht="20.100000000000001" customHeight="1">
      <c r="A74" s="621"/>
      <c r="B74" s="678"/>
      <c r="C74" s="623"/>
      <c r="D74" s="679"/>
      <c r="E74" s="625"/>
      <c r="F74" s="626"/>
      <c r="G74" s="627"/>
      <c r="H74" s="634" t="str">
        <f t="shared" si="2"/>
        <v/>
      </c>
    </row>
    <row r="75" spans="1:8" ht="20.100000000000001" customHeight="1">
      <c r="A75" s="621"/>
      <c r="B75" s="678"/>
      <c r="C75" s="623"/>
      <c r="D75" s="679"/>
      <c r="E75" s="625"/>
      <c r="F75" s="626"/>
      <c r="G75" s="627"/>
      <c r="H75" s="634" t="str">
        <f t="shared" si="2"/>
        <v/>
      </c>
    </row>
    <row r="76" spans="1:8" ht="20.100000000000001" customHeight="1">
      <c r="A76" s="621"/>
      <c r="B76" s="678"/>
      <c r="C76" s="623"/>
      <c r="D76" s="679"/>
      <c r="E76" s="625"/>
      <c r="F76" s="626"/>
      <c r="G76" s="627"/>
      <c r="H76" s="634" t="str">
        <f t="shared" si="2"/>
        <v/>
      </c>
    </row>
    <row r="77" spans="1:8" ht="20.100000000000001" customHeight="1">
      <c r="A77" s="621"/>
      <c r="B77" s="678"/>
      <c r="C77" s="623"/>
      <c r="D77" s="679"/>
      <c r="E77" s="625"/>
      <c r="F77" s="626"/>
      <c r="G77" s="627"/>
      <c r="H77" s="634" t="str">
        <f t="shared" si="2"/>
        <v/>
      </c>
    </row>
    <row r="78" spans="1:8" ht="20.100000000000001" customHeight="1">
      <c r="A78" s="621"/>
      <c r="B78" s="678"/>
      <c r="C78" s="623"/>
      <c r="D78" s="679"/>
      <c r="E78" s="625"/>
      <c r="F78" s="626"/>
      <c r="G78" s="627"/>
      <c r="H78" s="634" t="str">
        <f t="shared" si="2"/>
        <v/>
      </c>
    </row>
    <row r="79" spans="1:8" ht="20.100000000000001" customHeight="1">
      <c r="A79" s="621"/>
      <c r="B79" s="678"/>
      <c r="C79" s="623"/>
      <c r="D79" s="679"/>
      <c r="E79" s="625"/>
      <c r="F79" s="626"/>
      <c r="G79" s="627"/>
      <c r="H79" s="634" t="str">
        <f t="shared" si="2"/>
        <v/>
      </c>
    </row>
    <row r="80" spans="1:8" ht="20.100000000000001" customHeight="1">
      <c r="A80" s="621"/>
      <c r="B80" s="678"/>
      <c r="C80" s="623"/>
      <c r="D80" s="679"/>
      <c r="E80" s="625"/>
      <c r="F80" s="626"/>
      <c r="G80" s="627"/>
      <c r="H80" s="634" t="str">
        <f t="shared" si="2"/>
        <v/>
      </c>
    </row>
    <row r="81" spans="1:8" ht="20.100000000000001" customHeight="1">
      <c r="A81" s="621"/>
      <c r="B81" s="678"/>
      <c r="C81" s="623"/>
      <c r="D81" s="679"/>
      <c r="E81" s="625"/>
      <c r="F81" s="626"/>
      <c r="G81" s="627"/>
      <c r="H81" s="634" t="str">
        <f t="shared" si="2"/>
        <v/>
      </c>
    </row>
    <row r="82" spans="1:8" ht="20.100000000000001" customHeight="1">
      <c r="A82" s="621"/>
      <c r="B82" s="678"/>
      <c r="C82" s="623"/>
      <c r="D82" s="679"/>
      <c r="E82" s="625"/>
      <c r="F82" s="626"/>
      <c r="G82" s="627"/>
      <c r="H82" s="634" t="str">
        <f t="shared" si="2"/>
        <v/>
      </c>
    </row>
    <row r="83" spans="1:8" ht="20.100000000000001" customHeight="1">
      <c r="A83" s="621"/>
      <c r="B83" s="678"/>
      <c r="C83" s="623"/>
      <c r="D83" s="679"/>
      <c r="E83" s="625"/>
      <c r="F83" s="626"/>
      <c r="G83" s="627"/>
      <c r="H83" s="634" t="str">
        <f t="shared" si="2"/>
        <v/>
      </c>
    </row>
    <row r="84" spans="1:8" ht="20.100000000000001" customHeight="1">
      <c r="A84" s="621"/>
      <c r="B84" s="678"/>
      <c r="C84" s="623"/>
      <c r="D84" s="679"/>
      <c r="E84" s="625"/>
      <c r="F84" s="626"/>
      <c r="G84" s="627"/>
      <c r="H84" s="634" t="str">
        <f t="shared" si="2"/>
        <v/>
      </c>
    </row>
    <row r="85" spans="1:8" ht="20.100000000000001" customHeight="1">
      <c r="A85" s="621"/>
      <c r="B85" s="678"/>
      <c r="C85" s="623"/>
      <c r="D85" s="679"/>
      <c r="E85" s="625"/>
      <c r="F85" s="626"/>
      <c r="G85" s="627"/>
      <c r="H85" s="634" t="str">
        <f t="shared" si="2"/>
        <v/>
      </c>
    </row>
    <row r="86" spans="1:8" ht="20.100000000000001" customHeight="1">
      <c r="A86" s="621"/>
      <c r="B86" s="678"/>
      <c r="C86" s="623"/>
      <c r="D86" s="679"/>
      <c r="E86" s="625"/>
      <c r="F86" s="626"/>
      <c r="G86" s="627"/>
      <c r="H86" s="634" t="str">
        <f t="shared" si="2"/>
        <v/>
      </c>
    </row>
    <row r="87" spans="1:8" ht="20.100000000000001" customHeight="1">
      <c r="A87" s="621"/>
      <c r="B87" s="678"/>
      <c r="C87" s="623"/>
      <c r="D87" s="679"/>
      <c r="E87" s="625"/>
      <c r="F87" s="626"/>
      <c r="G87" s="627"/>
      <c r="H87" s="634" t="str">
        <f t="shared" si="2"/>
        <v/>
      </c>
    </row>
    <row r="88" spans="1:8" ht="20.100000000000001" customHeight="1">
      <c r="A88" s="621"/>
      <c r="B88" s="678"/>
      <c r="C88" s="623"/>
      <c r="D88" s="679"/>
      <c r="E88" s="625"/>
      <c r="F88" s="626"/>
      <c r="G88" s="627"/>
      <c r="H88" s="634" t="str">
        <f t="shared" si="2"/>
        <v/>
      </c>
    </row>
    <row r="89" spans="1:8" ht="20.100000000000001" customHeight="1">
      <c r="A89" s="621"/>
      <c r="B89" s="678"/>
      <c r="C89" s="623"/>
      <c r="D89" s="679"/>
      <c r="E89" s="625"/>
      <c r="F89" s="626"/>
      <c r="G89" s="627"/>
      <c r="H89" s="634" t="str">
        <f t="shared" si="2"/>
        <v/>
      </c>
    </row>
    <row r="90" spans="1:8" ht="20.100000000000001" customHeight="1">
      <c r="A90" s="621"/>
      <c r="B90" s="678"/>
      <c r="C90" s="623"/>
      <c r="D90" s="679"/>
      <c r="E90" s="625"/>
      <c r="F90" s="626"/>
      <c r="G90" s="627"/>
      <c r="H90" s="634" t="str">
        <f t="shared" si="2"/>
        <v/>
      </c>
    </row>
    <row r="91" spans="1:8" ht="20.100000000000001" customHeight="1">
      <c r="A91" s="621"/>
      <c r="B91" s="678"/>
      <c r="C91" s="623"/>
      <c r="D91" s="679"/>
      <c r="E91" s="625"/>
      <c r="F91" s="626"/>
      <c r="G91" s="627"/>
      <c r="H91" s="634" t="str">
        <f t="shared" si="2"/>
        <v/>
      </c>
    </row>
    <row r="92" spans="1:8" ht="20.100000000000001" customHeight="1">
      <c r="A92" s="621"/>
      <c r="B92" s="678"/>
      <c r="C92" s="623"/>
      <c r="D92" s="679"/>
      <c r="E92" s="625"/>
      <c r="F92" s="626"/>
      <c r="G92" s="627"/>
      <c r="H92" s="634" t="str">
        <f t="shared" si="2"/>
        <v/>
      </c>
    </row>
    <row r="93" spans="1:8" ht="20.100000000000001" customHeight="1">
      <c r="A93" s="621"/>
      <c r="B93" s="678"/>
      <c r="C93" s="623"/>
      <c r="D93" s="679"/>
      <c r="E93" s="625"/>
      <c r="F93" s="626"/>
      <c r="G93" s="627"/>
      <c r="H93" s="634" t="str">
        <f t="shared" si="2"/>
        <v/>
      </c>
    </row>
    <row r="94" spans="1:8" ht="20.100000000000001" customHeight="1">
      <c r="A94" s="621"/>
      <c r="B94" s="678"/>
      <c r="C94" s="623"/>
      <c r="D94" s="679"/>
      <c r="E94" s="625"/>
      <c r="F94" s="626"/>
      <c r="G94" s="627"/>
      <c r="H94" s="634" t="str">
        <f t="shared" si="2"/>
        <v/>
      </c>
    </row>
    <row r="95" spans="1:8" ht="20.100000000000001" customHeight="1">
      <c r="A95" s="621"/>
      <c r="B95" s="678"/>
      <c r="C95" s="623"/>
      <c r="D95" s="679"/>
      <c r="E95" s="625"/>
      <c r="F95" s="626"/>
      <c r="G95" s="627"/>
      <c r="H95" s="634" t="str">
        <f t="shared" si="2"/>
        <v/>
      </c>
    </row>
    <row r="96" spans="1:8" ht="20.100000000000001" customHeight="1">
      <c r="A96" s="621"/>
      <c r="B96" s="678"/>
      <c r="C96" s="623"/>
      <c r="D96" s="679"/>
      <c r="E96" s="625"/>
      <c r="F96" s="626"/>
      <c r="G96" s="627"/>
      <c r="H96" s="634" t="str">
        <f t="shared" si="2"/>
        <v/>
      </c>
    </row>
    <row r="97" spans="1:8" ht="20.100000000000001" customHeight="1">
      <c r="A97" s="621"/>
      <c r="B97" s="678"/>
      <c r="C97" s="623"/>
      <c r="D97" s="679"/>
      <c r="E97" s="625"/>
      <c r="F97" s="626"/>
      <c r="G97" s="627"/>
      <c r="H97" s="634" t="str">
        <f t="shared" si="2"/>
        <v/>
      </c>
    </row>
    <row r="98" spans="1:8" ht="20.100000000000001" customHeight="1">
      <c r="A98" s="621"/>
      <c r="B98" s="678"/>
      <c r="C98" s="623"/>
      <c r="D98" s="679"/>
      <c r="E98" s="625"/>
      <c r="F98" s="650"/>
      <c r="G98" s="651"/>
      <c r="H98" s="653" t="str">
        <f t="shared" si="2"/>
        <v/>
      </c>
    </row>
    <row r="99" spans="1:8" ht="20.100000000000001" customHeight="1">
      <c r="A99" s="621"/>
      <c r="B99" s="1133" t="s">
        <v>282</v>
      </c>
      <c r="C99" s="1134"/>
      <c r="D99" s="1135"/>
      <c r="E99" s="640"/>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B100:D100"/>
    <mergeCell ref="A1:H1"/>
    <mergeCell ref="B3:D3"/>
    <mergeCell ref="B4:D4"/>
    <mergeCell ref="B99:D99"/>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290</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 t="shared" ref="H5:H36" si="0">IF(OR(F5&lt;&gt;"",G5&lt;&gt;""),H4+F5-G5,"")</f>
        <v/>
      </c>
    </row>
    <row r="6" spans="1:8" ht="20.100000000000001" customHeight="1">
      <c r="A6" s="621"/>
      <c r="B6" s="678"/>
      <c r="C6" s="623"/>
      <c r="D6" s="679"/>
      <c r="E6" s="625"/>
      <c r="F6" s="626"/>
      <c r="G6" s="627"/>
      <c r="H6" s="634" t="str">
        <f t="shared" si="0"/>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ref="H37:H68" si="1">IF(OR(F37&lt;&gt;"",G37&lt;&gt;""),H36+F37-G37,"")</f>
        <v/>
      </c>
    </row>
    <row r="38" spans="1:8" ht="20.100000000000001" customHeight="1">
      <c r="A38" s="621"/>
      <c r="B38" s="678"/>
      <c r="C38" s="623"/>
      <c r="D38" s="679"/>
      <c r="E38" s="625"/>
      <c r="F38" s="626"/>
      <c r="G38" s="627"/>
      <c r="H38" s="634" t="str">
        <f t="shared" si="1"/>
        <v/>
      </c>
    </row>
    <row r="39" spans="1:8" ht="20.100000000000001" customHeight="1">
      <c r="A39" s="621"/>
      <c r="B39" s="678"/>
      <c r="C39" s="623"/>
      <c r="D39" s="679"/>
      <c r="E39" s="625"/>
      <c r="F39" s="626"/>
      <c r="G39" s="627"/>
      <c r="H39" s="634" t="str">
        <f t="shared" si="1"/>
        <v/>
      </c>
    </row>
    <row r="40" spans="1:8" ht="20.100000000000001" customHeight="1">
      <c r="A40" s="621"/>
      <c r="B40" s="678"/>
      <c r="C40" s="623"/>
      <c r="D40" s="679"/>
      <c r="E40" s="625"/>
      <c r="F40" s="626"/>
      <c r="G40" s="627"/>
      <c r="H40" s="634" t="str">
        <f t="shared" si="1"/>
        <v/>
      </c>
    </row>
    <row r="41" spans="1:8" ht="20.100000000000001" customHeight="1">
      <c r="A41" s="621"/>
      <c r="B41" s="678"/>
      <c r="C41" s="623"/>
      <c r="D41" s="679"/>
      <c r="E41" s="625"/>
      <c r="F41" s="626"/>
      <c r="G41" s="627"/>
      <c r="H41" s="634" t="str">
        <f t="shared" si="1"/>
        <v/>
      </c>
    </row>
    <row r="42" spans="1:8" ht="20.100000000000001" customHeight="1">
      <c r="A42" s="621"/>
      <c r="B42" s="678"/>
      <c r="C42" s="623"/>
      <c r="D42" s="679"/>
      <c r="E42" s="625"/>
      <c r="F42" s="626"/>
      <c r="G42" s="627"/>
      <c r="H42" s="634" t="str">
        <f t="shared" si="1"/>
        <v/>
      </c>
    </row>
    <row r="43" spans="1:8" ht="20.100000000000001" customHeight="1">
      <c r="A43" s="621"/>
      <c r="B43" s="678"/>
      <c r="C43" s="623"/>
      <c r="D43" s="679"/>
      <c r="E43" s="625"/>
      <c r="F43" s="626"/>
      <c r="G43" s="627"/>
      <c r="H43" s="634" t="str">
        <f t="shared" si="1"/>
        <v/>
      </c>
    </row>
    <row r="44" spans="1:8" ht="20.100000000000001" customHeight="1">
      <c r="A44" s="621"/>
      <c r="B44" s="678"/>
      <c r="C44" s="623"/>
      <c r="D44" s="679"/>
      <c r="E44" s="625"/>
      <c r="F44" s="626"/>
      <c r="G44" s="627"/>
      <c r="H44" s="634" t="str">
        <f t="shared" si="1"/>
        <v/>
      </c>
    </row>
    <row r="45" spans="1:8" ht="20.100000000000001" customHeight="1">
      <c r="A45" s="621"/>
      <c r="B45" s="678"/>
      <c r="C45" s="623"/>
      <c r="D45" s="679"/>
      <c r="E45" s="625"/>
      <c r="F45" s="626"/>
      <c r="G45" s="627"/>
      <c r="H45" s="634" t="str">
        <f t="shared" si="1"/>
        <v/>
      </c>
    </row>
    <row r="46" spans="1:8" ht="20.100000000000001" customHeight="1">
      <c r="A46" s="621"/>
      <c r="B46" s="678"/>
      <c r="C46" s="623"/>
      <c r="D46" s="679"/>
      <c r="E46" s="625"/>
      <c r="F46" s="626"/>
      <c r="G46" s="627"/>
      <c r="H46" s="634" t="str">
        <f t="shared" si="1"/>
        <v/>
      </c>
    </row>
    <row r="47" spans="1:8" ht="20.100000000000001" customHeight="1">
      <c r="A47" s="621"/>
      <c r="B47" s="678"/>
      <c r="C47" s="623"/>
      <c r="D47" s="679"/>
      <c r="E47" s="625"/>
      <c r="F47" s="626"/>
      <c r="G47" s="627"/>
      <c r="H47" s="634" t="str">
        <f t="shared" si="1"/>
        <v/>
      </c>
    </row>
    <row r="48" spans="1:8" ht="20.100000000000001" customHeight="1">
      <c r="A48" s="621"/>
      <c r="B48" s="678"/>
      <c r="C48" s="623"/>
      <c r="D48" s="679"/>
      <c r="E48" s="625"/>
      <c r="F48" s="626"/>
      <c r="G48" s="627"/>
      <c r="H48" s="634" t="str">
        <f t="shared" si="1"/>
        <v/>
      </c>
    </row>
    <row r="49" spans="1:8" ht="20.100000000000001" customHeight="1">
      <c r="A49" s="621"/>
      <c r="B49" s="678"/>
      <c r="C49" s="623"/>
      <c r="D49" s="679"/>
      <c r="E49" s="625"/>
      <c r="F49" s="626"/>
      <c r="G49" s="627"/>
      <c r="H49" s="634" t="str">
        <f t="shared" si="1"/>
        <v/>
      </c>
    </row>
    <row r="50" spans="1:8" ht="20.100000000000001" customHeight="1">
      <c r="A50" s="621"/>
      <c r="B50" s="678"/>
      <c r="C50" s="623"/>
      <c r="D50" s="679"/>
      <c r="E50" s="625"/>
      <c r="F50" s="626"/>
      <c r="G50" s="627"/>
      <c r="H50" s="634" t="str">
        <f t="shared" si="1"/>
        <v/>
      </c>
    </row>
    <row r="51" spans="1:8" ht="20.100000000000001" customHeight="1">
      <c r="A51" s="621"/>
      <c r="B51" s="678"/>
      <c r="C51" s="623"/>
      <c r="D51" s="679"/>
      <c r="E51" s="625"/>
      <c r="F51" s="626"/>
      <c r="G51" s="627"/>
      <c r="H51" s="634" t="str">
        <f t="shared" si="1"/>
        <v/>
      </c>
    </row>
    <row r="52" spans="1:8" ht="20.100000000000001" customHeight="1">
      <c r="A52" s="621"/>
      <c r="B52" s="678"/>
      <c r="C52" s="623"/>
      <c r="D52" s="679"/>
      <c r="E52" s="625"/>
      <c r="F52" s="626"/>
      <c r="G52" s="627"/>
      <c r="H52" s="634" t="str">
        <f t="shared" si="1"/>
        <v/>
      </c>
    </row>
    <row r="53" spans="1:8" ht="20.100000000000001" customHeight="1">
      <c r="A53" s="621"/>
      <c r="B53" s="678"/>
      <c r="C53" s="623"/>
      <c r="D53" s="679"/>
      <c r="E53" s="625"/>
      <c r="F53" s="626"/>
      <c r="G53" s="627"/>
      <c r="H53" s="634" t="str">
        <f t="shared" si="1"/>
        <v/>
      </c>
    </row>
    <row r="54" spans="1:8" ht="20.100000000000001" customHeight="1">
      <c r="A54" s="621"/>
      <c r="B54" s="678"/>
      <c r="C54" s="623"/>
      <c r="D54" s="679"/>
      <c r="E54" s="625"/>
      <c r="F54" s="626"/>
      <c r="G54" s="627"/>
      <c r="H54" s="634" t="str">
        <f t="shared" si="1"/>
        <v/>
      </c>
    </row>
    <row r="55" spans="1:8" ht="20.100000000000001" customHeight="1">
      <c r="A55" s="621"/>
      <c r="B55" s="678"/>
      <c r="C55" s="623"/>
      <c r="D55" s="679"/>
      <c r="E55" s="625"/>
      <c r="F55" s="626"/>
      <c r="G55" s="627"/>
      <c r="H55" s="634" t="str">
        <f t="shared" si="1"/>
        <v/>
      </c>
    </row>
    <row r="56" spans="1:8" ht="20.100000000000001" customHeight="1">
      <c r="A56" s="621"/>
      <c r="B56" s="678"/>
      <c r="C56" s="623"/>
      <c r="D56" s="679"/>
      <c r="E56" s="625"/>
      <c r="F56" s="626"/>
      <c r="G56" s="627"/>
      <c r="H56" s="634" t="str">
        <f t="shared" si="1"/>
        <v/>
      </c>
    </row>
    <row r="57" spans="1:8" ht="20.100000000000001" customHeight="1">
      <c r="A57" s="621"/>
      <c r="B57" s="678"/>
      <c r="C57" s="623"/>
      <c r="D57" s="679"/>
      <c r="E57" s="625"/>
      <c r="F57" s="626"/>
      <c r="G57" s="627"/>
      <c r="H57" s="634" t="str">
        <f t="shared" si="1"/>
        <v/>
      </c>
    </row>
    <row r="58" spans="1:8" ht="20.100000000000001" customHeight="1">
      <c r="A58" s="621"/>
      <c r="B58" s="678"/>
      <c r="C58" s="623"/>
      <c r="D58" s="679"/>
      <c r="E58" s="625"/>
      <c r="F58" s="626"/>
      <c r="G58" s="627"/>
      <c r="H58" s="634" t="str">
        <f t="shared" si="1"/>
        <v/>
      </c>
    </row>
    <row r="59" spans="1:8" ht="20.100000000000001" customHeight="1">
      <c r="A59" s="621"/>
      <c r="B59" s="678"/>
      <c r="C59" s="623"/>
      <c r="D59" s="679"/>
      <c r="E59" s="625"/>
      <c r="F59" s="626"/>
      <c r="G59" s="627"/>
      <c r="H59" s="634" t="str">
        <f t="shared" si="1"/>
        <v/>
      </c>
    </row>
    <row r="60" spans="1:8" ht="20.100000000000001" customHeight="1">
      <c r="A60" s="621"/>
      <c r="B60" s="678"/>
      <c r="C60" s="623"/>
      <c r="D60" s="679"/>
      <c r="E60" s="625"/>
      <c r="F60" s="626"/>
      <c r="G60" s="627"/>
      <c r="H60" s="634" t="str">
        <f t="shared" si="1"/>
        <v/>
      </c>
    </row>
    <row r="61" spans="1:8" ht="20.100000000000001" customHeight="1">
      <c r="A61" s="621"/>
      <c r="B61" s="678"/>
      <c r="C61" s="623"/>
      <c r="D61" s="679"/>
      <c r="E61" s="625"/>
      <c r="F61" s="626"/>
      <c r="G61" s="627"/>
      <c r="H61" s="634" t="str">
        <f t="shared" si="1"/>
        <v/>
      </c>
    </row>
    <row r="62" spans="1:8" ht="20.100000000000001" customHeight="1">
      <c r="A62" s="621"/>
      <c r="B62" s="678"/>
      <c r="C62" s="623"/>
      <c r="D62" s="679"/>
      <c r="E62" s="625"/>
      <c r="F62" s="626"/>
      <c r="G62" s="627"/>
      <c r="H62" s="634" t="str">
        <f t="shared" si="1"/>
        <v/>
      </c>
    </row>
    <row r="63" spans="1:8" ht="20.100000000000001" customHeight="1">
      <c r="A63" s="621"/>
      <c r="B63" s="678"/>
      <c r="C63" s="623"/>
      <c r="D63" s="679"/>
      <c r="E63" s="625"/>
      <c r="F63" s="626"/>
      <c r="G63" s="627"/>
      <c r="H63" s="634" t="str">
        <f t="shared" si="1"/>
        <v/>
      </c>
    </row>
    <row r="64" spans="1:8" ht="20.100000000000001" customHeight="1">
      <c r="A64" s="621"/>
      <c r="B64" s="678"/>
      <c r="C64" s="623"/>
      <c r="D64" s="679"/>
      <c r="E64" s="625"/>
      <c r="F64" s="626"/>
      <c r="G64" s="627"/>
      <c r="H64" s="634" t="str">
        <f t="shared" si="1"/>
        <v/>
      </c>
    </row>
    <row r="65" spans="1:8" ht="20.100000000000001" customHeight="1">
      <c r="A65" s="621"/>
      <c r="B65" s="678"/>
      <c r="C65" s="623"/>
      <c r="D65" s="679"/>
      <c r="E65" s="625"/>
      <c r="F65" s="626"/>
      <c r="G65" s="627"/>
      <c r="H65" s="634" t="str">
        <f t="shared" si="1"/>
        <v/>
      </c>
    </row>
    <row r="66" spans="1:8" ht="20.100000000000001" customHeight="1">
      <c r="A66" s="621"/>
      <c r="B66" s="678"/>
      <c r="C66" s="623"/>
      <c r="D66" s="679"/>
      <c r="E66" s="625"/>
      <c r="F66" s="626"/>
      <c r="G66" s="627"/>
      <c r="H66" s="634" t="str">
        <f t="shared" si="1"/>
        <v/>
      </c>
    </row>
    <row r="67" spans="1:8" ht="20.100000000000001" customHeight="1">
      <c r="A67" s="621"/>
      <c r="B67" s="678"/>
      <c r="C67" s="623"/>
      <c r="D67" s="679"/>
      <c r="E67" s="625"/>
      <c r="F67" s="626"/>
      <c r="G67" s="627"/>
      <c r="H67" s="634" t="str">
        <f t="shared" si="1"/>
        <v/>
      </c>
    </row>
    <row r="68" spans="1:8" ht="20.100000000000001" customHeight="1">
      <c r="A68" s="621"/>
      <c r="B68" s="678"/>
      <c r="C68" s="623"/>
      <c r="D68" s="679"/>
      <c r="E68" s="625"/>
      <c r="F68" s="626"/>
      <c r="G68" s="627"/>
      <c r="H68" s="634" t="str">
        <f t="shared" si="1"/>
        <v/>
      </c>
    </row>
    <row r="69" spans="1:8" ht="20.100000000000001" customHeight="1">
      <c r="A69" s="621"/>
      <c r="B69" s="678"/>
      <c r="C69" s="623"/>
      <c r="D69" s="679"/>
      <c r="E69" s="625"/>
      <c r="F69" s="626"/>
      <c r="G69" s="627"/>
      <c r="H69" s="634" t="str">
        <f t="shared" ref="H69:H98" si="2">IF(OR(F69&lt;&gt;"",G69&lt;&gt;""),H68+F69-G69,"")</f>
        <v/>
      </c>
    </row>
    <row r="70" spans="1:8" ht="20.100000000000001" customHeight="1">
      <c r="A70" s="621"/>
      <c r="B70" s="678"/>
      <c r="C70" s="623"/>
      <c r="D70" s="679"/>
      <c r="E70" s="625"/>
      <c r="F70" s="626"/>
      <c r="G70" s="627"/>
      <c r="H70" s="634" t="str">
        <f t="shared" si="2"/>
        <v/>
      </c>
    </row>
    <row r="71" spans="1:8" ht="20.100000000000001" customHeight="1">
      <c r="A71" s="621"/>
      <c r="B71" s="678"/>
      <c r="C71" s="623"/>
      <c r="D71" s="679"/>
      <c r="E71" s="625"/>
      <c r="F71" s="626"/>
      <c r="G71" s="627"/>
      <c r="H71" s="634" t="str">
        <f t="shared" si="2"/>
        <v/>
      </c>
    </row>
    <row r="72" spans="1:8" ht="20.100000000000001" customHeight="1">
      <c r="A72" s="621"/>
      <c r="B72" s="678"/>
      <c r="C72" s="623"/>
      <c r="D72" s="679"/>
      <c r="E72" s="625"/>
      <c r="F72" s="626"/>
      <c r="G72" s="627"/>
      <c r="H72" s="634" t="str">
        <f t="shared" si="2"/>
        <v/>
      </c>
    </row>
    <row r="73" spans="1:8" ht="20.100000000000001" customHeight="1">
      <c r="A73" s="621"/>
      <c r="B73" s="678"/>
      <c r="C73" s="623"/>
      <c r="D73" s="679"/>
      <c r="E73" s="625"/>
      <c r="F73" s="626"/>
      <c r="G73" s="627"/>
      <c r="H73" s="634" t="str">
        <f t="shared" si="2"/>
        <v/>
      </c>
    </row>
    <row r="74" spans="1:8" ht="20.100000000000001" customHeight="1">
      <c r="A74" s="621"/>
      <c r="B74" s="678"/>
      <c r="C74" s="623"/>
      <c r="D74" s="679"/>
      <c r="E74" s="625"/>
      <c r="F74" s="626"/>
      <c r="G74" s="627"/>
      <c r="H74" s="634" t="str">
        <f t="shared" si="2"/>
        <v/>
      </c>
    </row>
    <row r="75" spans="1:8" ht="20.100000000000001" customHeight="1">
      <c r="A75" s="621"/>
      <c r="B75" s="678"/>
      <c r="C75" s="623"/>
      <c r="D75" s="679"/>
      <c r="E75" s="625"/>
      <c r="F75" s="626"/>
      <c r="G75" s="627"/>
      <c r="H75" s="634" t="str">
        <f t="shared" si="2"/>
        <v/>
      </c>
    </row>
    <row r="76" spans="1:8" ht="20.100000000000001" customHeight="1">
      <c r="A76" s="621"/>
      <c r="B76" s="678"/>
      <c r="C76" s="623"/>
      <c r="D76" s="679"/>
      <c r="E76" s="625"/>
      <c r="F76" s="626"/>
      <c r="G76" s="627"/>
      <c r="H76" s="634" t="str">
        <f t="shared" si="2"/>
        <v/>
      </c>
    </row>
    <row r="77" spans="1:8" ht="20.100000000000001" customHeight="1">
      <c r="A77" s="621"/>
      <c r="B77" s="678"/>
      <c r="C77" s="623"/>
      <c r="D77" s="679"/>
      <c r="E77" s="625"/>
      <c r="F77" s="626"/>
      <c r="G77" s="627"/>
      <c r="H77" s="634" t="str">
        <f t="shared" si="2"/>
        <v/>
      </c>
    </row>
    <row r="78" spans="1:8" ht="20.100000000000001" customHeight="1">
      <c r="A78" s="621"/>
      <c r="B78" s="678"/>
      <c r="C78" s="623"/>
      <c r="D78" s="679"/>
      <c r="E78" s="625"/>
      <c r="F78" s="626"/>
      <c r="G78" s="627"/>
      <c r="H78" s="634" t="str">
        <f t="shared" si="2"/>
        <v/>
      </c>
    </row>
    <row r="79" spans="1:8" ht="20.100000000000001" customHeight="1">
      <c r="A79" s="621"/>
      <c r="B79" s="678"/>
      <c r="C79" s="623"/>
      <c r="D79" s="679"/>
      <c r="E79" s="625"/>
      <c r="F79" s="626"/>
      <c r="G79" s="627"/>
      <c r="H79" s="634" t="str">
        <f t="shared" si="2"/>
        <v/>
      </c>
    </row>
    <row r="80" spans="1:8" ht="20.100000000000001" customHeight="1">
      <c r="A80" s="621"/>
      <c r="B80" s="678"/>
      <c r="C80" s="623"/>
      <c r="D80" s="679"/>
      <c r="E80" s="625"/>
      <c r="F80" s="626"/>
      <c r="G80" s="627"/>
      <c r="H80" s="634" t="str">
        <f t="shared" si="2"/>
        <v/>
      </c>
    </row>
    <row r="81" spans="1:8" ht="20.100000000000001" customHeight="1">
      <c r="A81" s="621"/>
      <c r="B81" s="678"/>
      <c r="C81" s="623"/>
      <c r="D81" s="679"/>
      <c r="E81" s="625"/>
      <c r="F81" s="626"/>
      <c r="G81" s="627"/>
      <c r="H81" s="634" t="str">
        <f t="shared" si="2"/>
        <v/>
      </c>
    </row>
    <row r="82" spans="1:8" ht="20.100000000000001" customHeight="1">
      <c r="A82" s="621"/>
      <c r="B82" s="678"/>
      <c r="C82" s="623"/>
      <c r="D82" s="679"/>
      <c r="E82" s="625"/>
      <c r="F82" s="626"/>
      <c r="G82" s="627"/>
      <c r="H82" s="634" t="str">
        <f t="shared" si="2"/>
        <v/>
      </c>
    </row>
    <row r="83" spans="1:8" ht="20.100000000000001" customHeight="1">
      <c r="A83" s="621"/>
      <c r="B83" s="678"/>
      <c r="C83" s="623"/>
      <c r="D83" s="679"/>
      <c r="E83" s="625"/>
      <c r="F83" s="626"/>
      <c r="G83" s="627"/>
      <c r="H83" s="634" t="str">
        <f t="shared" si="2"/>
        <v/>
      </c>
    </row>
    <row r="84" spans="1:8" ht="20.100000000000001" customHeight="1">
      <c r="A84" s="621"/>
      <c r="B84" s="678"/>
      <c r="C84" s="623"/>
      <c r="D84" s="679"/>
      <c r="E84" s="625"/>
      <c r="F84" s="626"/>
      <c r="G84" s="627"/>
      <c r="H84" s="634" t="str">
        <f t="shared" si="2"/>
        <v/>
      </c>
    </row>
    <row r="85" spans="1:8" ht="20.100000000000001" customHeight="1">
      <c r="A85" s="621"/>
      <c r="B85" s="678"/>
      <c r="C85" s="623"/>
      <c r="D85" s="679"/>
      <c r="E85" s="625"/>
      <c r="F85" s="626"/>
      <c r="G85" s="627"/>
      <c r="H85" s="634" t="str">
        <f t="shared" si="2"/>
        <v/>
      </c>
    </row>
    <row r="86" spans="1:8" ht="20.100000000000001" customHeight="1">
      <c r="A86" s="621"/>
      <c r="B86" s="678"/>
      <c r="C86" s="623"/>
      <c r="D86" s="679"/>
      <c r="E86" s="625"/>
      <c r="F86" s="626"/>
      <c r="G86" s="627"/>
      <c r="H86" s="634" t="str">
        <f t="shared" si="2"/>
        <v/>
      </c>
    </row>
    <row r="87" spans="1:8" ht="20.100000000000001" customHeight="1">
      <c r="A87" s="621"/>
      <c r="B87" s="678"/>
      <c r="C87" s="623"/>
      <c r="D87" s="679"/>
      <c r="E87" s="625"/>
      <c r="F87" s="626"/>
      <c r="G87" s="627"/>
      <c r="H87" s="634" t="str">
        <f t="shared" si="2"/>
        <v/>
      </c>
    </row>
    <row r="88" spans="1:8" ht="20.100000000000001" customHeight="1">
      <c r="A88" s="621"/>
      <c r="B88" s="678"/>
      <c r="C88" s="623"/>
      <c r="D88" s="679"/>
      <c r="E88" s="625"/>
      <c r="F88" s="626"/>
      <c r="G88" s="627"/>
      <c r="H88" s="634" t="str">
        <f t="shared" si="2"/>
        <v/>
      </c>
    </row>
    <row r="89" spans="1:8" ht="20.100000000000001" customHeight="1">
      <c r="A89" s="621"/>
      <c r="B89" s="678"/>
      <c r="C89" s="623"/>
      <c r="D89" s="679"/>
      <c r="E89" s="625"/>
      <c r="F89" s="626"/>
      <c r="G89" s="627"/>
      <c r="H89" s="634" t="str">
        <f t="shared" si="2"/>
        <v/>
      </c>
    </row>
    <row r="90" spans="1:8" ht="20.100000000000001" customHeight="1">
      <c r="A90" s="621"/>
      <c r="B90" s="678"/>
      <c r="C90" s="623"/>
      <c r="D90" s="679"/>
      <c r="E90" s="625"/>
      <c r="F90" s="626"/>
      <c r="G90" s="627"/>
      <c r="H90" s="634" t="str">
        <f t="shared" si="2"/>
        <v/>
      </c>
    </row>
    <row r="91" spans="1:8" ht="20.100000000000001" customHeight="1">
      <c r="A91" s="621"/>
      <c r="B91" s="678"/>
      <c r="C91" s="623"/>
      <c r="D91" s="679"/>
      <c r="E91" s="625"/>
      <c r="F91" s="626"/>
      <c r="G91" s="627"/>
      <c r="H91" s="634" t="str">
        <f t="shared" si="2"/>
        <v/>
      </c>
    </row>
    <row r="92" spans="1:8" ht="20.100000000000001" customHeight="1">
      <c r="A92" s="621"/>
      <c r="B92" s="678"/>
      <c r="C92" s="623"/>
      <c r="D92" s="679"/>
      <c r="E92" s="625"/>
      <c r="F92" s="626"/>
      <c r="G92" s="627"/>
      <c r="H92" s="634" t="str">
        <f t="shared" si="2"/>
        <v/>
      </c>
    </row>
    <row r="93" spans="1:8" ht="20.100000000000001" customHeight="1">
      <c r="A93" s="621"/>
      <c r="B93" s="678"/>
      <c r="C93" s="623"/>
      <c r="D93" s="679"/>
      <c r="E93" s="625"/>
      <c r="F93" s="626"/>
      <c r="G93" s="627"/>
      <c r="H93" s="634" t="str">
        <f t="shared" si="2"/>
        <v/>
      </c>
    </row>
    <row r="94" spans="1:8" ht="20.100000000000001" customHeight="1">
      <c r="A94" s="621"/>
      <c r="B94" s="678"/>
      <c r="C94" s="623"/>
      <c r="D94" s="679"/>
      <c r="E94" s="625"/>
      <c r="F94" s="626"/>
      <c r="G94" s="627"/>
      <c r="H94" s="634" t="str">
        <f t="shared" si="2"/>
        <v/>
      </c>
    </row>
    <row r="95" spans="1:8" ht="20.100000000000001" customHeight="1">
      <c r="A95" s="621"/>
      <c r="B95" s="678"/>
      <c r="C95" s="623"/>
      <c r="D95" s="679"/>
      <c r="E95" s="625"/>
      <c r="F95" s="626"/>
      <c r="G95" s="627"/>
      <c r="H95" s="634" t="str">
        <f t="shared" si="2"/>
        <v/>
      </c>
    </row>
    <row r="96" spans="1:8" ht="20.100000000000001" customHeight="1">
      <c r="A96" s="621"/>
      <c r="B96" s="678"/>
      <c r="C96" s="623"/>
      <c r="D96" s="679"/>
      <c r="E96" s="625"/>
      <c r="F96" s="626"/>
      <c r="G96" s="627"/>
      <c r="H96" s="634" t="str">
        <f t="shared" si="2"/>
        <v/>
      </c>
    </row>
    <row r="97" spans="1:8" ht="20.100000000000001" customHeight="1">
      <c r="A97" s="621"/>
      <c r="B97" s="678"/>
      <c r="C97" s="623"/>
      <c r="D97" s="679"/>
      <c r="E97" s="625"/>
      <c r="F97" s="626"/>
      <c r="G97" s="627"/>
      <c r="H97" s="634" t="str">
        <f t="shared" si="2"/>
        <v/>
      </c>
    </row>
    <row r="98" spans="1:8" ht="20.100000000000001" customHeight="1">
      <c r="A98" s="621"/>
      <c r="B98" s="678"/>
      <c r="C98" s="623"/>
      <c r="D98" s="679"/>
      <c r="E98" s="625"/>
      <c r="F98" s="650"/>
      <c r="G98" s="651"/>
      <c r="H98" s="653" t="str">
        <f t="shared" si="2"/>
        <v/>
      </c>
    </row>
    <row r="99" spans="1:8" ht="20.100000000000001" customHeight="1">
      <c r="A99" s="621"/>
      <c r="B99" s="1133" t="s">
        <v>282</v>
      </c>
      <c r="C99" s="1134"/>
      <c r="D99" s="1135"/>
      <c r="E99" s="640"/>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sortState ref="A5:H98">
    <sortCondition ref="A5:A98"/>
  </sortState>
  <mergeCells count="5">
    <mergeCell ref="A1:H1"/>
    <mergeCell ref="B3:D3"/>
    <mergeCell ref="B4:D4"/>
    <mergeCell ref="B99:D99"/>
    <mergeCell ref="B100:D100"/>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CCFFFF"/>
  </sheetPr>
  <dimension ref="A1:H101"/>
  <sheetViews>
    <sheetView showWhiteSpace="0" zoomScale="120" zoomScaleNormal="120" workbookViewId="0">
      <pane ySplit="3" topLeftCell="A4" activePane="bottomLeft" state="frozen"/>
      <selection activeCell="A4" sqref="A4"/>
      <selection pane="bottomLeft" activeCell="A4" sqref="A4"/>
    </sheetView>
  </sheetViews>
  <sheetFormatPr defaultColWidth="8.875" defaultRowHeight="20.100000000000001" customHeight="1"/>
  <cols>
    <col min="1" max="1" width="10.625" style="631" customWidth="1"/>
    <col min="2" max="2" width="16.625" style="632" customWidth="1"/>
    <col min="3" max="3" width="15.625" style="603" customWidth="1"/>
    <col min="4" max="4" width="6.625" style="603" customWidth="1"/>
    <col min="5" max="5" width="12.625" style="618" customWidth="1"/>
    <col min="6" max="8" width="10.625" style="633" customWidth="1"/>
    <col min="9" max="16384" width="8.875" style="603"/>
  </cols>
  <sheetData>
    <row r="1" spans="1:8" ht="32.1" customHeight="1">
      <c r="A1" s="1155" t="s">
        <v>300</v>
      </c>
      <c r="B1" s="1155"/>
      <c r="C1" s="1155"/>
      <c r="D1" s="1155"/>
      <c r="E1" s="1155"/>
      <c r="F1" s="1155"/>
      <c r="G1" s="1155"/>
      <c r="H1" s="1155"/>
    </row>
    <row r="2" spans="1:8" s="612" customFormat="1" ht="12.95" customHeight="1" thickBot="1">
      <c r="A2" s="604"/>
      <c r="B2" s="605"/>
      <c r="C2" s="606"/>
      <c r="D2" s="607"/>
      <c r="E2" s="608"/>
      <c r="F2" s="609"/>
      <c r="G2" s="609"/>
      <c r="H2" s="610"/>
    </row>
    <row r="3" spans="1:8" s="618" customFormat="1" ht="30" customHeight="1" thickTop="1" thickBot="1">
      <c r="A3" s="674">
        <f>設定メニュー!$B$2</f>
        <v>42736</v>
      </c>
      <c r="B3" s="1156" t="s">
        <v>1</v>
      </c>
      <c r="C3" s="1157"/>
      <c r="D3" s="1158"/>
      <c r="E3" s="675" t="s">
        <v>63</v>
      </c>
      <c r="F3" s="676" t="s">
        <v>79</v>
      </c>
      <c r="G3" s="675" t="s">
        <v>80</v>
      </c>
      <c r="H3" s="677" t="s">
        <v>29</v>
      </c>
    </row>
    <row r="4" spans="1:8" ht="20.100000000000001" customHeight="1">
      <c r="A4" s="785">
        <f>設定メニュー!$B$2</f>
        <v>42736</v>
      </c>
      <c r="B4" s="1126" t="s">
        <v>6</v>
      </c>
      <c r="C4" s="1127"/>
      <c r="D4" s="1128"/>
      <c r="E4" s="787"/>
      <c r="F4" s="788">
        <f>VLOOKUP($A$1,合計残高試算表!$A$5:$G$44,2,0)</f>
        <v>0</v>
      </c>
      <c r="G4" s="788">
        <f>VLOOKUP($A$1,合計残高試算表!$A$5:$G$44,3,0)</f>
        <v>0</v>
      </c>
      <c r="H4" s="789">
        <f>F4-G4</f>
        <v>0</v>
      </c>
    </row>
    <row r="5" spans="1:8" ht="20.100000000000001" customHeight="1">
      <c r="A5" s="621"/>
      <c r="B5" s="678"/>
      <c r="C5" s="623"/>
      <c r="D5" s="679"/>
      <c r="E5" s="625"/>
      <c r="F5" s="626"/>
      <c r="G5" s="627"/>
      <c r="H5" s="634" t="str">
        <f>IF(OR(F5&lt;&gt;"",G5&lt;&gt;""),H4+F5-G5,"")</f>
        <v/>
      </c>
    </row>
    <row r="6" spans="1:8" ht="20.100000000000001" customHeight="1">
      <c r="A6" s="621"/>
      <c r="B6" s="678"/>
      <c r="C6" s="623"/>
      <c r="D6" s="679"/>
      <c r="E6" s="625"/>
      <c r="F6" s="626"/>
      <c r="G6" s="627"/>
      <c r="H6" s="634" t="str">
        <f t="shared" ref="H6:H69" si="0">IF(OR(F6&lt;&gt;"",G6&lt;&gt;""),H5+F6-G6,"")</f>
        <v/>
      </c>
    </row>
    <row r="7" spans="1:8" ht="20.100000000000001" customHeight="1">
      <c r="A7" s="621"/>
      <c r="B7" s="678"/>
      <c r="C7" s="623"/>
      <c r="D7" s="679"/>
      <c r="E7" s="625"/>
      <c r="F7" s="626"/>
      <c r="G7" s="627"/>
      <c r="H7" s="634" t="str">
        <f t="shared" si="0"/>
        <v/>
      </c>
    </row>
    <row r="8" spans="1:8" ht="20.100000000000001" customHeight="1">
      <c r="A8" s="621"/>
      <c r="B8" s="678"/>
      <c r="C8" s="623"/>
      <c r="D8" s="679"/>
      <c r="E8" s="625"/>
      <c r="F8" s="626"/>
      <c r="G8" s="627"/>
      <c r="H8" s="634" t="str">
        <f t="shared" si="0"/>
        <v/>
      </c>
    </row>
    <row r="9" spans="1:8" ht="20.100000000000001" customHeight="1">
      <c r="A9" s="621"/>
      <c r="B9" s="678"/>
      <c r="C9" s="623"/>
      <c r="D9" s="679"/>
      <c r="E9" s="625"/>
      <c r="F9" s="626"/>
      <c r="G9" s="627"/>
      <c r="H9" s="634" t="str">
        <f t="shared" si="0"/>
        <v/>
      </c>
    </row>
    <row r="10" spans="1:8" ht="20.100000000000001" customHeight="1">
      <c r="A10" s="621"/>
      <c r="B10" s="678"/>
      <c r="C10" s="623"/>
      <c r="D10" s="679"/>
      <c r="E10" s="625"/>
      <c r="F10" s="626"/>
      <c r="G10" s="627"/>
      <c r="H10" s="634" t="str">
        <f t="shared" si="0"/>
        <v/>
      </c>
    </row>
    <row r="11" spans="1:8" ht="20.100000000000001" customHeight="1">
      <c r="A11" s="621"/>
      <c r="B11" s="678"/>
      <c r="C11" s="623"/>
      <c r="D11" s="679"/>
      <c r="E11" s="625"/>
      <c r="F11" s="626"/>
      <c r="G11" s="627"/>
      <c r="H11" s="634" t="str">
        <f t="shared" si="0"/>
        <v/>
      </c>
    </row>
    <row r="12" spans="1:8" ht="20.100000000000001" customHeight="1">
      <c r="A12" s="621"/>
      <c r="B12" s="678"/>
      <c r="C12" s="623"/>
      <c r="D12" s="679"/>
      <c r="E12" s="625"/>
      <c r="F12" s="626"/>
      <c r="G12" s="627"/>
      <c r="H12" s="634" t="str">
        <f t="shared" si="0"/>
        <v/>
      </c>
    </row>
    <row r="13" spans="1:8" ht="20.100000000000001" customHeight="1">
      <c r="A13" s="621"/>
      <c r="B13" s="678"/>
      <c r="C13" s="623"/>
      <c r="D13" s="679"/>
      <c r="E13" s="625"/>
      <c r="F13" s="626"/>
      <c r="G13" s="627"/>
      <c r="H13" s="634" t="str">
        <f t="shared" si="0"/>
        <v/>
      </c>
    </row>
    <row r="14" spans="1:8" ht="20.100000000000001" customHeight="1">
      <c r="A14" s="621"/>
      <c r="B14" s="678"/>
      <c r="C14" s="623"/>
      <c r="D14" s="679"/>
      <c r="E14" s="625"/>
      <c r="F14" s="626"/>
      <c r="G14" s="627"/>
      <c r="H14" s="634" t="str">
        <f t="shared" si="0"/>
        <v/>
      </c>
    </row>
    <row r="15" spans="1:8" ht="20.100000000000001" customHeight="1">
      <c r="A15" s="621"/>
      <c r="B15" s="678"/>
      <c r="C15" s="623"/>
      <c r="D15" s="679"/>
      <c r="E15" s="625"/>
      <c r="F15" s="626"/>
      <c r="G15" s="627"/>
      <c r="H15" s="634" t="str">
        <f t="shared" si="0"/>
        <v/>
      </c>
    </row>
    <row r="16" spans="1:8" ht="20.100000000000001" customHeight="1">
      <c r="A16" s="621"/>
      <c r="B16" s="678"/>
      <c r="C16" s="623"/>
      <c r="D16" s="679"/>
      <c r="E16" s="625"/>
      <c r="F16" s="626"/>
      <c r="G16" s="627"/>
      <c r="H16" s="634" t="str">
        <f t="shared" si="0"/>
        <v/>
      </c>
    </row>
    <row r="17" spans="1:8" ht="20.100000000000001" customHeight="1">
      <c r="A17" s="621"/>
      <c r="B17" s="678"/>
      <c r="C17" s="623"/>
      <c r="D17" s="679"/>
      <c r="E17" s="625"/>
      <c r="F17" s="626"/>
      <c r="G17" s="627"/>
      <c r="H17" s="634" t="str">
        <f t="shared" si="0"/>
        <v/>
      </c>
    </row>
    <row r="18" spans="1:8" ht="20.100000000000001" customHeight="1">
      <c r="A18" s="621"/>
      <c r="B18" s="678"/>
      <c r="C18" s="623"/>
      <c r="D18" s="679"/>
      <c r="E18" s="625"/>
      <c r="F18" s="626"/>
      <c r="G18" s="627"/>
      <c r="H18" s="634" t="str">
        <f t="shared" si="0"/>
        <v/>
      </c>
    </row>
    <row r="19" spans="1:8" ht="20.100000000000001" customHeight="1">
      <c r="A19" s="621"/>
      <c r="B19" s="678"/>
      <c r="C19" s="623"/>
      <c r="D19" s="679"/>
      <c r="E19" s="625"/>
      <c r="F19" s="626"/>
      <c r="G19" s="627"/>
      <c r="H19" s="634" t="str">
        <f t="shared" si="0"/>
        <v/>
      </c>
    </row>
    <row r="20" spans="1:8" ht="20.100000000000001" customHeight="1">
      <c r="A20" s="621"/>
      <c r="B20" s="678"/>
      <c r="C20" s="623"/>
      <c r="D20" s="679"/>
      <c r="E20" s="625"/>
      <c r="F20" s="626"/>
      <c r="G20" s="627"/>
      <c r="H20" s="634" t="str">
        <f t="shared" si="0"/>
        <v/>
      </c>
    </row>
    <row r="21" spans="1:8" ht="20.100000000000001" customHeight="1">
      <c r="A21" s="621"/>
      <c r="B21" s="678"/>
      <c r="C21" s="623"/>
      <c r="D21" s="679"/>
      <c r="E21" s="625"/>
      <c r="F21" s="626"/>
      <c r="G21" s="627"/>
      <c r="H21" s="634" t="str">
        <f t="shared" si="0"/>
        <v/>
      </c>
    </row>
    <row r="22" spans="1:8" ht="20.100000000000001" customHeight="1">
      <c r="A22" s="621"/>
      <c r="B22" s="678"/>
      <c r="C22" s="623"/>
      <c r="D22" s="679"/>
      <c r="E22" s="625"/>
      <c r="F22" s="626"/>
      <c r="G22" s="627"/>
      <c r="H22" s="634" t="str">
        <f t="shared" si="0"/>
        <v/>
      </c>
    </row>
    <row r="23" spans="1:8" ht="20.100000000000001" customHeight="1">
      <c r="A23" s="621"/>
      <c r="B23" s="678"/>
      <c r="C23" s="623"/>
      <c r="D23" s="679"/>
      <c r="E23" s="625"/>
      <c r="F23" s="626"/>
      <c r="G23" s="627"/>
      <c r="H23" s="634" t="str">
        <f t="shared" si="0"/>
        <v/>
      </c>
    </row>
    <row r="24" spans="1:8" ht="20.100000000000001" customHeight="1">
      <c r="A24" s="621"/>
      <c r="B24" s="678"/>
      <c r="C24" s="623"/>
      <c r="D24" s="679"/>
      <c r="E24" s="625"/>
      <c r="F24" s="626"/>
      <c r="G24" s="627"/>
      <c r="H24" s="634" t="str">
        <f t="shared" si="0"/>
        <v/>
      </c>
    </row>
    <row r="25" spans="1:8" ht="20.100000000000001" customHeight="1">
      <c r="A25" s="621"/>
      <c r="B25" s="678"/>
      <c r="C25" s="623"/>
      <c r="D25" s="679"/>
      <c r="E25" s="625"/>
      <c r="F25" s="626"/>
      <c r="G25" s="627"/>
      <c r="H25" s="634" t="str">
        <f t="shared" si="0"/>
        <v/>
      </c>
    </row>
    <row r="26" spans="1:8" ht="20.100000000000001" customHeight="1">
      <c r="A26" s="621"/>
      <c r="B26" s="678"/>
      <c r="C26" s="623"/>
      <c r="D26" s="679"/>
      <c r="E26" s="625"/>
      <c r="F26" s="626"/>
      <c r="G26" s="627"/>
      <c r="H26" s="634" t="str">
        <f t="shared" si="0"/>
        <v/>
      </c>
    </row>
    <row r="27" spans="1:8" ht="20.100000000000001" customHeight="1">
      <c r="A27" s="621"/>
      <c r="B27" s="678"/>
      <c r="C27" s="623"/>
      <c r="D27" s="679"/>
      <c r="E27" s="625"/>
      <c r="F27" s="626"/>
      <c r="G27" s="627"/>
      <c r="H27" s="634" t="str">
        <f t="shared" si="0"/>
        <v/>
      </c>
    </row>
    <row r="28" spans="1:8" ht="20.100000000000001" customHeight="1">
      <c r="A28" s="621"/>
      <c r="B28" s="678"/>
      <c r="C28" s="623"/>
      <c r="D28" s="679"/>
      <c r="E28" s="625"/>
      <c r="F28" s="626"/>
      <c r="G28" s="627"/>
      <c r="H28" s="634" t="str">
        <f t="shared" si="0"/>
        <v/>
      </c>
    </row>
    <row r="29" spans="1:8" ht="20.100000000000001" customHeight="1">
      <c r="A29" s="621"/>
      <c r="B29" s="678"/>
      <c r="C29" s="623"/>
      <c r="D29" s="679"/>
      <c r="E29" s="625"/>
      <c r="F29" s="626"/>
      <c r="G29" s="627"/>
      <c r="H29" s="634" t="str">
        <f t="shared" si="0"/>
        <v/>
      </c>
    </row>
    <row r="30" spans="1:8" ht="20.100000000000001" customHeight="1">
      <c r="A30" s="621"/>
      <c r="B30" s="678"/>
      <c r="C30" s="623"/>
      <c r="D30" s="679"/>
      <c r="E30" s="625"/>
      <c r="F30" s="626"/>
      <c r="G30" s="627"/>
      <c r="H30" s="634" t="str">
        <f t="shared" si="0"/>
        <v/>
      </c>
    </row>
    <row r="31" spans="1:8" ht="20.100000000000001" customHeight="1">
      <c r="A31" s="621"/>
      <c r="B31" s="678"/>
      <c r="C31" s="623"/>
      <c r="D31" s="679"/>
      <c r="E31" s="625"/>
      <c r="F31" s="626"/>
      <c r="G31" s="627"/>
      <c r="H31" s="634" t="str">
        <f t="shared" si="0"/>
        <v/>
      </c>
    </row>
    <row r="32" spans="1:8" ht="20.100000000000001" customHeight="1">
      <c r="A32" s="621"/>
      <c r="B32" s="678"/>
      <c r="C32" s="623"/>
      <c r="D32" s="679"/>
      <c r="E32" s="625"/>
      <c r="F32" s="626"/>
      <c r="G32" s="627"/>
      <c r="H32" s="634" t="str">
        <f t="shared" si="0"/>
        <v/>
      </c>
    </row>
    <row r="33" spans="1:8" ht="20.100000000000001" customHeight="1">
      <c r="A33" s="621"/>
      <c r="B33" s="678"/>
      <c r="C33" s="623"/>
      <c r="D33" s="679"/>
      <c r="E33" s="625"/>
      <c r="F33" s="626"/>
      <c r="G33" s="627"/>
      <c r="H33" s="634" t="str">
        <f t="shared" si="0"/>
        <v/>
      </c>
    </row>
    <row r="34" spans="1:8" ht="20.100000000000001" customHeight="1">
      <c r="A34" s="621"/>
      <c r="B34" s="678"/>
      <c r="C34" s="623"/>
      <c r="D34" s="679"/>
      <c r="E34" s="625"/>
      <c r="F34" s="626"/>
      <c r="G34" s="627"/>
      <c r="H34" s="634" t="str">
        <f t="shared" si="0"/>
        <v/>
      </c>
    </row>
    <row r="35" spans="1:8" ht="20.100000000000001" customHeight="1">
      <c r="A35" s="621"/>
      <c r="B35" s="678"/>
      <c r="C35" s="623"/>
      <c r="D35" s="679"/>
      <c r="E35" s="625"/>
      <c r="F35" s="626"/>
      <c r="G35" s="627"/>
      <c r="H35" s="634" t="str">
        <f t="shared" si="0"/>
        <v/>
      </c>
    </row>
    <row r="36" spans="1:8" ht="20.100000000000001" customHeight="1">
      <c r="A36" s="621"/>
      <c r="B36" s="678"/>
      <c r="C36" s="623"/>
      <c r="D36" s="679"/>
      <c r="E36" s="625"/>
      <c r="F36" s="626"/>
      <c r="G36" s="627"/>
      <c r="H36" s="634" t="str">
        <f t="shared" si="0"/>
        <v/>
      </c>
    </row>
    <row r="37" spans="1:8" ht="20.100000000000001" customHeight="1">
      <c r="A37" s="621"/>
      <c r="B37" s="678"/>
      <c r="C37" s="623"/>
      <c r="D37" s="679"/>
      <c r="E37" s="625"/>
      <c r="F37" s="626"/>
      <c r="G37" s="627"/>
      <c r="H37" s="634" t="str">
        <f t="shared" si="0"/>
        <v/>
      </c>
    </row>
    <row r="38" spans="1:8" ht="20.100000000000001" customHeight="1">
      <c r="A38" s="621"/>
      <c r="B38" s="678"/>
      <c r="C38" s="623"/>
      <c r="D38" s="679"/>
      <c r="E38" s="625"/>
      <c r="F38" s="626"/>
      <c r="G38" s="627"/>
      <c r="H38" s="634" t="str">
        <f t="shared" si="0"/>
        <v/>
      </c>
    </row>
    <row r="39" spans="1:8" ht="20.100000000000001" customHeight="1">
      <c r="A39" s="621"/>
      <c r="B39" s="678"/>
      <c r="C39" s="623"/>
      <c r="D39" s="679"/>
      <c r="E39" s="625"/>
      <c r="F39" s="626"/>
      <c r="G39" s="627"/>
      <c r="H39" s="634" t="str">
        <f t="shared" si="0"/>
        <v/>
      </c>
    </row>
    <row r="40" spans="1:8" ht="20.100000000000001" customHeight="1">
      <c r="A40" s="621"/>
      <c r="B40" s="678"/>
      <c r="C40" s="623"/>
      <c r="D40" s="679"/>
      <c r="E40" s="625"/>
      <c r="F40" s="626"/>
      <c r="G40" s="627"/>
      <c r="H40" s="634" t="str">
        <f t="shared" si="0"/>
        <v/>
      </c>
    </row>
    <row r="41" spans="1:8" ht="20.100000000000001" customHeight="1">
      <c r="A41" s="621"/>
      <c r="B41" s="678"/>
      <c r="C41" s="623"/>
      <c r="D41" s="679"/>
      <c r="E41" s="625"/>
      <c r="F41" s="626"/>
      <c r="G41" s="627"/>
      <c r="H41" s="634" t="str">
        <f t="shared" si="0"/>
        <v/>
      </c>
    </row>
    <row r="42" spans="1:8" ht="20.100000000000001" customHeight="1">
      <c r="A42" s="621"/>
      <c r="B42" s="678"/>
      <c r="C42" s="623"/>
      <c r="D42" s="679"/>
      <c r="E42" s="625"/>
      <c r="F42" s="626"/>
      <c r="G42" s="627"/>
      <c r="H42" s="634" t="str">
        <f t="shared" si="0"/>
        <v/>
      </c>
    </row>
    <row r="43" spans="1:8" ht="20.100000000000001" customHeight="1">
      <c r="A43" s="621"/>
      <c r="B43" s="678"/>
      <c r="C43" s="623"/>
      <c r="D43" s="679"/>
      <c r="E43" s="625"/>
      <c r="F43" s="626"/>
      <c r="G43" s="627"/>
      <c r="H43" s="634" t="str">
        <f t="shared" si="0"/>
        <v/>
      </c>
    </row>
    <row r="44" spans="1:8" ht="20.100000000000001" customHeight="1">
      <c r="A44" s="621"/>
      <c r="B44" s="678"/>
      <c r="C44" s="623"/>
      <c r="D44" s="679"/>
      <c r="E44" s="625"/>
      <c r="F44" s="626"/>
      <c r="G44" s="627"/>
      <c r="H44" s="634" t="str">
        <f t="shared" si="0"/>
        <v/>
      </c>
    </row>
    <row r="45" spans="1:8" ht="20.100000000000001" customHeight="1">
      <c r="A45" s="621"/>
      <c r="B45" s="678"/>
      <c r="C45" s="623"/>
      <c r="D45" s="679"/>
      <c r="E45" s="625"/>
      <c r="F45" s="626"/>
      <c r="G45" s="627"/>
      <c r="H45" s="634" t="str">
        <f t="shared" si="0"/>
        <v/>
      </c>
    </row>
    <row r="46" spans="1:8" ht="20.100000000000001" customHeight="1">
      <c r="A46" s="621"/>
      <c r="B46" s="678"/>
      <c r="C46" s="623"/>
      <c r="D46" s="679"/>
      <c r="E46" s="625"/>
      <c r="F46" s="626"/>
      <c r="G46" s="627"/>
      <c r="H46" s="634" t="str">
        <f t="shared" si="0"/>
        <v/>
      </c>
    </row>
    <row r="47" spans="1:8" ht="20.100000000000001" customHeight="1">
      <c r="A47" s="621"/>
      <c r="B47" s="678"/>
      <c r="C47" s="623"/>
      <c r="D47" s="679"/>
      <c r="E47" s="625"/>
      <c r="F47" s="626"/>
      <c r="G47" s="627"/>
      <c r="H47" s="634" t="str">
        <f t="shared" si="0"/>
        <v/>
      </c>
    </row>
    <row r="48" spans="1:8" ht="20.100000000000001" customHeight="1">
      <c r="A48" s="621"/>
      <c r="B48" s="678"/>
      <c r="C48" s="623"/>
      <c r="D48" s="679"/>
      <c r="E48" s="625"/>
      <c r="F48" s="626"/>
      <c r="G48" s="627"/>
      <c r="H48" s="634" t="str">
        <f t="shared" si="0"/>
        <v/>
      </c>
    </row>
    <row r="49" spans="1:8" ht="20.100000000000001" customHeight="1">
      <c r="A49" s="621"/>
      <c r="B49" s="678"/>
      <c r="C49" s="623"/>
      <c r="D49" s="679"/>
      <c r="E49" s="625"/>
      <c r="F49" s="626"/>
      <c r="G49" s="627"/>
      <c r="H49" s="634" t="str">
        <f t="shared" si="0"/>
        <v/>
      </c>
    </row>
    <row r="50" spans="1:8" ht="20.100000000000001" customHeight="1">
      <c r="A50" s="621"/>
      <c r="B50" s="678"/>
      <c r="C50" s="623"/>
      <c r="D50" s="679"/>
      <c r="E50" s="625"/>
      <c r="F50" s="626"/>
      <c r="G50" s="627"/>
      <c r="H50" s="634" t="str">
        <f t="shared" si="0"/>
        <v/>
      </c>
    </row>
    <row r="51" spans="1:8" ht="20.100000000000001" customHeight="1">
      <c r="A51" s="621"/>
      <c r="B51" s="678"/>
      <c r="C51" s="623"/>
      <c r="D51" s="679"/>
      <c r="E51" s="625"/>
      <c r="F51" s="626"/>
      <c r="G51" s="627"/>
      <c r="H51" s="634" t="str">
        <f t="shared" si="0"/>
        <v/>
      </c>
    </row>
    <row r="52" spans="1:8" ht="20.100000000000001" customHeight="1">
      <c r="A52" s="621"/>
      <c r="B52" s="678"/>
      <c r="C52" s="623"/>
      <c r="D52" s="679"/>
      <c r="E52" s="625"/>
      <c r="F52" s="626"/>
      <c r="G52" s="627"/>
      <c r="H52" s="634" t="str">
        <f t="shared" si="0"/>
        <v/>
      </c>
    </row>
    <row r="53" spans="1:8" ht="20.100000000000001" customHeight="1">
      <c r="A53" s="621"/>
      <c r="B53" s="678"/>
      <c r="C53" s="623"/>
      <c r="D53" s="679"/>
      <c r="E53" s="625"/>
      <c r="F53" s="626"/>
      <c r="G53" s="627"/>
      <c r="H53" s="634" t="str">
        <f t="shared" si="0"/>
        <v/>
      </c>
    </row>
    <row r="54" spans="1:8" ht="20.100000000000001" customHeight="1">
      <c r="A54" s="621"/>
      <c r="B54" s="678"/>
      <c r="C54" s="623"/>
      <c r="D54" s="679"/>
      <c r="E54" s="625"/>
      <c r="F54" s="626"/>
      <c r="G54" s="627"/>
      <c r="H54" s="634" t="str">
        <f t="shared" si="0"/>
        <v/>
      </c>
    </row>
    <row r="55" spans="1:8" ht="20.100000000000001" customHeight="1">
      <c r="A55" s="621"/>
      <c r="B55" s="678"/>
      <c r="C55" s="623"/>
      <c r="D55" s="679"/>
      <c r="E55" s="625"/>
      <c r="F55" s="626"/>
      <c r="G55" s="627"/>
      <c r="H55" s="634" t="str">
        <f t="shared" si="0"/>
        <v/>
      </c>
    </row>
    <row r="56" spans="1:8" ht="20.100000000000001" customHeight="1">
      <c r="A56" s="621"/>
      <c r="B56" s="678"/>
      <c r="C56" s="623"/>
      <c r="D56" s="679"/>
      <c r="E56" s="625"/>
      <c r="F56" s="626"/>
      <c r="G56" s="627"/>
      <c r="H56" s="634" t="str">
        <f t="shared" si="0"/>
        <v/>
      </c>
    </row>
    <row r="57" spans="1:8" ht="20.100000000000001" customHeight="1">
      <c r="A57" s="621"/>
      <c r="B57" s="678"/>
      <c r="C57" s="623"/>
      <c r="D57" s="679"/>
      <c r="E57" s="625"/>
      <c r="F57" s="626"/>
      <c r="G57" s="627"/>
      <c r="H57" s="634" t="str">
        <f t="shared" si="0"/>
        <v/>
      </c>
    </row>
    <row r="58" spans="1:8" ht="20.100000000000001" customHeight="1">
      <c r="A58" s="621"/>
      <c r="B58" s="678"/>
      <c r="C58" s="623"/>
      <c r="D58" s="679"/>
      <c r="E58" s="625"/>
      <c r="F58" s="626"/>
      <c r="G58" s="627"/>
      <c r="H58" s="634" t="str">
        <f t="shared" si="0"/>
        <v/>
      </c>
    </row>
    <row r="59" spans="1:8" ht="20.100000000000001" customHeight="1">
      <c r="A59" s="621"/>
      <c r="B59" s="678"/>
      <c r="C59" s="623"/>
      <c r="D59" s="679"/>
      <c r="E59" s="625"/>
      <c r="F59" s="626"/>
      <c r="G59" s="627"/>
      <c r="H59" s="634" t="str">
        <f t="shared" si="0"/>
        <v/>
      </c>
    </row>
    <row r="60" spans="1:8" ht="20.100000000000001" customHeight="1">
      <c r="A60" s="621"/>
      <c r="B60" s="678"/>
      <c r="C60" s="623"/>
      <c r="D60" s="679"/>
      <c r="E60" s="625"/>
      <c r="F60" s="626"/>
      <c r="G60" s="627"/>
      <c r="H60" s="634" t="str">
        <f t="shared" si="0"/>
        <v/>
      </c>
    </row>
    <row r="61" spans="1:8" ht="20.100000000000001" customHeight="1">
      <c r="A61" s="621"/>
      <c r="B61" s="678"/>
      <c r="C61" s="623"/>
      <c r="D61" s="679"/>
      <c r="E61" s="625"/>
      <c r="F61" s="626"/>
      <c r="G61" s="627"/>
      <c r="H61" s="634" t="str">
        <f t="shared" si="0"/>
        <v/>
      </c>
    </row>
    <row r="62" spans="1:8" ht="20.100000000000001" customHeight="1">
      <c r="A62" s="621"/>
      <c r="B62" s="678"/>
      <c r="C62" s="623"/>
      <c r="D62" s="679"/>
      <c r="E62" s="625"/>
      <c r="F62" s="626"/>
      <c r="G62" s="627"/>
      <c r="H62" s="634" t="str">
        <f t="shared" si="0"/>
        <v/>
      </c>
    </row>
    <row r="63" spans="1:8" ht="20.100000000000001" customHeight="1">
      <c r="A63" s="621"/>
      <c r="B63" s="678"/>
      <c r="C63" s="623"/>
      <c r="D63" s="679"/>
      <c r="E63" s="625"/>
      <c r="F63" s="626"/>
      <c r="G63" s="627"/>
      <c r="H63" s="634" t="str">
        <f t="shared" si="0"/>
        <v/>
      </c>
    </row>
    <row r="64" spans="1:8" ht="20.100000000000001" customHeight="1">
      <c r="A64" s="621"/>
      <c r="B64" s="678"/>
      <c r="C64" s="623"/>
      <c r="D64" s="679"/>
      <c r="E64" s="625"/>
      <c r="F64" s="626"/>
      <c r="G64" s="627"/>
      <c r="H64" s="634" t="str">
        <f t="shared" si="0"/>
        <v/>
      </c>
    </row>
    <row r="65" spans="1:8" ht="20.100000000000001" customHeight="1">
      <c r="A65" s="621"/>
      <c r="B65" s="678"/>
      <c r="C65" s="623"/>
      <c r="D65" s="679"/>
      <c r="E65" s="625"/>
      <c r="F65" s="626"/>
      <c r="G65" s="627"/>
      <c r="H65" s="634" t="str">
        <f t="shared" si="0"/>
        <v/>
      </c>
    </row>
    <row r="66" spans="1:8" ht="20.100000000000001" customHeight="1">
      <c r="A66" s="621"/>
      <c r="B66" s="678"/>
      <c r="C66" s="623"/>
      <c r="D66" s="679"/>
      <c r="E66" s="625"/>
      <c r="F66" s="626"/>
      <c r="G66" s="627"/>
      <c r="H66" s="634" t="str">
        <f t="shared" si="0"/>
        <v/>
      </c>
    </row>
    <row r="67" spans="1:8" ht="20.100000000000001" customHeight="1">
      <c r="A67" s="621"/>
      <c r="B67" s="678"/>
      <c r="C67" s="623"/>
      <c r="D67" s="679"/>
      <c r="E67" s="625"/>
      <c r="F67" s="626"/>
      <c r="G67" s="627"/>
      <c r="H67" s="634" t="str">
        <f t="shared" si="0"/>
        <v/>
      </c>
    </row>
    <row r="68" spans="1:8" ht="20.100000000000001" customHeight="1">
      <c r="A68" s="621"/>
      <c r="B68" s="678"/>
      <c r="C68" s="623"/>
      <c r="D68" s="679"/>
      <c r="E68" s="625"/>
      <c r="F68" s="626"/>
      <c r="G68" s="627"/>
      <c r="H68" s="634" t="str">
        <f t="shared" si="0"/>
        <v/>
      </c>
    </row>
    <row r="69" spans="1:8" ht="20.100000000000001" customHeight="1">
      <c r="A69" s="621"/>
      <c r="B69" s="678"/>
      <c r="C69" s="623"/>
      <c r="D69" s="679"/>
      <c r="E69" s="625"/>
      <c r="F69" s="626"/>
      <c r="G69" s="627"/>
      <c r="H69" s="634" t="str">
        <f t="shared" si="0"/>
        <v/>
      </c>
    </row>
    <row r="70" spans="1:8" ht="20.100000000000001" customHeight="1">
      <c r="A70" s="621"/>
      <c r="B70" s="678"/>
      <c r="C70" s="623"/>
      <c r="D70" s="679"/>
      <c r="E70" s="625"/>
      <c r="F70" s="626"/>
      <c r="G70" s="627"/>
      <c r="H70" s="634" t="str">
        <f t="shared" ref="H70:H98" si="1">IF(OR(F70&lt;&gt;"",G70&lt;&gt;""),H69+F70-G70,"")</f>
        <v/>
      </c>
    </row>
    <row r="71" spans="1:8" ht="20.100000000000001" customHeight="1">
      <c r="A71" s="621"/>
      <c r="B71" s="678"/>
      <c r="C71" s="623"/>
      <c r="D71" s="679"/>
      <c r="E71" s="625"/>
      <c r="F71" s="626"/>
      <c r="G71" s="627"/>
      <c r="H71" s="634" t="str">
        <f t="shared" si="1"/>
        <v/>
      </c>
    </row>
    <row r="72" spans="1:8" ht="20.100000000000001" customHeight="1">
      <c r="A72" s="621"/>
      <c r="B72" s="678"/>
      <c r="C72" s="623"/>
      <c r="D72" s="679"/>
      <c r="E72" s="625"/>
      <c r="F72" s="626"/>
      <c r="G72" s="627"/>
      <c r="H72" s="634" t="str">
        <f t="shared" si="1"/>
        <v/>
      </c>
    </row>
    <row r="73" spans="1:8" ht="20.100000000000001" customHeight="1">
      <c r="A73" s="621"/>
      <c r="B73" s="678"/>
      <c r="C73" s="623"/>
      <c r="D73" s="679"/>
      <c r="E73" s="625"/>
      <c r="F73" s="626"/>
      <c r="G73" s="627"/>
      <c r="H73" s="634" t="str">
        <f t="shared" si="1"/>
        <v/>
      </c>
    </row>
    <row r="74" spans="1:8" ht="20.100000000000001" customHeight="1">
      <c r="A74" s="621"/>
      <c r="B74" s="678"/>
      <c r="C74" s="623"/>
      <c r="D74" s="679"/>
      <c r="E74" s="625"/>
      <c r="F74" s="626"/>
      <c r="G74" s="627"/>
      <c r="H74" s="634" t="str">
        <f t="shared" si="1"/>
        <v/>
      </c>
    </row>
    <row r="75" spans="1:8" ht="20.100000000000001" customHeight="1">
      <c r="A75" s="621"/>
      <c r="B75" s="678"/>
      <c r="C75" s="623"/>
      <c r="D75" s="679"/>
      <c r="E75" s="625"/>
      <c r="F75" s="626"/>
      <c r="G75" s="627"/>
      <c r="H75" s="634" t="str">
        <f t="shared" si="1"/>
        <v/>
      </c>
    </row>
    <row r="76" spans="1:8" ht="20.100000000000001" customHeight="1">
      <c r="A76" s="621"/>
      <c r="B76" s="678"/>
      <c r="C76" s="623"/>
      <c r="D76" s="679"/>
      <c r="E76" s="625"/>
      <c r="F76" s="626"/>
      <c r="G76" s="627"/>
      <c r="H76" s="634" t="str">
        <f t="shared" si="1"/>
        <v/>
      </c>
    </row>
    <row r="77" spans="1:8" ht="20.100000000000001" customHeight="1">
      <c r="A77" s="621"/>
      <c r="B77" s="678"/>
      <c r="C77" s="623"/>
      <c r="D77" s="679"/>
      <c r="E77" s="625"/>
      <c r="F77" s="626"/>
      <c r="G77" s="627"/>
      <c r="H77" s="634" t="str">
        <f t="shared" si="1"/>
        <v/>
      </c>
    </row>
    <row r="78" spans="1:8" ht="20.100000000000001" customHeight="1">
      <c r="A78" s="621"/>
      <c r="B78" s="678"/>
      <c r="C78" s="623"/>
      <c r="D78" s="679"/>
      <c r="E78" s="625"/>
      <c r="F78" s="626"/>
      <c r="G78" s="627"/>
      <c r="H78" s="634" t="str">
        <f t="shared" si="1"/>
        <v/>
      </c>
    </row>
    <row r="79" spans="1:8" ht="20.100000000000001" customHeight="1">
      <c r="A79" s="621"/>
      <c r="B79" s="678"/>
      <c r="C79" s="623"/>
      <c r="D79" s="679"/>
      <c r="E79" s="625"/>
      <c r="F79" s="626"/>
      <c r="G79" s="627"/>
      <c r="H79" s="634" t="str">
        <f t="shared" si="1"/>
        <v/>
      </c>
    </row>
    <row r="80" spans="1:8" ht="20.100000000000001" customHeight="1">
      <c r="A80" s="621"/>
      <c r="B80" s="678"/>
      <c r="C80" s="623"/>
      <c r="D80" s="679"/>
      <c r="E80" s="625"/>
      <c r="F80" s="626"/>
      <c r="G80" s="627"/>
      <c r="H80" s="634" t="str">
        <f t="shared" si="1"/>
        <v/>
      </c>
    </row>
    <row r="81" spans="1:8" ht="20.100000000000001" customHeight="1">
      <c r="A81" s="621"/>
      <c r="B81" s="678"/>
      <c r="C81" s="623"/>
      <c r="D81" s="679"/>
      <c r="E81" s="625"/>
      <c r="F81" s="626"/>
      <c r="G81" s="627"/>
      <c r="H81" s="634" t="str">
        <f t="shared" si="1"/>
        <v/>
      </c>
    </row>
    <row r="82" spans="1:8" ht="20.100000000000001" customHeight="1">
      <c r="A82" s="621"/>
      <c r="B82" s="678"/>
      <c r="C82" s="623"/>
      <c r="D82" s="679"/>
      <c r="E82" s="625"/>
      <c r="F82" s="626"/>
      <c r="G82" s="627"/>
      <c r="H82" s="634" t="str">
        <f t="shared" si="1"/>
        <v/>
      </c>
    </row>
    <row r="83" spans="1:8" ht="20.100000000000001" customHeight="1">
      <c r="A83" s="621"/>
      <c r="B83" s="678"/>
      <c r="C83" s="623"/>
      <c r="D83" s="679"/>
      <c r="E83" s="625"/>
      <c r="F83" s="626"/>
      <c r="G83" s="627"/>
      <c r="H83" s="634" t="str">
        <f t="shared" si="1"/>
        <v/>
      </c>
    </row>
    <row r="84" spans="1:8" ht="20.100000000000001" customHeight="1">
      <c r="A84" s="621"/>
      <c r="B84" s="678"/>
      <c r="C84" s="623"/>
      <c r="D84" s="679"/>
      <c r="E84" s="625"/>
      <c r="F84" s="626"/>
      <c r="G84" s="627"/>
      <c r="H84" s="634" t="str">
        <f t="shared" si="1"/>
        <v/>
      </c>
    </row>
    <row r="85" spans="1:8" ht="20.100000000000001" customHeight="1">
      <c r="A85" s="621"/>
      <c r="B85" s="678"/>
      <c r="C85" s="623"/>
      <c r="D85" s="679"/>
      <c r="E85" s="625"/>
      <c r="F85" s="626"/>
      <c r="G85" s="627"/>
      <c r="H85" s="634" t="str">
        <f t="shared" si="1"/>
        <v/>
      </c>
    </row>
    <row r="86" spans="1:8" ht="20.100000000000001" customHeight="1">
      <c r="A86" s="621"/>
      <c r="B86" s="678"/>
      <c r="C86" s="623"/>
      <c r="D86" s="679"/>
      <c r="E86" s="625"/>
      <c r="F86" s="626"/>
      <c r="G86" s="627"/>
      <c r="H86" s="634" t="str">
        <f t="shared" si="1"/>
        <v/>
      </c>
    </row>
    <row r="87" spans="1:8" ht="20.100000000000001" customHeight="1">
      <c r="A87" s="621"/>
      <c r="B87" s="678"/>
      <c r="C87" s="623"/>
      <c r="D87" s="679"/>
      <c r="E87" s="625"/>
      <c r="F87" s="626"/>
      <c r="G87" s="627"/>
      <c r="H87" s="634" t="str">
        <f t="shared" si="1"/>
        <v/>
      </c>
    </row>
    <row r="88" spans="1:8" ht="20.100000000000001" customHeight="1">
      <c r="A88" s="621"/>
      <c r="B88" s="678"/>
      <c r="C88" s="623"/>
      <c r="D88" s="679"/>
      <c r="E88" s="625"/>
      <c r="F88" s="626"/>
      <c r="G88" s="627"/>
      <c r="H88" s="634" t="str">
        <f t="shared" si="1"/>
        <v/>
      </c>
    </row>
    <row r="89" spans="1:8" ht="20.100000000000001" customHeight="1">
      <c r="A89" s="621"/>
      <c r="B89" s="678"/>
      <c r="C89" s="623"/>
      <c r="D89" s="679"/>
      <c r="E89" s="625"/>
      <c r="F89" s="626"/>
      <c r="G89" s="627"/>
      <c r="H89" s="634" t="str">
        <f t="shared" si="1"/>
        <v/>
      </c>
    </row>
    <row r="90" spans="1:8" ht="20.100000000000001" customHeight="1">
      <c r="A90" s="621"/>
      <c r="B90" s="678"/>
      <c r="C90" s="623"/>
      <c r="D90" s="679"/>
      <c r="E90" s="625"/>
      <c r="F90" s="626"/>
      <c r="G90" s="627"/>
      <c r="H90" s="634" t="str">
        <f t="shared" si="1"/>
        <v/>
      </c>
    </row>
    <row r="91" spans="1:8" ht="20.100000000000001" customHeight="1">
      <c r="A91" s="621"/>
      <c r="B91" s="678"/>
      <c r="C91" s="623"/>
      <c r="D91" s="679"/>
      <c r="E91" s="625"/>
      <c r="F91" s="626"/>
      <c r="G91" s="627"/>
      <c r="H91" s="634" t="str">
        <f t="shared" si="1"/>
        <v/>
      </c>
    </row>
    <row r="92" spans="1:8" ht="20.100000000000001" customHeight="1">
      <c r="A92" s="621"/>
      <c r="B92" s="678"/>
      <c r="C92" s="623"/>
      <c r="D92" s="679"/>
      <c r="E92" s="625"/>
      <c r="F92" s="626"/>
      <c r="G92" s="627"/>
      <c r="H92" s="634" t="str">
        <f t="shared" si="1"/>
        <v/>
      </c>
    </row>
    <row r="93" spans="1:8" ht="20.100000000000001" customHeight="1">
      <c r="A93" s="621"/>
      <c r="B93" s="678"/>
      <c r="C93" s="623"/>
      <c r="D93" s="679"/>
      <c r="E93" s="625"/>
      <c r="F93" s="626"/>
      <c r="G93" s="627"/>
      <c r="H93" s="634" t="str">
        <f t="shared" si="1"/>
        <v/>
      </c>
    </row>
    <row r="94" spans="1:8" ht="20.100000000000001" customHeight="1">
      <c r="A94" s="621"/>
      <c r="B94" s="678"/>
      <c r="C94" s="623"/>
      <c r="D94" s="679"/>
      <c r="E94" s="625"/>
      <c r="F94" s="626"/>
      <c r="G94" s="627"/>
      <c r="H94" s="634" t="str">
        <f t="shared" si="1"/>
        <v/>
      </c>
    </row>
    <row r="95" spans="1:8" ht="20.100000000000001" customHeight="1">
      <c r="A95" s="621"/>
      <c r="B95" s="678"/>
      <c r="C95" s="623"/>
      <c r="D95" s="679"/>
      <c r="E95" s="625"/>
      <c r="F95" s="626"/>
      <c r="G95" s="627"/>
      <c r="H95" s="634" t="str">
        <f t="shared" si="1"/>
        <v/>
      </c>
    </row>
    <row r="96" spans="1:8" ht="20.100000000000001" customHeight="1">
      <c r="A96" s="621"/>
      <c r="B96" s="678"/>
      <c r="C96" s="623"/>
      <c r="D96" s="679"/>
      <c r="E96" s="625"/>
      <c r="F96" s="626"/>
      <c r="G96" s="627"/>
      <c r="H96" s="634" t="str">
        <f t="shared" si="1"/>
        <v/>
      </c>
    </row>
    <row r="97" spans="1:8" ht="20.100000000000001" customHeight="1">
      <c r="A97" s="621"/>
      <c r="B97" s="678"/>
      <c r="C97" s="623"/>
      <c r="D97" s="679"/>
      <c r="E97" s="625"/>
      <c r="F97" s="626"/>
      <c r="G97" s="627"/>
      <c r="H97" s="634" t="str">
        <f t="shared" si="1"/>
        <v/>
      </c>
    </row>
    <row r="98" spans="1:8" ht="20.100000000000001" customHeight="1">
      <c r="A98" s="621"/>
      <c r="B98" s="678"/>
      <c r="C98" s="623"/>
      <c r="D98" s="679"/>
      <c r="E98" s="625"/>
      <c r="F98" s="650"/>
      <c r="G98" s="651"/>
      <c r="H98" s="653" t="str">
        <f t="shared" si="1"/>
        <v/>
      </c>
    </row>
    <row r="99" spans="1:8" ht="20.100000000000001" customHeight="1">
      <c r="A99" s="619"/>
      <c r="B99" s="1129" t="s">
        <v>282</v>
      </c>
      <c r="C99" s="1130"/>
      <c r="D99" s="1131"/>
      <c r="E99" s="784"/>
      <c r="F99" s="682">
        <f>SUM(F4:F98)</f>
        <v>0</v>
      </c>
      <c r="G99" s="683">
        <f>SUM(G4:G98)</f>
        <v>0</v>
      </c>
      <c r="H99" s="680">
        <f>F99-G99</f>
        <v>0</v>
      </c>
    </row>
    <row r="100" spans="1:8" ht="20.100000000000001" customHeight="1" thickBot="1">
      <c r="A100" s="823"/>
      <c r="B100" s="1152" t="str">
        <f>IF(A99="","次 期 繰 越","次 項 繰 越")</f>
        <v>次 期 繰 越</v>
      </c>
      <c r="C100" s="1153"/>
      <c r="D100" s="1154"/>
      <c r="E100" s="684"/>
      <c r="F100" s="685">
        <f>IF(H99&gt;0,"",ABS(H99))</f>
        <v>0</v>
      </c>
      <c r="G100" s="686">
        <f>IF(H99&lt;0,"",ABS(H99))</f>
        <v>0</v>
      </c>
      <c r="H100" s="681"/>
    </row>
    <row r="101" spans="1:8" ht="24.95" customHeight="1" thickTop="1">
      <c r="B101" s="687"/>
      <c r="C101" s="687"/>
      <c r="D101" s="687"/>
      <c r="E101" s="688"/>
      <c r="F101" s="648">
        <f>SUM(F99:F100)</f>
        <v>0</v>
      </c>
      <c r="G101" s="648">
        <f>SUM(G99:G100)</f>
        <v>0</v>
      </c>
      <c r="H101" s="638" t="str">
        <f>IF(F101=G101,"","【要確認】")</f>
        <v/>
      </c>
    </row>
  </sheetData>
  <sheetProtection sheet="1" objects="1" scenarios="1"/>
  <mergeCells count="5">
    <mergeCell ref="A1:H1"/>
    <mergeCell ref="B3:D3"/>
    <mergeCell ref="B4:D4"/>
    <mergeCell ref="B99:D99"/>
    <mergeCell ref="B100:D100"/>
  </mergeCells>
  <phoneticPr fontId="2"/>
  <dataValidations count="1">
    <dataValidation allowBlank="1" showInputMessage="1" sqref="B100"/>
  </dataValidations>
  <printOptions horizontalCentered="1"/>
  <pageMargins left="0.47244094488188981" right="0.19685039370078741" top="0.39370078740157483" bottom="0.23622047244094491" header="0" footer="0"/>
  <pageSetup paperSize="9" pageOrder="overThenDown" orientation="portrait" blackAndWhite="1" horizontalDpi="0" verticalDpi="0" r:id="rId1"/>
  <headerFooter>
    <oddFooter>&amp;C&amp;"メイリオ,レギュラー"&amp;6&amp;A  &amp;P /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56</vt:i4>
      </vt:variant>
      <vt:variant>
        <vt:lpstr>名前付き一覧</vt:lpstr>
      </vt:variant>
      <vt:variant>
        <vt:i4>57</vt:i4>
      </vt:variant>
    </vt:vector>
  </HeadingPairs>
  <TitlesOfParts>
    <vt:vector size="113" baseType="lpstr">
      <vt:lpstr>表紙</vt:lpstr>
      <vt:lpstr>設定メニュー</vt:lpstr>
      <vt:lpstr>仕訳帳</vt:lpstr>
      <vt:lpstr>月間総括集計表</vt:lpstr>
      <vt:lpstr>合計残高試算表</vt:lpstr>
      <vt:lpstr>精算表</vt:lpstr>
      <vt:lpstr>前期繰越</vt:lpstr>
      <vt:lpstr>次期繰越</vt:lpstr>
      <vt:lpstr>減価償却資産台帳</vt:lpstr>
      <vt:lpstr>減価償却資産台帳 記入例</vt:lpstr>
      <vt:lpstr>減価償却率表</vt:lpstr>
      <vt:lpstr>青色申告決算書1</vt:lpstr>
      <vt:lpstr>青色申告決算書2</vt:lpstr>
      <vt:lpstr>青色申告決算書3</vt:lpstr>
      <vt:lpstr>青色申告決算書4</vt:lpstr>
      <vt:lpstr>収支内訳書1</vt:lpstr>
      <vt:lpstr>収支内訳書2</vt:lpstr>
      <vt:lpstr>現金出納帳</vt:lpstr>
      <vt:lpstr>普通預金出納帳</vt:lpstr>
      <vt:lpstr>現金</vt:lpstr>
      <vt:lpstr>普通預金</vt:lpstr>
      <vt:lpstr>売掛金</vt:lpstr>
      <vt:lpstr>前払費用</vt:lpstr>
      <vt:lpstr>長期前払費用</vt:lpstr>
      <vt:lpstr>工具器具備品</vt:lpstr>
      <vt:lpstr>事業主貸</vt:lpstr>
      <vt:lpstr>事業主借</vt:lpstr>
      <vt:lpstr>未払金</vt:lpstr>
      <vt:lpstr>売上高</vt:lpstr>
      <vt:lpstr>雑収入</vt:lpstr>
      <vt:lpstr>旅費交通費</vt:lpstr>
      <vt:lpstr>通信費</vt:lpstr>
      <vt:lpstr>接待交際費</vt:lpstr>
      <vt:lpstr>消耗品費</vt:lpstr>
      <vt:lpstr>外注工賃</vt:lpstr>
      <vt:lpstr>支払手数料</vt:lpstr>
      <vt:lpstr>新聞図書費</vt:lpstr>
      <vt:lpstr>事務用品費</vt:lpstr>
      <vt:lpstr>研修費</vt:lpstr>
      <vt:lpstr>雑費</vt:lpstr>
      <vt:lpstr>租税公課</vt:lpstr>
      <vt:lpstr>予備.1</vt:lpstr>
      <vt:lpstr>予備.2</vt:lpstr>
      <vt:lpstr>予備.3</vt:lpstr>
      <vt:lpstr>減価償却費</vt:lpstr>
      <vt:lpstr>元入金</vt:lpstr>
      <vt:lpstr>Googleアドセンス</vt:lpstr>
      <vt:lpstr>Amazonアソシエイト</vt:lpstr>
      <vt:lpstr>A8.net</vt:lpstr>
      <vt:lpstr>アクセストレード</vt:lpstr>
      <vt:lpstr>もしも</vt:lpstr>
      <vt:lpstr>楽天</vt:lpstr>
      <vt:lpstr>バリューコマース</vt:lpstr>
      <vt:lpstr>Moba8.net</vt:lpstr>
      <vt:lpstr>nend</vt:lpstr>
      <vt:lpstr>売上先予備1</vt:lpstr>
      <vt:lpstr>Amazonギフト券受取</vt:lpstr>
      <vt:lpstr>月間総括集計表!Print_Area</vt:lpstr>
      <vt:lpstr>減価償却資産台帳!Print_Area</vt:lpstr>
      <vt:lpstr>合計残高試算表!Print_Area</vt:lpstr>
      <vt:lpstr>仕訳帳!Print_Area</vt:lpstr>
      <vt:lpstr>精算表!Print_Area</vt:lpstr>
      <vt:lpstr>売掛金!Print_Area</vt:lpstr>
      <vt:lpstr>A8.net!Print_Titles</vt:lpstr>
      <vt:lpstr>Amazonアソシエイト!Print_Titles</vt:lpstr>
      <vt:lpstr>Googleアドセンス!Print_Titles</vt:lpstr>
      <vt:lpstr>Moba8.net!Print_Titles</vt:lpstr>
      <vt:lpstr>nend!Print_Titles</vt:lpstr>
      <vt:lpstr>アクセストレード!Print_Titles</vt:lpstr>
      <vt:lpstr>バリューコマース!Print_Titles</vt:lpstr>
      <vt:lpstr>もしも!Print_Titles</vt:lpstr>
      <vt:lpstr>外注工賃!Print_Titles</vt:lpstr>
      <vt:lpstr>楽天!Print_Titles</vt:lpstr>
      <vt:lpstr>研修費!Print_Titles</vt:lpstr>
      <vt:lpstr>減価償却費!Print_Titles</vt:lpstr>
      <vt:lpstr>現金!Print_Titles</vt:lpstr>
      <vt:lpstr>現金出納帳!Print_Titles</vt:lpstr>
      <vt:lpstr>工具器具備品!Print_Titles</vt:lpstr>
      <vt:lpstr>雑収入!Print_Titles</vt:lpstr>
      <vt:lpstr>雑費!Print_Titles</vt:lpstr>
      <vt:lpstr>仕訳帳!Print_Titles</vt:lpstr>
      <vt:lpstr>支払手数料!Print_Titles</vt:lpstr>
      <vt:lpstr>事業主借!Print_Titles</vt:lpstr>
      <vt:lpstr>事業主貸!Print_Titles</vt:lpstr>
      <vt:lpstr>事務用品費!Print_Titles</vt:lpstr>
      <vt:lpstr>消耗品費!Print_Titles</vt:lpstr>
      <vt:lpstr>新聞図書費!Print_Titles</vt:lpstr>
      <vt:lpstr>接待交際費!Print_Titles</vt:lpstr>
      <vt:lpstr>設定メニュー!Print_Titles</vt:lpstr>
      <vt:lpstr>前払費用!Print_Titles</vt:lpstr>
      <vt:lpstr>租税公課!Print_Titles</vt:lpstr>
      <vt:lpstr>長期前払費用!Print_Titles</vt:lpstr>
      <vt:lpstr>通信費!Print_Titles</vt:lpstr>
      <vt:lpstr>売掛金!Print_Titles</vt:lpstr>
      <vt:lpstr>売上高!Print_Titles</vt:lpstr>
      <vt:lpstr>売上先予備1!Print_Titles</vt:lpstr>
      <vt:lpstr>普通預金!Print_Titles</vt:lpstr>
      <vt:lpstr>普通預金出納帳!Print_Titles</vt:lpstr>
      <vt:lpstr>未払金!Print_Titles</vt:lpstr>
      <vt:lpstr>予備.1!Print_Titles</vt:lpstr>
      <vt:lpstr>予備.2!Print_Titles</vt:lpstr>
      <vt:lpstr>予備.3!Print_Titles</vt:lpstr>
      <vt:lpstr>旅費交通費!Print_Titles</vt:lpstr>
      <vt:lpstr>エックスサーバー_カード払い</vt:lpstr>
      <vt:lpstr>ドメイン更新費_カード払い</vt:lpstr>
      <vt:lpstr>ドメイン新規取得_カード払い</vt:lpstr>
      <vt:lpstr>楽天ポイント受取</vt:lpstr>
      <vt:lpstr>元入金!仕訳摘要1列目</vt:lpstr>
      <vt:lpstr>仕訳摘要1列目</vt:lpstr>
      <vt:lpstr>振込</vt:lpstr>
      <vt:lpstr>振込手数料</vt:lpstr>
      <vt:lpstr>成果確定</vt:lpstr>
      <vt:lpstr>成果確定3列目</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エクセル帳簿　ver2018-2</dc:title>
  <dc:creator>ちゅんこ@shufulife</dc:creator>
  <dc:description>エクセル帳簿は、ダウンロード後ご自由に改変して使っていただくことができますが、著作権は放棄しておりません。エクセル帳簿の再配布や販売、その他商業目的とした二次的使用は固く禁止します。</dc:description>
  <cp:lastModifiedBy>ちゅんこ@shufulife</cp:lastModifiedBy>
  <dcterms:created xsi:type="dcterms:W3CDTF">2016-02-22T09:00:56Z</dcterms:created>
  <dcterms:modified xsi:type="dcterms:W3CDTF">2018-02-06T09:24:27Z</dcterms:modified>
</cp:coreProperties>
</file>